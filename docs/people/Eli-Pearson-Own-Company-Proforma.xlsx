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Assumptions" sheetId="2" state="visible" r:id="rId4"/>
    <sheet name="Ten-year proforma" sheetId="3" state="visible" r:id="rId5"/>
    <sheet name="Startup budget and funding" sheetId="4" state="visible" r:id="rId6"/>
    <sheet name="Loans and credit ladder" sheetId="5" state="visible" r:id="rId7"/>
    <sheet name="Owner pay and write-offs" sheetId="6" state="visible" r:id="rId8"/>
    <sheet name="What it is worth" sheetId="7" state="visible" r:id="rId9"/>
    <sheet name="Source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<sst xmlns="http://schemas.openxmlformats.org/spreadsheetml/2006/main" count="347" uniqueCount="338">
  <si>
    <t xml:space="preserve">Your own company - what it would actually take, and what it would actually make</t>
  </si>
  <si>
    <t xml:space="preserve">This is the private file. It is the plan for the version of your life where, somewhere around 24 to 26, you start your own drainage and excavation company in Baton Rouge instead of - or as well as - taking a stake in Charlie's.</t>
  </si>
  <si>
    <t xml:space="preserve">Every number in here is a formula off blue cells you can change. Nothing is a promise. But every default has a source, and the sources tab is at the end.</t>
  </si>
  <si>
    <t xml:space="preserve">Read this before the numbers:</t>
  </si>
  <si>
    <t xml:space="preserve">1.  Most contractors who start a company are still in business after year one - about 80% - and about 62% are still there after five. The ones that fail almost never fail because they could not dig. They run out of cash, they bid too low, or they grow faster than their money. This file is built to keep you in the 62%, which mostly means starting with more working capital than feels necessary and pricing higher than feels comfortable.</t>
  </si>
  <si>
    <t xml:space="preserve">2.  Other people's money is real, and it is available to you - but in a specific order, and not all at once. At 22 with two years of credit history you can genuinely get a 0% Kiva loan, a microloan up to $50,000, and a used-equipment loan with 20% down. You cannot get a bank line or a full SBA 7(a) until you have two filed tax returns. The 'Loans and credit ladder' tab says exactly what you can get at what age, so you apply for the right thing and never collect ten declines.</t>
  </si>
  <si>
    <t xml:space="preserve">3.  Credit is built years before it is used. The single most valuable thing you can do for the version of you at 24 is to open a secured card the week you turn 18 and never once pay it late. That is not a metaphor. Lenders in 2032 will price your equipment loan off what you did in November 2026.</t>
  </si>
  <si>
    <t xml:space="preserve">4.  There is no investor for this. Nobody buys equity in a one-crew excavation company, and you would not want them to. The money for this comes from your savings, from lenders who are repaid, and possibly from family on a written note at a fair rate. The tab called 'What it is worth' explains what a partner deal should look like if one ever comes up - and why it should be a lease or a note, not a share of the company.</t>
  </si>
  <si>
    <t xml:space="preserve">5.  The plan works whether you do this or not. Every skill and licence on the way to it is yours regardless. If at 25 the better move is a stake in Scag Scapes, this file has still done its job - it told you what your alternative was worth, which is the only way to negotiate.</t>
  </si>
  <si>
    <t xml:space="preserve">Tabs: Assumptions (every blue cell) -&gt; Ten-year proforma -&gt; Startup budget and funding -&gt; Loans and credit ladder -&gt; Owner pay and write-offs -&gt; What it is worth -&gt; Sources.</t>
  </si>
  <si>
    <t xml:space="preserve">Assumptions - every blue cell drives every other tab</t>
  </si>
  <si>
    <t xml:space="preserve">Blue = change it. Yellow = the levers that matter most. Black = formula.</t>
  </si>
  <si>
    <t xml:space="preserve">WHEN AND HOW YOU START</t>
  </si>
  <si>
    <t xml:space="preserve">Age when you open the company</t>
  </si>
  <si>
    <t xml:space="preserve">Around when the ladder in your other file has you at foreman with your first machine. Move it if you are ready sooner or want longer inside Scag Scapes first.</t>
  </si>
  <si>
    <t xml:space="preserve">Cash you bring in from savings ($)</t>
  </si>
  <si>
    <t xml:space="preserve">From the Money tab in your other file - what the savings plan gets you to by then. This is your equity injection; lenders want to see it before they lend.</t>
  </si>
  <si>
    <t xml:space="preserve">You work in the field yourself in years 1-3 (1 = yes, 0 = no)</t>
  </si>
  <si>
    <t xml:space="preserve">An owner-operator on crew 1 saves a wage and is the normal way this starts. The model stops charging for one crew member on crew 1 while this is 1.</t>
  </si>
  <si>
    <t xml:space="preserve">THE WORK</t>
  </si>
  <si>
    <t xml:space="preserve">Crews in year 1</t>
  </si>
  <si>
    <t xml:space="preserve">Add one more crew every N years</t>
  </si>
  <si>
    <t xml:space="preserve">Crew 2 in year 4, crew 3 in year 7 on the default. Each new crew needs an equipment set (below) and is the biggest single decision in this file.</t>
  </si>
  <si>
    <t xml:space="preserve">Maximum crews</t>
  </si>
  <si>
    <t xml:space="preserve">Three crews is a real, profitable, sellable company that one owner can still run without a manager. Past that is a different business.</t>
  </si>
  <si>
    <t xml:space="preserve">Linear feet a crew installs per working day</t>
  </si>
  <si>
    <t xml:space="preserve">Charlie's crews target 43 at maturity. A new crew with a new owner runs slower.</t>
  </si>
  <si>
    <t xml:space="preserve">Working days a year</t>
  </si>
  <si>
    <t xml:space="preserve">Weather, holidays, downtime. Baton Rouge loses real days to rain; 240 is about what an established crew actually works.</t>
  </si>
  <si>
    <t xml:space="preserve">Utilisation in year 1 (share of days actually sold)</t>
  </si>
  <si>
    <t xml:space="preserve">The first year you do not have a pipeline. This is the honest haircut, and it rises to the number below over three years.</t>
  </si>
  <si>
    <t xml:space="preserve">Utilisation once established</t>
  </si>
  <si>
    <t xml:space="preserve">Price per linear foot installed ($)</t>
  </si>
  <si>
    <t xml:space="preserve">Louisiana french drain pricing runs $23-90/LF; Charlie sells around $50. A new company without reviews prices a little under an established one - but NOT a lot under. Underbidding is the second-biggest killer.</t>
  </si>
  <si>
    <t xml:space="preserve">Price increase per year</t>
  </si>
  <si>
    <t xml:space="preserve">PEOPLE</t>
  </si>
  <si>
    <t xml:space="preserve">Crew size (people, including you if you are in the field)</t>
  </si>
  <si>
    <t xml:space="preserve">Crew wage ($/hr)</t>
  </si>
  <si>
    <t xml:space="preserve">Above the Baton Rouge labourer median of $18.58 so you can keep people - the same logic Charlie uses. You will have learned by then that turnover costs about 21% of a salary per person.</t>
  </si>
  <si>
    <t xml:space="preserve">Paid hours per crew member per year</t>
  </si>
  <si>
    <t xml:space="preserve">Payroll burden (taxes, workers comp, insurance)</t>
  </si>
  <si>
    <t xml:space="preserve">Workers comp for excavation (class 6217) runs about $5.25 per $100 of payroll nationally; Louisiana loss costs fell 5.3% in 2026. 20% all-in burden is realistic for this class.</t>
  </si>
  <si>
    <t xml:space="preserve">Wage increase per year</t>
  </si>
  <si>
    <t xml:space="preserve">Baton Rouge specialty-trade wages actually grew 3.75%/yr 2019-2024. 3.5% is the conservative case.</t>
  </si>
  <si>
    <t xml:space="preserve">COSTS</t>
  </si>
  <si>
    <t xml:space="preserve">Materials and fuel (share of revenue)</t>
  </si>
  <si>
    <t xml:space="preserve">Pipe, fabric, aggregate, diesel. Charlie runs about 20%; a smaller buyer pays slightly more for aggregate.</t>
  </si>
  <si>
    <t xml:space="preserve">Insurance - general liability, auto, equipment floater ($/yr, first crew)</t>
  </si>
  <si>
    <t xml:space="preserve">A small-excavator programme runs $12-35K/yr all-in. GL of at least $100,000 is a licence requirement in Louisiana. This is the first-crew figure; each added crew adds the amount below.</t>
  </si>
  <si>
    <t xml:space="preserve">Insurance added per extra crew ($/yr)</t>
  </si>
  <si>
    <t xml:space="preserve">Truck, fuel for estimates, phone, software ($/mo)</t>
  </si>
  <si>
    <t xml:space="preserve">Your truck's business miles are reimbursed by the company to you - a deductible expense here, tax-free income to you personally.</t>
  </si>
  <si>
    <t xml:space="preserve">Marketing (share of revenue)</t>
  </si>
  <si>
    <t xml:space="preserve">Google Local Services Ads run about $53 a lead for home services. Reviews are free and matter more.</t>
  </si>
  <si>
    <t xml:space="preserve">Bookkeeping, CPA, licence renewals ($/mo)</t>
  </si>
  <si>
    <t xml:space="preserve">Do not skip the CPA. The write-offs tab is worth several times this.</t>
  </si>
  <si>
    <t xml:space="preserve">Yard, shop, tools replacement, misc ($/mo)</t>
  </si>
  <si>
    <t xml:space="preserve">General cost increase per year</t>
  </si>
  <si>
    <t xml:space="preserve">YOUR PAY</t>
  </si>
  <si>
    <t xml:space="preserve">Your own salary in year 1 ($/yr)</t>
  </si>
  <si>
    <t xml:space="preserve">Less than you would earn as a foreman for somebody else - and that is normal in year 1 of any company. It rises with the business below. See the Owner pay tab for what this is after tax and write-offs.</t>
  </si>
  <si>
    <t xml:space="preserve">Your salary increase per year</t>
  </si>
  <si>
    <t xml:space="preserve">Faster than inflation on purpose - you are underpaid in year 1 and catching up.</t>
  </si>
  <si>
    <t xml:space="preserve">EQUIPMENT</t>
  </si>
  <si>
    <t xml:space="preserve">Equipment set for a crew ($) - used mini-ex, used track loader, trailer, tools</t>
  </si>
  <si>
    <t xml:space="preserve">Used Bobcat E35 class $32-44K; used T650 class $27-32K; 14,000 lb trailer $6,200; tools, pump, laser $6,000. About $80K used. New would be roughly double.</t>
  </si>
  <si>
    <t xml:space="preserve">Down payment on financed equipment</t>
  </si>
  <si>
    <t xml:space="preserve">Independent lenders want 10-25% down from a young business. 20% is the realistic ask.</t>
  </si>
  <si>
    <t xml:space="preserve">Equipment loan rate (APR)</t>
  </si>
  <si>
    <t xml:space="preserve">A first-time owner with 2 years of history and a 700+ score pays 3-8 points over an established contractor - 13-18% is the honest range. It comes down with every year of clean payment history.</t>
  </si>
  <si>
    <t xml:space="preserve">Equipment loan term (years)</t>
  </si>
  <si>
    <t xml:space="preserve">Equipment written off over (years, for tax)</t>
  </si>
  <si>
    <t xml:space="preserve">Section 179 lets you expense it in year one if that is better - ask the CPA which. The model uses straight-line for the tax estimate to stay conservative.</t>
  </si>
  <si>
    <t xml:space="preserve">TAX AND VALUE</t>
  </si>
  <si>
    <t xml:space="preserve">Estimated combined tax rate on profit (federal + self-employment + Louisiana)</t>
  </si>
  <si>
    <t xml:space="preserve">A blended marginal rate for a single-member LLC owner at this income. The write-offs tab brings the taxable figure down; a CPA sets the real number.</t>
  </si>
  <si>
    <t xml:space="preserve">SDE multiple - what a company this size sells for (x owner's cash)</t>
  </si>
  <si>
    <t xml:space="preserve">BizBuySell rolling closed sales, landscaping and yard service, 2026: 2.49x seller's discretionary earnings. Under about $2M of revenue this is what a buyer pays.</t>
  </si>
  <si>
    <t xml:space="preserve">Ten years, from the day you open the doors</t>
  </si>
  <si>
    <t xml:space="preserve">Every figure is a formula off the Assumptions tab. Change a blue cell there and all ten years move.</t>
  </si>
  <si>
    <t xml:space="preserve">Year</t>
  </si>
  <si>
    <t xml:space="preserve">Notes</t>
  </si>
  <si>
    <t xml:space="preserve">Your age</t>
  </si>
  <si>
    <t xml:space="preserve">Crews running</t>
  </si>
  <si>
    <t xml:space="preserve">Crew 2 arrives when the Assumptions tab says. Every new crew triggers an equipment set and a loan below.</t>
  </si>
  <si>
    <t xml:space="preserve">Utilisation (share of days sold)</t>
  </si>
  <si>
    <t xml:space="preserve">Ramps from the year-1 figure to the established figure over three years. A pipeline takes time to build and this is where a new company most often fools itself.</t>
  </si>
  <si>
    <t xml:space="preserve">Linear feet installed</t>
  </si>
  <si>
    <t xml:space="preserve">Price per linear foot</t>
  </si>
  <si>
    <t xml:space="preserve">REVENUE</t>
  </si>
  <si>
    <t xml:space="preserve">One crew at 40 LF a day, 60% sold in year 1, at $48 - about $260K. That matches what a one-crew drainage start-up in Louisiana can realistically expect ($250-350K).</t>
  </si>
  <si>
    <t xml:space="preserve">WHAT IT COSTS TO DO THE WORK</t>
  </si>
  <si>
    <t xml:space="preserve">Paid crew members</t>
  </si>
  <si>
    <t xml:space="preserve">One fewer paid seat while you are in the field yourself in years 1-3.</t>
  </si>
  <si>
    <t xml:space="preserve">Crew labour (wages plus burden)</t>
  </si>
  <si>
    <t xml:space="preserve">Materials and fuel</t>
  </si>
  <si>
    <t xml:space="preserve">GROSS PROFIT</t>
  </si>
  <si>
    <t xml:space="preserve">Gross margin</t>
  </si>
  <si>
    <t xml:space="preserve">Charlie's rule is 50%. A new company with you on the crew can beat it early because you are not paying yourself a crew wage.</t>
  </si>
  <si>
    <t xml:space="preserve">OVERHEAD - THE BILLS THAT ARRIVE WHETHER YOU DIG OR NOT</t>
  </si>
  <si>
    <t xml:space="preserve">Insurance</t>
  </si>
  <si>
    <t xml:space="preserve">Truck, fuel, phone, software</t>
  </si>
  <si>
    <t xml:space="preserve">Marketing</t>
  </si>
  <si>
    <t xml:space="preserve">Bookkeeping, CPA, licences</t>
  </si>
  <si>
    <t xml:space="preserve">Yard, shop, tools, misc</t>
  </si>
  <si>
    <t xml:space="preserve">YOUR SALARY</t>
  </si>
  <si>
    <t xml:space="preserve">What you pay yourself. Set on Assumptions. The Owner pay tab shows what it is after tax and what the write-offs do to it.</t>
  </si>
  <si>
    <t xml:space="preserve">Total overhead including your salary</t>
  </si>
  <si>
    <t xml:space="preserve">OPERATING PROFIT after your salary (EBITDA)</t>
  </si>
  <si>
    <t xml:space="preserve">What is left after everybody including you is paid, before loans and tax. Negative in year 1 is normal and it is exactly why the working capital on the funding tab exists.</t>
  </si>
  <si>
    <t xml:space="preserve">EQUIPMENT AND LOANS</t>
  </si>
  <si>
    <t xml:space="preserve">Equipment sets bought this year</t>
  </si>
  <si>
    <t xml:space="preserve">Year 1 is the first set. After that, one per new crew.</t>
  </si>
  <si>
    <t xml:space="preserve">Equipment bought this year ($, at today's used prices grown with inflation)</t>
  </si>
  <si>
    <t xml:space="preserve">Down payment paid in cash (year 1 is already paid on the funding tab)</t>
  </si>
  <si>
    <t xml:space="preserve">The first set's down payment came out of the sources on the funding tab, so it is not charged again here. Later sets are paid from the company's own cash.</t>
  </si>
  <si>
    <t xml:space="preserve">Annual payment on the loans taken THIS year</t>
  </si>
  <si>
    <t xml:space="preserve">Principal and interest, at the equipment rate on Assumptions.</t>
  </si>
  <si>
    <t xml:space="preserve">Debt service on equipment loans</t>
  </si>
  <si>
    <t xml:space="preserve">Every loan still inside its term. Drops off as each set is paid down - which is the moment the company starts throwing off real cash.</t>
  </si>
  <si>
    <t xml:space="preserve">Debt service on the start-up loans (Kiva, microloan, family note)</t>
  </si>
  <si>
    <t xml:space="preserve">From the funding tab - the loans that got you open, separate from the equipment.</t>
  </si>
  <si>
    <t xml:space="preserve">CASH - THE NUMBER THAT DECIDES WHETHER YOU ARE STILL HERE</t>
  </si>
  <si>
    <t xml:space="preserve">Estimated income tax (on profit after depreciation)</t>
  </si>
  <si>
    <t xml:space="preserve">Rough. Your salary is already deducted above; this is the tax on what the company itself makes. Section 179 could take the whole equipment cost in year one instead - the CPA decides. The Owner pay tab covers the tax on your own salary.</t>
  </si>
  <si>
    <t xml:space="preserve">CASH GENERATED THIS YEAR</t>
  </si>
  <si>
    <t xml:space="preserve">Cash at the start of the year</t>
  </si>
  <si>
    <t xml:space="preserve">Year 1 opens with whatever the funding tab leaves over after the equipment and the start-up costs.</t>
  </si>
  <si>
    <t xml:space="preserve">CASH AT YEAR END</t>
  </si>
  <si>
    <t xml:space="preserve">If this goes negative the company is dead, whatever the profit line says. Fix it by starting with more working capital, pricing higher, or adding the second crew later - in that order.</t>
  </si>
  <si>
    <t xml:space="preserve">Solvent?</t>
  </si>
  <si>
    <t xml:space="preserve">WHAT YOU ACTUALLY TAKE HOME FROM THE COMPANY</t>
  </si>
  <si>
    <t xml:space="preserve">Owner's cash (your salary + operating profit) - what a buyer calls SDE</t>
  </si>
  <si>
    <t xml:space="preserve">This is the number the company is valued on, and it is the honest measure of what it pays you versus a job. Compare it to the foreman wage on the ladder in your other file.</t>
  </si>
  <si>
    <t xml:space="preserve">How to read this: year one loses money on the operating line and that is expected - the funding tab exists to carry you through it. The company is real when three things are true at the same time: cash at year end is rising, gross margin is holding near 50%, and owner's cash is above what you would earn working for somebody else. On the defaults that happens in year two or three. If it does not happen by year three, the honest move is to stop, and this file is built to show you that early rather than late.</t>
  </si>
  <si>
    <t xml:space="preserve">What it costs to open the doors, and where every dollar comes from</t>
  </si>
  <si>
    <t xml:space="preserve">Blue = change it. Uses on the left must be covered by sources - the gap line tells you if they are not.</t>
  </si>
  <si>
    <t xml:space="preserve">USES - WHAT YOU HAVE TO PAY FOR</t>
  </si>
  <si>
    <t xml:space="preserve">First equipment set (from Assumptions)</t>
  </si>
  <si>
    <t xml:space="preserve">Used mini-ex, used track loader, trailer, tools. About $80K used.</t>
  </si>
  <si>
    <t xml:space="preserve">Insurance deposit and first instalments</t>
  </si>
  <si>
    <t xml:space="preserve">Carriers want a down payment on a new account.</t>
  </si>
  <si>
    <t xml:space="preserve">LLC, EIN, LSLBC registration, exam, first-year licences</t>
  </si>
  <si>
    <t xml:space="preserve">Louisiana Home Improvement registration covers jobs from $7,500 to $50,000; the Residential licence (needed above $50,000 a job) requires $50,000 net worth. Registration is enough to open.</t>
  </si>
  <si>
    <t xml:space="preserve">Working capital - three months of overhead and payroll before the money comes in</t>
  </si>
  <si>
    <t xml:space="preserve">The single most under-budgeted line in every failed contractor's story. Do not cut it.</t>
  </si>
  <si>
    <t xml:space="preserve">Reserve for the first thing that breaks</t>
  </si>
  <si>
    <t xml:space="preserve">Something will.</t>
  </si>
  <si>
    <t xml:space="preserve">TOTAL USES</t>
  </si>
  <si>
    <t xml:space="preserve">SOURCES - WHERE IT COMES FROM</t>
  </si>
  <si>
    <t xml:space="preserve">Source</t>
  </si>
  <si>
    <t xml:space="preserve">Amount</t>
  </si>
  <si>
    <t xml:space="preserve">Rate (APR)</t>
  </si>
  <si>
    <t xml:space="preserve">Years</t>
  </si>
  <si>
    <t xml:space="preserve">Payment / yr</t>
  </si>
  <si>
    <t xml:space="preserve">What it is and whether you can actually get it</t>
  </si>
  <si>
    <t xml:space="preserve">Your own savings (from Assumptions)</t>
  </si>
  <si>
    <t xml:space="preserve">Your equity injection. Every lender below wants to see it. Around 10-20% of the total is what they expect.</t>
  </si>
  <si>
    <t xml:space="preserve">Kiva US - 0% crowdfunded loan</t>
  </si>
  <si>
    <t xml:space="preserve">Up to $15,000 at 0%, no minimum credit score, age 18+. You have to recruit 5-40 people from your own network to lend first - which is exactly the relationship test this whole plan is about. Realistic on day one.</t>
  </si>
  <si>
    <t xml:space="preserve">SBA / Louisiana SSBCI microloan</t>
  </si>
  <si>
    <t xml:space="preserve">Up to $50,000, 8-13%, up to 7 years; a quarter of these go to businesses under two years old. Louisiana microlenders: TruFund, JEDCO, NewCorp, Carter and Essential credit unions. Realistic with a 620+ score, collateral and a personal guarantee.</t>
  </si>
  <si>
    <t xml:space="preserve">Equipment loan on the first set (computed from Assumptions)</t>
  </si>
  <si>
    <t xml:space="preserve">An independent equipment lender - no time-in-business minimum, but 680-700+ personal credit, 10-25% down and documented operator experience. This is why the credit you build from 18 matters. Dealer 0% promotions are usually new equipment only.</t>
  </si>
  <si>
    <t xml:space="preserve">Family note (written, at a fair rate, subordinated to the lenders above)</t>
  </si>
  <si>
    <t xml:space="preserve">If family helps, do it properly: a written promissory note at or above the IRS applicable federal rate (mid-term AFR is about 4.5% in September 2026), 5 years, and ranked behind the bank. A gift under $19,000 a year needs no paperwork at all - but a loan does.</t>
  </si>
  <si>
    <t xml:space="preserve">TOTAL SOURCES</t>
  </si>
  <si>
    <t xml:space="preserve">GAP - sources minus uses (must be zero or better)</t>
  </si>
  <si>
    <t xml:space="preserve">Positive is extra cushion and flows into opening cash below. Negative means you cannot open yet - raise savings, take a smaller equipment set, or wait a year.</t>
  </si>
  <si>
    <t xml:space="preserve">START-UP LOAN PAYMENTS BY YEAR (Kiva, microloan, family note) - read by the proforma</t>
  </si>
  <si>
    <t xml:space="preserve">Annual payments on the start-up loans</t>
  </si>
  <si>
    <t xml:space="preserve">OPENING CASH ON DAY ONE (working capital + reserve + any gap cushion)</t>
  </si>
  <si>
    <t xml:space="preserve">This is what the proforma starts with in the bank. The equipment, insurance and licences are already paid out of the sources above.</t>
  </si>
  <si>
    <t xml:space="preserve">Other people's money - what you can get, at what age, in what order</t>
  </si>
  <si>
    <t xml:space="preserve">The whole point of this tab is that you apply for the right thing at the right time and never collect a pile of declines. Declines cost you - each one is a hard inquiry. Verified September 2026; terms move, so re-check before applying.</t>
  </si>
  <si>
    <t xml:space="preserve">PART ONE - BUILDING THE CREDIT THAT MAKES THE LOANS POSSIBLE</t>
  </si>
  <si>
    <t xml:space="preserve">Age</t>
  </si>
  <si>
    <t xml:space="preserve">What you do</t>
  </si>
  <si>
    <t xml:space="preserve">What it gets you</t>
  </si>
  <si>
    <t xml:space="preserve">Why, and the trap to avoid</t>
  </si>
  <si>
    <t xml:space="preserve">18</t>
  </si>
  <si>
    <t xml:space="preserve">The week you turn 18: become an authorised user on Dad's oldest, cleanest card AND open your own secured card ($200-500 deposit). Same month.</t>
  </si>
  <si>
    <t xml:space="preserve">A credit file that starts aging immediately. First score after 6 months.</t>
  </si>
  <si>
    <t xml:space="preserve">The authorised-user account brings its whole payment history with it. Your own secured card is the one that proves YOU pay. Use it for fuel, pay it in full every month, never carry a balance. Utilisation under 10%.</t>
  </si>
  <si>
    <t xml:space="preserve">18-19</t>
  </si>
  <si>
    <t xml:space="preserve">A small credit-builder loan from a credit union ($500-1,000 over 12 months).</t>
  </si>
  <si>
    <t xml:space="preserve">An instalment tradeline alongside the card.</t>
  </si>
  <si>
    <t xml:space="preserve">Scores reward a mix. Cost is a few dollars of interest. Do NOT take a car loan to build credit - that is the classic mistake.</t>
  </si>
  <si>
    <t xml:space="preserve">19</t>
  </si>
  <si>
    <t xml:space="preserve">Apply for the M.J. Foster Promise ($3,200 a year, $6,400 lifetime) for a heavy-equipment or CDL credential.</t>
  </si>
  <si>
    <t xml:space="preserve">A free licence.</t>
  </si>
  <si>
    <t xml:space="preserve">Minimum age was lowered to 19 for 2026-27. Construction is an eligible field. Income limit is 300% of poverty or 'underemployed' - at $20/hr you qualify.</t>
  </si>
  <si>
    <t xml:space="preserve">20</t>
  </si>
  <si>
    <t xml:space="preserve">Graduate the secured card to unsecured; add one rewards card. Never more than two or three cards.</t>
  </si>
  <si>
    <t xml:space="preserve">About 700 by 21 if nothing was ever late.</t>
  </si>
  <si>
    <t xml:space="preserve">Age of file is the ceiling now, not behaviour. Do not churn new accounts - every application is a hard inquiry and a younger average age.</t>
  </si>
  <si>
    <t xml:space="preserve">21-22</t>
  </si>
  <si>
    <t xml:space="preserve">Form the LLC, get the EIN and a D-U-N-S number, open a business checking account. Then open net-30 accounts with vendors that actually report to business bureaus and buy small things through them.</t>
  </si>
  <si>
    <t xml:space="preserve">A business credit file that starts aging 2-3 years before you need it.</t>
  </si>
  <si>
    <t xml:space="preserve">Only about 2% of suppliers report at all. Verified in 2026: Uline (D&amp;B and Experian), Quill (D&amp;B and Experian), Crown Office Supplies (all three), Grainger (reports, will not say where). Form the LLC about 12 months before your first equipment application - tradelines only age from the date opened.</t>
  </si>
  <si>
    <t xml:space="preserve">22</t>
  </si>
  <si>
    <t xml:space="preserve">Bank of America Business Advantage Secured card ($1,000 deposit).</t>
  </si>
  <si>
    <t xml:space="preserve">A business card that reports to D&amp;B and graduates to unsecured.</t>
  </si>
  <si>
    <t xml:space="preserve">The practical first business card. 26.74% APR is irrelevant if it is paid in full every month, which it will be.</t>
  </si>
  <si>
    <t xml:space="preserve">22-24</t>
  </si>
  <si>
    <t xml:space="preserve">Personal score 740+. Business file 2-3 years old. Two years of your own tax returns showing W-2 income.</t>
  </si>
  <si>
    <t xml:space="preserve">You are now what every lender on the list below is looking for.</t>
  </si>
  <si>
    <t xml:space="preserve">This is the whole reason the sequence starts at 18. A 24-year-old with a six-year clean file and a 740 score gets a 14% equipment loan. The same person with a two-year file gets 19% or a decline.</t>
  </si>
  <si>
    <t xml:space="preserve">PART TWO - THE LOANS, IN THE ORDER YOU CAN ACTUALLY GET THEM</t>
  </si>
  <si>
    <t xml:space="preserve">When</t>
  </si>
  <si>
    <t xml:space="preserve">Loan</t>
  </si>
  <si>
    <t xml:space="preserve">Terms (Sept 2026)</t>
  </si>
  <si>
    <t xml:space="preserve">Can you actually get it - the blunt answer</t>
  </si>
  <si>
    <t xml:space="preserve">Day one</t>
  </si>
  <si>
    <t xml:space="preserve">Kiva US</t>
  </si>
  <si>
    <t xml:space="preserve">$1,000-15,000, 0% interest, up to 3 years, up to 6 months grace. No credit-score minimum.</t>
  </si>
  <si>
    <t xml:space="preserve">YES. You must get 5-40 people from your own network to lend to you within 15 days before Kiva opens it to the public. That is a test of exactly the relationships this plan tells you to build. Tools and trailer money.</t>
  </si>
  <si>
    <t xml:space="preserve">Business credit card with a personal guarantee (Amex Blue Business Cash, Chase Ink)</t>
  </si>
  <si>
    <t xml:space="preserve">New LLC with $0 revenue accepted on personal credit of roughly 690+.</t>
  </si>
  <si>
    <t xml:space="preserve">YES if your personal score is there - which is what Part One was for. Fuel and materials float, paid in full monthly. Never a financing tool.</t>
  </si>
  <si>
    <t xml:space="preserve">SBA microloan / Louisiana SSBCI microloan</t>
  </si>
  <si>
    <t xml:space="preserve">Up to $50,000; 8-13%; up to 7 years; average loan about $15,400. 620+ score recommended; collateral and personal guarantee.</t>
  </si>
  <si>
    <t xml:space="preserve">YES - this is your first real loan. A quarter of these go to businesses under two years old. Louisiana lenders: TruFund, JEDCO, NewCorp, Carter Credit Union, Essential Credit Union.</t>
  </si>
  <si>
    <t xml:space="preserve">Independent equipment lender - used mini-ex</t>
  </si>
  <si>
    <t xml:space="preserve">No time-in-business minimum; 680-700+ personal credit; 10-25% down; 13-18% APR for a new business, 3-8 points above an established one; used units capped at 10-15 years old.</t>
  </si>
  <si>
    <t xml:space="preserve">YES with a 700+ score, 20% down and years of documented operator time. Kubota Credit takes ~620+ with 10-15% down. Cat Financial wants a personal guarantee under 5 years. Dealer 0% promotions are almost always NEW equipment only.</t>
  </si>
  <si>
    <t xml:space="preserve">Family note</t>
  </si>
  <si>
    <t xml:space="preserve">Written promissory note at or above the IRS applicable federal rate (about 4.5% mid-term, Sept 2026), typically 5 years, subordinated to the lenders above.</t>
  </si>
  <si>
    <t xml:space="preserve">YES if the family is willing - and it must be papered. Loans under $10,000 are exempt from imputed-interest rules; gifts under $19,000 a year need no paperwork. A handshake loan is a gift-tax problem and a family problem waiting to happen.</t>
  </si>
  <si>
    <t xml:space="preserve">Year 1-2</t>
  </si>
  <si>
    <t xml:space="preserve">Louisiana SSBCI Small Business Loan Guaranty</t>
  </si>
  <si>
    <t xml:space="preserve">State guarantees up to 80% of a bank loan (up to $1.5M); fee 0-2%; 15% equity required; start-up costs eligible; must create 1 job per $100,000.</t>
  </si>
  <si>
    <t xml:space="preserve">MAYBE. The guaranty makes a $75-150K start-up deal bankable, but a Louisiana bank still has to originate it - and they will want a written letter from customers or the contractor you left. Worth walking into a local bank with, not counting on.</t>
  </si>
  <si>
    <t xml:space="preserve">Year 2-3</t>
  </si>
  <si>
    <t xml:space="preserve">SBA 7(a) - Community Advantage through LiftFund</t>
  </si>
  <si>
    <t xml:space="preserve">Prime plus up to 6%; LiftFund explicitly serves start-ups and Louisiana; 10% equity injection for a business under a year old.</t>
  </si>
  <si>
    <t xml:space="preserve">NOT until you have two filed tax returns. Legally a start-up is eligible; practically, lenders decline without history. The October 2026 rule changes hit acquisitions, not start-ups - projections still count for a new business. This is your year-3 growth loan for crew 2.</t>
  </si>
  <si>
    <t xml:space="preserve">Year 3+</t>
  </si>
  <si>
    <t xml:space="preserve">Bank line of credit</t>
  </si>
  <si>
    <t xml:space="preserve">Prime plus 1-3% for an established contractor; secured by receivables.</t>
  </si>
  <si>
    <t xml:space="preserve">NOT before two years of returns and a banker who has watched you. Start the relationship at 21 - see Part One.</t>
  </si>
  <si>
    <t xml:space="preserve">Never (for this)</t>
  </si>
  <si>
    <t xml:space="preserve">SBA 504</t>
  </si>
  <si>
    <t xml:space="preserve">Up to $5.5M for equipment and real estate; equipment needs 10+ years of remaining life; no working capital.</t>
  </si>
  <si>
    <t xml:space="preserve">NO. Wrong size, and a used mini-excavator fails the ten-year-life test. If you ever buy a yard with a shop on it, revisit.</t>
  </si>
  <si>
    <t xml:space="preserve">At formation</t>
  </si>
  <si>
    <t xml:space="preserve">Hudson Initiative certification</t>
  </si>
  <si>
    <t xml:space="preserve">Free. Under 50 employees and $10M receipts. Adds 10% to your score on Louisiana state bids and waives the quote requirement under $25,000.</t>
  </si>
  <si>
    <t xml:space="preserve">YES, and it costs nothing. Certify the day the LLC exists.</t>
  </si>
  <si>
    <t xml:space="preserve">Read the colours: green is available to you at launch if you did Part One. Amber is real but needs history you will not have yet. Red is not for this. The realistic day-one stack is your savings + Kiva + a microloan + an equipment loan with 20% down + possibly a family note - which is exactly what the funding tab is built from.</t>
  </si>
  <si>
    <t xml:space="preserve">What you actually keep - your salary after tax, and what the write-offs do to it</t>
  </si>
  <si>
    <t xml:space="preserve">Blue = change it. Year-1 figures. Every line is an estimate for planning - a CPA sets the real numbers, and the CPA is worth several times what he costs.</t>
  </si>
  <si>
    <t xml:space="preserve">YOUR SALARY, BEFORE ANYTHING</t>
  </si>
  <si>
    <t xml:space="preserve">Your salary in year 1 (from Assumptions)</t>
  </si>
  <si>
    <t xml:space="preserve">Set on the Assumptions tab. As a single-member LLC all the company's profit is taxed to you anyway - this is the part you actually pay yourself to live on.</t>
  </si>
  <si>
    <t xml:space="preserve">WRITE-OFFS - LEGAL, AND EXACTLY THE SAME LIST CHARLIE USES</t>
  </si>
  <si>
    <t xml:space="preserve">Business miles a year on your truck</t>
  </si>
  <si>
    <t xml:space="preserve">You are now the estimator AND the owner. Log every mile - an app is fine.</t>
  </si>
  <si>
    <t xml:space="preserve">IRS mileage rate ($/mile, 2026 blended)</t>
  </si>
  <si>
    <t xml:space="preserve">72.5 cents Jan-Jun 2026, 76 cents Jul-Dec. Covers fuel, tyres, repairs, insurance, depreciation - do not also deduct fuel for these miles.</t>
  </si>
  <si>
    <t xml:space="preserve">Vehicle deduction</t>
  </si>
  <si>
    <t xml:space="preserve">Section 179 - expense the first equipment set in year one instead of over five years</t>
  </si>
  <si>
    <t xml:space="preserve">2026 Section 179 limit is $2.56M and bonus depreciation is 100% and permanent. A financed machine still qualifies - a $1-buyout lease or a straight loan counts, a fair-market-value lease does not. Whether to take it all in year one or spread it is a CPA question; the proforma tab spreads it to stay conservative.</t>
  </si>
  <si>
    <t xml:space="preserve">Home office (simplified: $5 a sq ft up to 300 sq ft)</t>
  </si>
  <si>
    <t xml:space="preserve">Only if a space is used regularly and exclusively for the business.</t>
  </si>
  <si>
    <t xml:space="preserve">Self-employed health insurance premiums</t>
  </si>
  <si>
    <t xml:space="preserve">Above the line. At 25 this is cheap - buy it, both because it is deductible and because you dig holes for a living.</t>
  </si>
  <si>
    <t xml:space="preserve">Solo 401(k) contribution (% of salary)</t>
  </si>
  <si>
    <t xml:space="preserve">2026 limits: $24,500 employee deferral plus profit-sharing, $72,000 combined. Ten percent from year one is the habit that matters more than the amount. Roth contributions can come back out tax-free if you ever need seed money for crew 2.</t>
  </si>
  <si>
    <t xml:space="preserve">Retirement deduction</t>
  </si>
  <si>
    <t xml:space="preserve">Phone, licences, dues, tools under $2,500, bank and card fees</t>
  </si>
  <si>
    <t xml:space="preserve">Small tools under $2,500 each can be expensed outright under the de minimis safe harbour.</t>
  </si>
  <si>
    <t xml:space="preserve">TOTAL WRITE-OFFS AGAINST YOUR OWN TAX</t>
  </si>
  <si>
    <t xml:space="preserve">Materials, wages, insurance and the equipment are already deducted inside the company's numbers on the proforma tab - not counted twice here.</t>
  </si>
  <si>
    <t xml:space="preserve">WHAT THAT IS WORTH</t>
  </si>
  <si>
    <t xml:space="preserve">Your combined marginal rate (federal + 15.3% self-employment + Louisiana 3%)</t>
  </si>
  <si>
    <t xml:space="preserve">Blended. The QBI deduction (20% of qualified business income, now permanent) is on top of this and is why a CPA is worth it.</t>
  </si>
  <si>
    <t xml:space="preserve">Tax saved by the write-offs</t>
  </si>
  <si>
    <t xml:space="preserve">Estimated tax on your salary after write-offs</t>
  </si>
  <si>
    <t xml:space="preserve">The retirement money is added back because it is deferred, not spent - it is still yours.</t>
  </si>
  <si>
    <t xml:space="preserve">WHAT YOU ACTUALLY KEEP IN YEAR ONE (salary less tax, plus the retirement you put away)</t>
  </si>
  <si>
    <t xml:space="preserve">Compare this to the take-home column on the ladder in your other file at the same age. In year one of your own company it is usually LESS. The difference is what you are paying for the equity you now own.</t>
  </si>
  <si>
    <t xml:space="preserve">THE S-CORP QUESTION - WHEN IT STARTS TO PAY</t>
  </si>
  <si>
    <t xml:space="preserve">Once the company clears about $60,000-80,000 of profit a year, electing S-corporation status lets you pay yourself a 'reasonable salary' and take the rest as a distribution that is not subject to the 15.3% self-employment tax. At $90,000 of profit with a $54,000 salary the net saving is about $3,400 a year after the extra $2,000-4,000 of payroll and compliance cost.</t>
  </si>
  <si>
    <t xml:space="preserve">Below that it is marginal or negative, because the compliance cost eats the saving. On the defaults in this file that means: do NOT elect in year one. Revisit in year two with the CPA, once the numbers are real. The IRS actively audits S-corps that pay an unreasonably low salary, so this is a decision to make with a professional and never on your own.</t>
  </si>
  <si>
    <t xml:space="preserve">What the company is worth, year by year - and the honest word on investors</t>
  </si>
  <si>
    <t xml:space="preserve">Formulas off the proforma and the SDE multiple on Assumptions. This is what a buyer would pay, not what you would ask.</t>
  </si>
  <si>
    <t xml:space="preserve">Revenue</t>
  </si>
  <si>
    <t xml:space="preserve">Owner's cash (SDE)</t>
  </si>
  <si>
    <t xml:space="preserve">Multiple a buyer pays</t>
  </si>
  <si>
    <t xml:space="preserve">2.49x SDE for a business under about $2M of revenue - the same BizBuySell figure the Scag Scapes model uses. Bigger companies earn bigger multiples because different buyers show up; on the defaults you stay in this band for ten years.</t>
  </si>
  <si>
    <t xml:space="preserve">Less debt still owed (equipment, rough)</t>
  </si>
  <si>
    <t xml:space="preserve">A rough estimate of remaining equipment principal - about two and a half years of payments at any point. A buyer pays for the business, then the debt comes out of your side.</t>
  </si>
  <si>
    <t xml:space="preserve">WHAT YOU COULD SELL IT FOR</t>
  </si>
  <si>
    <t xml:space="preserve">SDE times the multiple, minus debt, plus the cash in the bank. On the defaults, a three-crew company at year ten is worth more than the house most people your age are trying to buy - built from an $80K used equipment set and a secured credit card opened at 18.</t>
  </si>
  <si>
    <t xml:space="preserve">Cumulative owner's cash taken out along the way</t>
  </si>
  <si>
    <t xml:space="preserve">EVERYTHING, IF YOU SOLD THAT YEAR</t>
  </si>
  <si>
    <t xml:space="preserve">What you took out along the way plus what you would get for it. The honest total. Compare it to fifteen years of wages on the ladder in your other file.</t>
  </si>
  <si>
    <t xml:space="preserve">INVESTORS, PARTNERS, AND WHY YOU SHOULD SAY NO TO MOST OF THEM</t>
  </si>
  <si>
    <t xml:space="preserve">There is no outside investor for a one-crew excavation company, and there should not be. Institutional money does not exist at this size - confirmed against 2026 transaction data - and anyone offering you equity money for a start-up this small is either family or somebody you should be careful of. The right money is your savings, lenders who get repaid, and family on a written note.</t>
  </si>
  <si>
    <t xml:space="preserve">If somebody offers to buy the equipment in exchange for a share of the company - which happens, and is usually meant kindly - the answer is: thank you, and let's do it as a LEASE or a secured NOTE instead of equity. Their company (or they personally) owns the machine and rents it to yours at a fair rate, or lends you the money against it. They get paid first and get paid back. You keep 100% of the company, which matters more than it sounds: any owner of 20% or more has to personally guarantee every SBA loan you ever take, and a partner who did not want that is a partner you have just made unhappy.</t>
  </si>
  <si>
    <t xml:space="preserve">The family note, if there is one: a written promissory note, at or above the IRS applicable federal rate (about 4.5% for a mid-term loan in September 2026), five years, interest-only for the first six months if it helps, subordinated to any bank or SBA loan. Under $10,000 the IRS does not impute interest at all. Under $19,000 a year it can simply be a gift with no paperwork. But a loan gets a piece of paper, every time, because the paper is what keeps it from becoming a family argument.</t>
  </si>
  <si>
    <t xml:space="preserve">The one genuine 'investor' in this plan is Charlie. If at 25 the better move is a stake in Scag Scapes instead of your own company, this file is what tells you what your alternative is worth - and that is the only thing that lets you negotiate as an equal rather than as an employee being offered something.</t>
  </si>
  <si>
    <t xml:space="preserve">Where every number came from - verified September 2026</t>
  </si>
  <si>
    <t xml:space="preserve">Survival rates</t>
  </si>
  <si>
    <t xml:space="preserve">BLS Business Employment Dynamics, construction (NAICS 23): 1-year survival 79.7-83.2%, 2-year 71-75%, 5-year 62-64.5% for 2020-24 cohorts. https://www.bls.gov/bdm/us_age_naics_23_table7.txt</t>
  </si>
  <si>
    <t xml:space="preserve">Why contractors fail</t>
  </si>
  <si>
    <t xml:space="preserve">Cash flow and undercapitalisation, underbidding, no plan, growing too fast, people. https://www.constructconnect.com/blog/6-reasons-why-construction-companies-fail</t>
  </si>
  <si>
    <t xml:space="preserve">Louisiana french drain pricing</t>
  </si>
  <si>
    <t xml:space="preserve">$23-90 per linear foot; typical 75 LF job $1,688-6,750. https://costonce.com/costs/install-french-drain/louisiana</t>
  </si>
  <si>
    <t xml:space="preserve">Used equipment prices</t>
  </si>
  <si>
    <t xml:space="preserve">Bobcat E35 average asking $43,761, 2021-23 units $31.9-42.5K (machinerytrader.com). Bobcat T650 average $46,837, 2016-18 units $27-32K. 14,000 lb equipment trailer $6,190 new (kaufmantrailers.com).</t>
  </si>
  <si>
    <t xml:space="preserve">LSLBC licensing</t>
  </si>
  <si>
    <t xml:space="preserve">Home Improvement registration $7,500-$50,000; Residential licence above $50,000 or structural work, $50,000 net worth, GL of at least $100,000, workers' comp required. https://lslbc.gov/wp-content/uploads/2025/06/Licensing-Requirements-for-Contractors-in-Louisiana.pdf</t>
  </si>
  <si>
    <t xml:space="preserve">Excavation workers' comp class 6217 about $5.25 per $100 of payroll; Louisiana loss costs fell 5.3% May 2026 (NCCI). Small-excavator programme $12-35K/yr all-in. https://gritinsurance.com/blog/excavation-business-insurance-cost-2026</t>
  </si>
  <si>
    <t xml:space="preserve">SBA microloan</t>
  </si>
  <si>
    <t xml:space="preserve">Up to $50,000, 8-13%, up to 7 years, average $15,399; 26% of FY26 loans to businesses under 2 years. https://www.sba.gov/loans/microloans/ - Louisiana SSBCI microlenders: https://www.louisianassbci.com/programs/micro-lending/</t>
  </si>
  <si>
    <t xml:space="preserve">$1,000-15,000 at 0%, no credit minimum, age 18+, 5-40 private lenders in 15 days. https://www.kiva.org/lp/faq-kiva-us-application-faqs</t>
  </si>
  <si>
    <t xml:space="preserve">Louisiana SSBCI loan guaranty</t>
  </si>
  <si>
    <t xml:space="preserve">Up to 80% guaranty, $1.5M cap, 0-2% fee, 15% equity, start-up costs eligible. https://www.louisianassbci.com/programs/small-business-loan-guaranty/</t>
  </si>
  <si>
    <t xml:space="preserve">SBA 7(a) for start-ups</t>
  </si>
  <si>
    <t xml:space="preserve">10% equity injection under one year; SBSS score retired March 2026; DSCR 1.1x historical and/or projected; the October 2026 SOP changes affect acquisitions, not start-ups. https://www.naggl.org/wp-content/uploads/2026/05/5000-875701.pdf - LiftFund Community Advantage: https://www.liftfund.com/funding/our-products</t>
  </si>
  <si>
    <t xml:space="preserve">Equipment financing for a new business</t>
  </si>
  <si>
    <t xml:space="preserve">Independent lenders: no time-in-business minimum, 680+ credit, 10-25% down, 3-8 points above established rates. https://www.smarterfinanceusa.com/equipment-leasing-for-new-businesses - Kubota ~620+, 10-15% down. Tier-1 banks hold a hard 2-year rule.</t>
  </si>
  <si>
    <t xml:space="preserve">Credit building</t>
  </si>
  <si>
    <t xml:space="preserve">Authorised-user and secured-card sequence; first score after 6 months; Gen Z average FICO 678 (Sept 2025). https://www.experian.com/blogs/ask-experian/how-long-does-it-take-to-build-credit/ - Net-30 vendors verified to report (Aug 2026): Uline, Quill, Crown Office Supplies. https://companybaseos.com/blog/net-30-vendors-verified-list</t>
  </si>
  <si>
    <t xml:space="preserve">M.J. Foster Promise</t>
  </si>
  <si>
    <t xml:space="preserve">$3,200/yr, $6,400 lifetime, minimum age lowered to 19 for 2026-27, construction eligible. https://mylosfa.la.gov/students-parents/scholarships-grants/mjfoster/</t>
  </si>
  <si>
    <t xml:space="preserve">Hudson Initiative</t>
  </si>
  <si>
    <t xml:space="preserve">Free certification; +10% on state RFP scoring; quote waiver under $25,000. https://www.opportunitylouisiana.gov/program/hudson-initiative</t>
  </si>
  <si>
    <t xml:space="preserve">Family loans</t>
  </si>
  <si>
    <t xml:space="preserve">Applicable federal rates, September 2026: 4.18% short, 4.49% mid, 5.12% long (Rev. Rul. 2026-17). Loans under $10,000 exempt from imputed interest; 2026 gift exclusion $19,000. https://goldentax.com/blog/2026/08/applicable-federal-rates-afr-for-september-2026/</t>
  </si>
  <si>
    <t xml:space="preserve">Owner tax</t>
  </si>
  <si>
    <t xml:space="preserve">2026: SE tax 15.3%, Social Security base $184,500, mileage 72.5/76 cents, Section 179 $2.56M, Solo 401(k) $24,500 / $72,000, home office $5/sq ft to $1,500, QBI 20% permanent. S-corp worth it above about $60-80K net; about $3,400/yr saving at $90K profit. https://unclekam.com/tax-strategy-blog/when-does-s-corp-election-make-sense-for-your-client/</t>
  </si>
  <si>
    <t xml:space="preserve">Valuation</t>
  </si>
  <si>
    <t xml:space="preserve">BizBuySell rolling closed sales, landscaping and yard service: 2.49x SDE, 0.72x revenue. https://www.bizbuysell.com/learning-center/industry-valuation-multiples/</t>
  </si>
  <si>
    <t xml:space="preserve">Wages</t>
  </si>
  <si>
    <t xml:space="preserve">BLS OEWS May 2025, Baton Rouge: construction labourer median $18.58, equipment operator $27.99. East Baton Rouge specialty-trade wages grew 3.75%/yr 2019-2024 (QCEW).</t>
  </si>
</sst>
</file>

<file path=xl/styles.xml><?xml version="1.0" encoding="utf-8"?>
<styleSheet xmlns="http://schemas.openxmlformats.org/spreadsheetml/2006/main">
  <numFmts count="7">
    <numFmt numFmtId="164" formatCode="General"/>
    <numFmt numFmtId="165" formatCode="\$#,##0;&quot;($&quot;#,##0\);\-"/>
    <numFmt numFmtId="166" formatCode="#,##0;\(#,##0\);\-"/>
    <numFmt numFmtId="167" formatCode="0.0%"/>
    <numFmt numFmtId="168" formatCode="\$#,##0.00"/>
    <numFmt numFmtId="169" formatCode="\$0.000"/>
    <numFmt numFmtId="170" formatCode="0.00"/>
  </numFmts>
  <fonts count="13">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sz val="10.5"/>
      <name val="Arial"/>
      <family val="0"/>
      <charset val="1"/>
    </font>
    <font>
      <b val="true"/>
      <sz val="10"/>
      <name val="Arial"/>
      <family val="0"/>
      <charset val="1"/>
    </font>
    <font>
      <b val="true"/>
      <sz val="11"/>
      <color rgb="FF1F5A6E"/>
      <name val="Arial"/>
      <family val="0"/>
      <charset val="1"/>
    </font>
    <font>
      <i val="true"/>
      <sz val="9"/>
      <name val="Arial"/>
      <family val="0"/>
      <charset val="1"/>
    </font>
    <font>
      <b val="true"/>
      <sz val="14"/>
      <name val="Arial"/>
      <family val="0"/>
      <charset val="1"/>
    </font>
    <font>
      <sz val="10"/>
      <color rgb="FF0000FF"/>
      <name val="Arial"/>
      <family val="0"/>
      <charset val="1"/>
    </font>
    <font>
      <sz val="9"/>
      <color rgb="FF46524E"/>
      <name val="Arial"/>
      <family val="0"/>
      <charset val="1"/>
    </font>
    <font>
      <sz val="10"/>
      <name val="Arial"/>
      <family val="0"/>
      <charset val="1"/>
    </font>
  </fonts>
  <fills count="8">
    <fill>
      <patternFill patternType="none"/>
    </fill>
    <fill>
      <patternFill patternType="gray125"/>
    </fill>
    <fill>
      <patternFill patternType="solid">
        <fgColor rgb="FFD8E7EC"/>
        <bgColor rgb="FFDCEEE1"/>
      </patternFill>
    </fill>
    <fill>
      <patternFill patternType="solid">
        <fgColor rgb="FFFFFF00"/>
        <bgColor rgb="FFFFFF00"/>
      </patternFill>
    </fill>
    <fill>
      <patternFill patternType="solid">
        <fgColor rgb="FFEEF1EF"/>
        <bgColor rgb="FFDCEEE1"/>
      </patternFill>
    </fill>
    <fill>
      <patternFill patternType="solid">
        <fgColor rgb="FFDCEEE1"/>
        <bgColor rgb="FFD8E7EC"/>
      </patternFill>
    </fill>
    <fill>
      <patternFill patternType="solid">
        <fgColor rgb="FFF6E9CF"/>
        <bgColor rgb="FFF4DCD9"/>
      </patternFill>
    </fill>
    <fill>
      <patternFill patternType="solid">
        <fgColor rgb="FFF4DCD9"/>
        <bgColor rgb="FFF6E9C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false" applyProtection="true">
      <alignment horizontal="general" vertical="bottom" textRotation="0" wrapText="false" indent="0" shrinkToFit="false"/>
      <protection locked="false" hidden="false"/>
    </xf>
    <xf numFmtId="164" fontId="11" fillId="0" borderId="0" xfId="0" applyFont="true" applyBorder="false" applyAlignment="true" applyProtection="false">
      <alignment horizontal="general" vertical="top" textRotation="0" wrapText="true" indent="0" shrinkToFit="false"/>
      <protection locked="true" hidden="false"/>
    </xf>
    <xf numFmtId="165" fontId="10" fillId="3" borderId="0" xfId="0" applyFont="true" applyBorder="false" applyAlignment="false" applyProtection="true">
      <alignment horizontal="general" vertical="bottom" textRotation="0" wrapText="false" indent="0" shrinkToFit="false"/>
      <protection locked="false" hidden="false"/>
    </xf>
    <xf numFmtId="164" fontId="10" fillId="0" borderId="0" xfId="0" applyFont="true" applyBorder="false" applyAlignment="false" applyProtection="true">
      <alignment horizontal="general" vertical="bottom" textRotation="0" wrapText="false" indent="0" shrinkToFit="false"/>
      <protection locked="false" hidden="false"/>
    </xf>
    <xf numFmtId="166" fontId="10" fillId="0" borderId="0" xfId="0" applyFont="true" applyBorder="false" applyAlignment="false" applyProtection="true">
      <alignment horizontal="general" vertical="bottom" textRotation="0" wrapText="false" indent="0" shrinkToFit="false"/>
      <protection locked="false" hidden="false"/>
    </xf>
    <xf numFmtId="167" fontId="10" fillId="3" borderId="0" xfId="0" applyFont="true" applyBorder="false" applyAlignment="false" applyProtection="true">
      <alignment horizontal="general" vertical="bottom" textRotation="0" wrapText="false" indent="0" shrinkToFit="false"/>
      <protection locked="false" hidden="false"/>
    </xf>
    <xf numFmtId="167" fontId="10" fillId="0" borderId="0" xfId="0" applyFont="true" applyBorder="false" applyAlignment="false" applyProtection="true">
      <alignment horizontal="general" vertical="bottom" textRotation="0" wrapText="false" indent="0" shrinkToFit="false"/>
      <protection locked="false" hidden="false"/>
    </xf>
    <xf numFmtId="165" fontId="10" fillId="0" borderId="0" xfId="0" applyFont="true" applyBorder="false" applyAlignment="false" applyProtection="true">
      <alignment horizontal="general" vertical="bottom" textRotation="0" wrapText="false" indent="0" shrinkToFit="false"/>
      <protection locked="fals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true" applyProtection="false">
      <alignment horizontal="center"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true">
      <alignment horizontal="general" vertical="bottom" textRotation="0" wrapText="false" indent="0" shrinkToFit="false"/>
      <protection locked="true" hidden="true"/>
    </xf>
    <xf numFmtId="166" fontId="12" fillId="0" borderId="0" xfId="0" applyFont="true" applyBorder="false" applyAlignment="false" applyProtection="true">
      <alignment horizontal="general" vertical="bottom" textRotation="0" wrapText="false" indent="0" shrinkToFit="false"/>
      <protection locked="true" hidden="true"/>
    </xf>
    <xf numFmtId="167" fontId="12" fillId="0" borderId="0" xfId="0" applyFont="true" applyBorder="false" applyAlignment="false" applyProtection="true">
      <alignment horizontal="general" vertical="bottom" textRotation="0" wrapText="false" indent="0" shrinkToFit="false"/>
      <protection locked="true" hidden="true"/>
    </xf>
    <xf numFmtId="168" fontId="12" fillId="0" borderId="0" xfId="0" applyFont="true" applyBorder="false" applyAlignment="false" applyProtection="true">
      <alignment horizontal="general" vertical="bottom" textRotation="0" wrapText="false" indent="0" shrinkToFit="false"/>
      <protection locked="true" hidden="true"/>
    </xf>
    <xf numFmtId="165" fontId="6" fillId="0" borderId="0" xfId="0" applyFont="true" applyBorder="false" applyAlignment="false" applyProtection="true">
      <alignment horizontal="general" vertical="bottom" textRotation="0" wrapText="false" indent="0" shrinkToFit="false"/>
      <protection locked="true" hidden="true"/>
    </xf>
    <xf numFmtId="164" fontId="7"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true">
      <alignment horizontal="general" vertical="bottom" textRotation="0" wrapText="false" indent="0" shrinkToFit="false"/>
      <protection locked="true" hidden="true"/>
    </xf>
    <xf numFmtId="166" fontId="6" fillId="0" borderId="0" xfId="0" applyFont="true" applyBorder="false" applyAlignment="false" applyProtection="true">
      <alignment horizontal="general" vertical="bottom" textRotation="0" wrapText="false" indent="0" shrinkToFit="false"/>
      <protection locked="true" hidden="true"/>
    </xf>
    <xf numFmtId="164" fontId="0" fillId="0" borderId="0" xfId="0" applyFont="true" applyBorder="true" applyAlignment="true" applyProtection="false">
      <alignment horizontal="general" vertical="top" textRotation="0" wrapText="tru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6" fontId="10" fillId="3" borderId="0" xfId="0" applyFont="true" applyBorder="false" applyAlignment="false" applyProtection="true">
      <alignment horizontal="general" vertical="bottom" textRotation="0" wrapText="false" indent="0" shrinkToFit="false"/>
      <protection locked="fals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6" fillId="5" borderId="0" xfId="0" applyFont="true" applyBorder="false" applyAlignment="true" applyProtection="false">
      <alignment horizontal="general" vertical="top" textRotation="0" wrapText="true" indent="0" shrinkToFit="false"/>
      <protection locked="true" hidden="false"/>
    </xf>
    <xf numFmtId="164" fontId="12" fillId="5" borderId="0" xfId="0" applyFont="true" applyBorder="false" applyAlignment="true" applyProtection="false">
      <alignment horizontal="general" vertical="top" textRotation="0" wrapText="true" indent="0" shrinkToFit="false"/>
      <protection locked="true" hidden="false"/>
    </xf>
    <xf numFmtId="164" fontId="11" fillId="5" borderId="0" xfId="0" applyFont="true" applyBorder="false" applyAlignment="true" applyProtection="false">
      <alignment horizontal="general" vertical="top" textRotation="0" wrapText="true" indent="0" shrinkToFit="false"/>
      <protection locked="true" hidden="false"/>
    </xf>
    <xf numFmtId="164" fontId="6" fillId="6" borderId="0" xfId="0" applyFont="true" applyBorder="false" applyAlignment="true" applyProtection="false">
      <alignment horizontal="general" vertical="top" textRotation="0" wrapText="true" indent="0" shrinkToFit="false"/>
      <protection locked="true" hidden="false"/>
    </xf>
    <xf numFmtId="164" fontId="12" fillId="6" borderId="0" xfId="0" applyFont="true" applyBorder="false" applyAlignment="true" applyProtection="false">
      <alignment horizontal="general" vertical="top" textRotation="0" wrapText="true" indent="0" shrinkToFit="false"/>
      <protection locked="true" hidden="false"/>
    </xf>
    <xf numFmtId="164" fontId="11" fillId="6" borderId="0" xfId="0" applyFont="true" applyBorder="false" applyAlignment="true" applyProtection="false">
      <alignment horizontal="general" vertical="top" textRotation="0" wrapText="true" indent="0" shrinkToFit="false"/>
      <protection locked="true" hidden="false"/>
    </xf>
    <xf numFmtId="164" fontId="6" fillId="7" borderId="0" xfId="0" applyFont="true" applyBorder="false" applyAlignment="true" applyProtection="false">
      <alignment horizontal="general" vertical="top" textRotation="0" wrapText="true" indent="0" shrinkToFit="false"/>
      <protection locked="true" hidden="false"/>
    </xf>
    <xf numFmtId="164" fontId="12" fillId="7" borderId="0" xfId="0" applyFont="true" applyBorder="false" applyAlignment="true" applyProtection="false">
      <alignment horizontal="general" vertical="top" textRotation="0" wrapText="true" indent="0" shrinkToFit="false"/>
      <protection locked="true" hidden="false"/>
    </xf>
    <xf numFmtId="164" fontId="11" fillId="7"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9" fontId="10" fillId="3" borderId="0" xfId="0" applyFont="true" applyBorder="false" applyAlignment="false" applyProtection="true">
      <alignment horizontal="general" vertical="bottom" textRotation="0" wrapText="false" indent="0" shrinkToFit="false"/>
      <protection locked="false" hidden="false"/>
    </xf>
    <xf numFmtId="170" fontId="12" fillId="0" borderId="0" xfId="0" applyFont="true" applyBorder="false" applyAlignment="false" applyProtection="true">
      <alignment horizontal="general" vertical="bottom" textRotation="0" wrapText="false" indent="0" shrinkToFit="false"/>
      <protection locked="true" hidden="tru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EF1EF"/>
      <rgbColor rgb="FFFF0000"/>
      <rgbColor rgb="FF00FF00"/>
      <rgbColor rgb="FF0000FF"/>
      <rgbColor rgb="FFFFFF00"/>
      <rgbColor rgb="FFFF00FF"/>
      <rgbColor rgb="FF00FFFF"/>
      <rgbColor rgb="FF800000"/>
      <rgbColor rgb="FF008000"/>
      <rgbColor rgb="FF000080"/>
      <rgbColor rgb="FF808000"/>
      <rgbColor rgb="FF800080"/>
      <rgbColor rgb="FF1F5A6E"/>
      <rgbColor rgb="FFC0C0C0"/>
      <rgbColor rgb="FF808080"/>
      <rgbColor rgb="FF9999FF"/>
      <rgbColor rgb="FF993366"/>
      <rgbColor rgb="FFF6E9CF"/>
      <rgbColor rgb="FFD8E7E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CEEE1"/>
      <rgbColor rgb="FFFFFF99"/>
      <rgbColor rgb="FF99CCFF"/>
      <rgbColor rgb="FFFF99CC"/>
      <rgbColor rgb="FFCC99FF"/>
      <rgbColor rgb="FFF4DCD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6524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5"/>
  </cols>
  <sheetData>
    <row r="1" customFormat="false" ht="19.7" hidden="false" customHeight="false" outlineLevel="0" collapsed="false">
      <c r="A1" s="1" t="s">
        <v>0</v>
      </c>
    </row>
    <row r="3" customFormat="false" ht="15" hidden="false" customHeight="false" outlineLevel="0" collapsed="false">
      <c r="A3" s="2"/>
    </row>
    <row r="4" customFormat="false" ht="39" hidden="false" customHeight="true" outlineLevel="0" collapsed="false">
      <c r="A4" s="3" t="s">
        <v>1</v>
      </c>
    </row>
    <row r="5" customFormat="false" ht="15" hidden="false" customHeight="false" outlineLevel="0" collapsed="false">
      <c r="A5" s="2"/>
    </row>
    <row r="6" customFormat="false" ht="25.5" hidden="false" customHeight="true" outlineLevel="0" collapsed="false">
      <c r="A6" s="2" t="s">
        <v>2</v>
      </c>
    </row>
    <row r="7" customFormat="false" ht="15" hidden="false" customHeight="false" outlineLevel="0" collapsed="false">
      <c r="A7" s="2"/>
    </row>
    <row r="8" customFormat="false" ht="12.75" hidden="false" customHeight="true" outlineLevel="0" collapsed="false">
      <c r="A8" s="4" t="s">
        <v>3</v>
      </c>
    </row>
    <row r="9" customFormat="false" ht="15" hidden="false" customHeight="false" outlineLevel="0" collapsed="false">
      <c r="A9" s="2"/>
    </row>
    <row r="10" customFormat="false" ht="51.75" hidden="false" customHeight="true" outlineLevel="0" collapsed="false">
      <c r="A10" s="2" t="s">
        <v>4</v>
      </c>
    </row>
    <row r="11" customFormat="false" ht="15" hidden="false" customHeight="false" outlineLevel="0" collapsed="false">
      <c r="A11" s="2"/>
    </row>
    <row r="12" customFormat="false" ht="64.5" hidden="false" customHeight="true" outlineLevel="0" collapsed="false">
      <c r="A12" s="2" t="s">
        <v>5</v>
      </c>
    </row>
    <row r="13" customFormat="false" ht="15" hidden="false" customHeight="false" outlineLevel="0" collapsed="false">
      <c r="A13" s="2"/>
    </row>
    <row r="14" customFormat="false" ht="39" hidden="false" customHeight="true" outlineLevel="0" collapsed="false">
      <c r="A14" s="2" t="s">
        <v>6</v>
      </c>
    </row>
    <row r="15" customFormat="false" ht="15" hidden="false" customHeight="false" outlineLevel="0" collapsed="false">
      <c r="A15" s="2"/>
    </row>
    <row r="16" customFormat="false" ht="51.75" hidden="false" customHeight="true" outlineLevel="0" collapsed="false">
      <c r="A16" s="2" t="s">
        <v>7</v>
      </c>
    </row>
    <row r="17" customFormat="false" ht="15" hidden="false" customHeight="false" outlineLevel="0" collapsed="false">
      <c r="A17" s="2"/>
    </row>
    <row r="18" customFormat="false" ht="39" hidden="false" customHeight="true" outlineLevel="0" collapsed="false">
      <c r="A18" s="2" t="s">
        <v>8</v>
      </c>
    </row>
    <row r="19" customFormat="false" ht="15" hidden="false" customHeight="false" outlineLevel="0" collapsed="false">
      <c r="A19" s="2"/>
    </row>
    <row r="20" customFormat="false" ht="25.5" hidden="false" customHeight="true" outlineLevel="0" collapsed="false">
      <c r="A20" s="5" t="s">
        <v>9</v>
      </c>
    </row>
  </sheetData>
  <sheetProtection sheet="true" password="dede" formatCells="fals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14"/>
    <col collapsed="false" customWidth="true" hidden="false" outlineLevel="0" max="3" min="3" style="0" width="90"/>
  </cols>
  <sheetData>
    <row r="1" customFormat="false" ht="17.35" hidden="false" customHeight="false" outlineLevel="0" collapsed="false">
      <c r="A1" s="6" t="s">
        <v>10</v>
      </c>
    </row>
    <row r="2" customFormat="false" ht="15" hidden="false" customHeight="false" outlineLevel="0" collapsed="false">
      <c r="A2" s="7" t="s">
        <v>11</v>
      </c>
    </row>
    <row r="4" customFormat="false" ht="15" hidden="false" customHeight="false" outlineLevel="0" collapsed="false">
      <c r="A4" s="8" t="s">
        <v>12</v>
      </c>
      <c r="B4" s="9"/>
      <c r="C4" s="9"/>
    </row>
    <row r="5" customFormat="false" ht="25.5" hidden="false" customHeight="true" outlineLevel="0" collapsed="false">
      <c r="A5" s="0" t="s">
        <v>13</v>
      </c>
      <c r="B5" s="10" t="n">
        <v>25</v>
      </c>
      <c r="C5" s="11" t="s">
        <v>14</v>
      </c>
    </row>
    <row r="6" customFormat="false" ht="25.5" hidden="false" customHeight="true" outlineLevel="0" collapsed="false">
      <c r="A6" s="0" t="s">
        <v>15</v>
      </c>
      <c r="B6" s="12" t="n">
        <v>35000</v>
      </c>
      <c r="C6" s="11" t="s">
        <v>16</v>
      </c>
    </row>
    <row r="7" customFormat="false" ht="25.5" hidden="false" customHeight="true" outlineLevel="0" collapsed="false">
      <c r="A7" s="0" t="s">
        <v>17</v>
      </c>
      <c r="B7" s="10" t="n">
        <v>1</v>
      </c>
      <c r="C7" s="11" t="s">
        <v>18</v>
      </c>
    </row>
    <row r="8" customFormat="false" ht="15" hidden="false" customHeight="false" outlineLevel="0" collapsed="false">
      <c r="A8" s="8" t="s">
        <v>19</v>
      </c>
      <c r="B8" s="9"/>
      <c r="C8" s="9"/>
    </row>
    <row r="9" customFormat="false" ht="12.75" hidden="false" customHeight="true" outlineLevel="0" collapsed="false">
      <c r="A9" s="0" t="s">
        <v>20</v>
      </c>
      <c r="B9" s="10" t="n">
        <v>1</v>
      </c>
      <c r="C9" s="11"/>
    </row>
    <row r="10" customFormat="false" ht="25.5" hidden="false" customHeight="true" outlineLevel="0" collapsed="false">
      <c r="A10" s="0" t="s">
        <v>21</v>
      </c>
      <c r="B10" s="10" t="n">
        <v>3</v>
      </c>
      <c r="C10" s="11" t="s">
        <v>22</v>
      </c>
    </row>
    <row r="11" customFormat="false" ht="25.5" hidden="false" customHeight="true" outlineLevel="0" collapsed="false">
      <c r="A11" s="0" t="s">
        <v>23</v>
      </c>
      <c r="B11" s="13" t="n">
        <v>3</v>
      </c>
      <c r="C11" s="11" t="s">
        <v>24</v>
      </c>
    </row>
    <row r="12" customFormat="false" ht="12.75" hidden="false" customHeight="true" outlineLevel="0" collapsed="false">
      <c r="A12" s="0" t="s">
        <v>25</v>
      </c>
      <c r="B12" s="10" t="n">
        <v>42</v>
      </c>
      <c r="C12" s="11" t="s">
        <v>26</v>
      </c>
    </row>
    <row r="13" customFormat="false" ht="25.5" hidden="false" customHeight="true" outlineLevel="0" collapsed="false">
      <c r="A13" s="0" t="s">
        <v>27</v>
      </c>
      <c r="B13" s="14" t="n">
        <v>240</v>
      </c>
      <c r="C13" s="11" t="s">
        <v>28</v>
      </c>
    </row>
    <row r="14" customFormat="false" ht="25.5" hidden="false" customHeight="true" outlineLevel="0" collapsed="false">
      <c r="A14" s="0" t="s">
        <v>29</v>
      </c>
      <c r="B14" s="15" t="n">
        <v>0.6</v>
      </c>
      <c r="C14" s="11" t="s">
        <v>30</v>
      </c>
    </row>
    <row r="15" customFormat="false" ht="12.75" hidden="false" customHeight="true" outlineLevel="0" collapsed="false">
      <c r="A15" s="0" t="s">
        <v>31</v>
      </c>
      <c r="B15" s="16" t="n">
        <v>0.85</v>
      </c>
      <c r="C15" s="11"/>
    </row>
    <row r="16" customFormat="false" ht="39" hidden="false" customHeight="true" outlineLevel="0" collapsed="false">
      <c r="A16" s="0" t="s">
        <v>32</v>
      </c>
      <c r="B16" s="10" t="n">
        <v>48</v>
      </c>
      <c r="C16" s="11" t="s">
        <v>33</v>
      </c>
    </row>
    <row r="17" customFormat="false" ht="12.75" hidden="false" customHeight="true" outlineLevel="0" collapsed="false">
      <c r="A17" s="0" t="s">
        <v>34</v>
      </c>
      <c r="B17" s="16" t="n">
        <v>0.03</v>
      </c>
      <c r="C17" s="11"/>
    </row>
    <row r="18" customFormat="false" ht="15" hidden="false" customHeight="false" outlineLevel="0" collapsed="false">
      <c r="A18" s="8" t="s">
        <v>35</v>
      </c>
      <c r="B18" s="9"/>
      <c r="C18" s="9"/>
    </row>
    <row r="19" customFormat="false" ht="12.75" hidden="false" customHeight="true" outlineLevel="0" collapsed="false">
      <c r="A19" s="0" t="s">
        <v>36</v>
      </c>
      <c r="B19" s="13" t="n">
        <v>3</v>
      </c>
      <c r="C19" s="11"/>
    </row>
    <row r="20" customFormat="false" ht="25.5" hidden="false" customHeight="true" outlineLevel="0" collapsed="false">
      <c r="A20" s="0" t="s">
        <v>37</v>
      </c>
      <c r="B20" s="10" t="n">
        <v>24</v>
      </c>
      <c r="C20" s="11" t="s">
        <v>38</v>
      </c>
    </row>
    <row r="21" customFormat="false" ht="12.75" hidden="false" customHeight="true" outlineLevel="0" collapsed="false">
      <c r="A21" s="0" t="s">
        <v>39</v>
      </c>
      <c r="B21" s="14" t="n">
        <v>2000</v>
      </c>
      <c r="C21" s="11"/>
    </row>
    <row r="22" customFormat="false" ht="25.5" hidden="false" customHeight="true" outlineLevel="0" collapsed="false">
      <c r="A22" s="0" t="s">
        <v>40</v>
      </c>
      <c r="B22" s="16" t="n">
        <v>0.2</v>
      </c>
      <c r="C22" s="11" t="s">
        <v>41</v>
      </c>
    </row>
    <row r="23" customFormat="false" ht="25.5" hidden="false" customHeight="true" outlineLevel="0" collapsed="false">
      <c r="A23" s="0" t="s">
        <v>42</v>
      </c>
      <c r="B23" s="16" t="n">
        <v>0.035</v>
      </c>
      <c r="C23" s="11" t="s">
        <v>43</v>
      </c>
    </row>
    <row r="24" customFormat="false" ht="15" hidden="false" customHeight="false" outlineLevel="0" collapsed="false">
      <c r="A24" s="8" t="s">
        <v>44</v>
      </c>
      <c r="B24" s="9"/>
      <c r="C24" s="9"/>
    </row>
    <row r="25" customFormat="false" ht="25.5" hidden="false" customHeight="true" outlineLevel="0" collapsed="false">
      <c r="A25" s="0" t="s">
        <v>45</v>
      </c>
      <c r="B25" s="15" t="n">
        <v>0.21</v>
      </c>
      <c r="C25" s="11" t="s">
        <v>46</v>
      </c>
    </row>
    <row r="26" customFormat="false" ht="25.5" hidden="false" customHeight="true" outlineLevel="0" collapsed="false">
      <c r="A26" s="0" t="s">
        <v>47</v>
      </c>
      <c r="B26" s="12" t="n">
        <v>14000</v>
      </c>
      <c r="C26" s="11" t="s">
        <v>48</v>
      </c>
    </row>
    <row r="27" customFormat="false" ht="12.75" hidden="false" customHeight="true" outlineLevel="0" collapsed="false">
      <c r="A27" s="0" t="s">
        <v>49</v>
      </c>
      <c r="B27" s="17" t="n">
        <v>7000</v>
      </c>
      <c r="C27" s="11"/>
    </row>
    <row r="28" customFormat="false" ht="25.5" hidden="false" customHeight="true" outlineLevel="0" collapsed="false">
      <c r="A28" s="0" t="s">
        <v>50</v>
      </c>
      <c r="B28" s="17" t="n">
        <v>900</v>
      </c>
      <c r="C28" s="11" t="s">
        <v>51</v>
      </c>
    </row>
    <row r="29" customFormat="false" ht="25.5" hidden="false" customHeight="true" outlineLevel="0" collapsed="false">
      <c r="A29" s="0" t="s">
        <v>52</v>
      </c>
      <c r="B29" s="16" t="n">
        <v>0.05</v>
      </c>
      <c r="C29" s="11" t="s">
        <v>53</v>
      </c>
    </row>
    <row r="30" customFormat="false" ht="12.75" hidden="false" customHeight="true" outlineLevel="0" collapsed="false">
      <c r="A30" s="0" t="s">
        <v>54</v>
      </c>
      <c r="B30" s="17" t="n">
        <v>300</v>
      </c>
      <c r="C30" s="11" t="s">
        <v>55</v>
      </c>
    </row>
    <row r="31" customFormat="false" ht="12.75" hidden="false" customHeight="true" outlineLevel="0" collapsed="false">
      <c r="A31" s="0" t="s">
        <v>56</v>
      </c>
      <c r="B31" s="17" t="n">
        <v>600</v>
      </c>
      <c r="C31" s="11"/>
    </row>
    <row r="32" customFormat="false" ht="12.75" hidden="false" customHeight="true" outlineLevel="0" collapsed="false">
      <c r="A32" s="0" t="s">
        <v>57</v>
      </c>
      <c r="B32" s="16" t="n">
        <v>0.0275</v>
      </c>
      <c r="C32" s="11"/>
    </row>
    <row r="33" customFormat="false" ht="15" hidden="false" customHeight="false" outlineLevel="0" collapsed="false">
      <c r="A33" s="8" t="s">
        <v>58</v>
      </c>
      <c r="B33" s="9"/>
      <c r="C33" s="9"/>
    </row>
    <row r="34" customFormat="false" ht="39" hidden="false" customHeight="true" outlineLevel="0" collapsed="false">
      <c r="A34" s="0" t="s">
        <v>59</v>
      </c>
      <c r="B34" s="12" t="n">
        <v>55000</v>
      </c>
      <c r="C34" s="11" t="s">
        <v>60</v>
      </c>
    </row>
    <row r="35" customFormat="false" ht="12.75" hidden="false" customHeight="true" outlineLevel="0" collapsed="false">
      <c r="A35" s="0" t="s">
        <v>61</v>
      </c>
      <c r="B35" s="16" t="n">
        <v>0.08</v>
      </c>
      <c r="C35" s="11" t="s">
        <v>62</v>
      </c>
    </row>
    <row r="36" customFormat="false" ht="15" hidden="false" customHeight="false" outlineLevel="0" collapsed="false">
      <c r="A36" s="8" t="s">
        <v>63</v>
      </c>
      <c r="B36" s="9"/>
      <c r="C36" s="9"/>
    </row>
    <row r="37" customFormat="false" ht="25.5" hidden="false" customHeight="true" outlineLevel="0" collapsed="false">
      <c r="A37" s="0" t="s">
        <v>64</v>
      </c>
      <c r="B37" s="12" t="n">
        <v>80000</v>
      </c>
      <c r="C37" s="11" t="s">
        <v>65</v>
      </c>
    </row>
    <row r="38" customFormat="false" ht="12.75" hidden="false" customHeight="true" outlineLevel="0" collapsed="false">
      <c r="A38" s="0" t="s">
        <v>66</v>
      </c>
      <c r="B38" s="15" t="n">
        <v>0.2</v>
      </c>
      <c r="C38" s="11" t="s">
        <v>67</v>
      </c>
    </row>
    <row r="39" customFormat="false" ht="39" hidden="false" customHeight="true" outlineLevel="0" collapsed="false">
      <c r="A39" s="0" t="s">
        <v>68</v>
      </c>
      <c r="B39" s="15" t="n">
        <v>0.14</v>
      </c>
      <c r="C39" s="11" t="s">
        <v>69</v>
      </c>
    </row>
    <row r="40" customFormat="false" ht="12.75" hidden="false" customHeight="true" outlineLevel="0" collapsed="false">
      <c r="A40" s="0" t="s">
        <v>70</v>
      </c>
      <c r="B40" s="13" t="n">
        <v>5</v>
      </c>
      <c r="C40" s="11"/>
    </row>
    <row r="41" customFormat="false" ht="25.5" hidden="false" customHeight="true" outlineLevel="0" collapsed="false">
      <c r="A41" s="0" t="s">
        <v>71</v>
      </c>
      <c r="B41" s="13" t="n">
        <v>5</v>
      </c>
      <c r="C41" s="11" t="s">
        <v>72</v>
      </c>
    </row>
    <row r="42" customFormat="false" ht="15" hidden="false" customHeight="false" outlineLevel="0" collapsed="false">
      <c r="A42" s="8" t="s">
        <v>73</v>
      </c>
      <c r="B42" s="9"/>
      <c r="C42" s="9"/>
    </row>
    <row r="43" customFormat="false" ht="25.5" hidden="false" customHeight="true" outlineLevel="0" collapsed="false">
      <c r="A43" s="0" t="s">
        <v>74</v>
      </c>
      <c r="B43" s="16" t="n">
        <v>0.3</v>
      </c>
      <c r="C43" s="11" t="s">
        <v>75</v>
      </c>
    </row>
    <row r="44" customFormat="false" ht="25.5" hidden="false" customHeight="true" outlineLevel="0" collapsed="false">
      <c r="A44" s="0" t="s">
        <v>76</v>
      </c>
      <c r="B44" s="13" t="n">
        <v>2.49</v>
      </c>
      <c r="C44" s="11" t="s">
        <v>77</v>
      </c>
    </row>
  </sheetData>
  <sheetProtection sheet="true" password="dede" formatCells="fals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56"/>
    <col collapsed="false" customWidth="true" hidden="false" outlineLevel="0" max="11" min="2" style="0" width="12"/>
    <col collapsed="false" customWidth="true" hidden="false" outlineLevel="0" max="13" min="13" style="0" width="66"/>
  </cols>
  <sheetData>
    <row r="1" customFormat="false" ht="17.35" hidden="false" customHeight="false" outlineLevel="0" collapsed="false">
      <c r="A1" s="6" t="s">
        <v>78</v>
      </c>
    </row>
    <row r="2" customFormat="false" ht="15" hidden="false" customHeight="false" outlineLevel="0" collapsed="false">
      <c r="A2" s="7" t="s">
        <v>79</v>
      </c>
    </row>
    <row r="5" customFormat="false" ht="15" hidden="false" customHeight="false" outlineLevel="0" collapsed="false">
      <c r="A5" s="18" t="s">
        <v>80</v>
      </c>
      <c r="B5" s="19" t="n">
        <v>1</v>
      </c>
      <c r="C5" s="19" t="n">
        <v>2</v>
      </c>
      <c r="D5" s="19" t="n">
        <v>3</v>
      </c>
      <c r="E5" s="19" t="n">
        <v>4</v>
      </c>
      <c r="F5" s="19" t="n">
        <v>5</v>
      </c>
      <c r="G5" s="19" t="n">
        <v>6</v>
      </c>
      <c r="H5" s="19" t="n">
        <v>7</v>
      </c>
      <c r="I5" s="19" t="n">
        <v>8</v>
      </c>
      <c r="J5" s="19" t="n">
        <v>9</v>
      </c>
      <c r="K5" s="19" t="n">
        <v>10</v>
      </c>
      <c r="M5" s="18" t="s">
        <v>81</v>
      </c>
    </row>
    <row r="6" customFormat="false" ht="15" hidden="false" customHeight="false" outlineLevel="0" collapsed="false">
      <c r="A6" s="20" t="s">
        <v>82</v>
      </c>
      <c r="B6" s="21" t="n">
        <f aca="false">Assumptions!$B$5+0</f>
        <v>25</v>
      </c>
      <c r="C6" s="21" t="n">
        <f aca="false">Assumptions!$B$5+1</f>
        <v>26</v>
      </c>
      <c r="D6" s="21" t="n">
        <f aca="false">Assumptions!$B$5+2</f>
        <v>27</v>
      </c>
      <c r="E6" s="21" t="n">
        <f aca="false">Assumptions!$B$5+3</f>
        <v>28</v>
      </c>
      <c r="F6" s="21" t="n">
        <f aca="false">Assumptions!$B$5+4</f>
        <v>29</v>
      </c>
      <c r="G6" s="21" t="n">
        <f aca="false">Assumptions!$B$5+5</f>
        <v>30</v>
      </c>
      <c r="H6" s="21" t="n">
        <f aca="false">Assumptions!$B$5+6</f>
        <v>31</v>
      </c>
      <c r="I6" s="21" t="n">
        <f aca="false">Assumptions!$B$5+7</f>
        <v>32</v>
      </c>
      <c r="J6" s="21" t="n">
        <f aca="false">Assumptions!$B$5+8</f>
        <v>33</v>
      </c>
      <c r="K6" s="21" t="n">
        <f aca="false">Assumptions!$B$5+9</f>
        <v>34</v>
      </c>
    </row>
    <row r="7" customFormat="false" ht="15" hidden="false" customHeight="false" outlineLevel="0" collapsed="false">
      <c r="A7" s="8" t="s">
        <v>19</v>
      </c>
      <c r="B7" s="9"/>
      <c r="C7" s="9"/>
      <c r="D7" s="9"/>
      <c r="E7" s="9"/>
      <c r="F7" s="9"/>
      <c r="G7" s="9"/>
      <c r="H7" s="9"/>
      <c r="I7" s="9"/>
      <c r="J7" s="9"/>
      <c r="K7" s="9"/>
      <c r="M7" s="9"/>
    </row>
    <row r="8" customFormat="false" ht="22.35" hidden="false" customHeight="false" outlineLevel="0" collapsed="false">
      <c r="A8" s="20" t="s">
        <v>83</v>
      </c>
      <c r="B8" s="22" t="n">
        <f aca="false">MIN(Assumptions!$B$11,Assumptions!$B$9+INT(0/Assumptions!$B$10))</f>
        <v>1</v>
      </c>
      <c r="C8" s="22" t="n">
        <f aca="false">MIN(Assumptions!$B$11,Assumptions!$B$9+INT(1/Assumptions!$B$10))</f>
        <v>1</v>
      </c>
      <c r="D8" s="22" t="n">
        <f aca="false">MIN(Assumptions!$B$11,Assumptions!$B$9+INT(2/Assumptions!$B$10))</f>
        <v>1</v>
      </c>
      <c r="E8" s="22" t="n">
        <f aca="false">MIN(Assumptions!$B$11,Assumptions!$B$9+INT(3/Assumptions!$B$10))</f>
        <v>2</v>
      </c>
      <c r="F8" s="22" t="n">
        <f aca="false">MIN(Assumptions!$B$11,Assumptions!$B$9+INT(4/Assumptions!$B$10))</f>
        <v>2</v>
      </c>
      <c r="G8" s="22" t="n">
        <f aca="false">MIN(Assumptions!$B$11,Assumptions!$B$9+INT(5/Assumptions!$B$10))</f>
        <v>2</v>
      </c>
      <c r="H8" s="22" t="n">
        <f aca="false">MIN(Assumptions!$B$11,Assumptions!$B$9+INT(6/Assumptions!$B$10))</f>
        <v>3</v>
      </c>
      <c r="I8" s="22" t="n">
        <f aca="false">MIN(Assumptions!$B$11,Assumptions!$B$9+INT(7/Assumptions!$B$10))</f>
        <v>3</v>
      </c>
      <c r="J8" s="22" t="n">
        <f aca="false">MIN(Assumptions!$B$11,Assumptions!$B$9+INT(8/Assumptions!$B$10))</f>
        <v>3</v>
      </c>
      <c r="K8" s="22" t="n">
        <f aca="false">MIN(Assumptions!$B$11,Assumptions!$B$9+INT(9/Assumptions!$B$10))</f>
        <v>3</v>
      </c>
      <c r="M8" s="11" t="s">
        <v>84</v>
      </c>
    </row>
    <row r="9" customFormat="false" ht="22.35" hidden="false" customHeight="false" outlineLevel="0" collapsed="false">
      <c r="A9" s="20" t="s">
        <v>85</v>
      </c>
      <c r="B9" s="23" t="n">
        <f aca="false">MIN(Assumptions!$B$15,Assumptions!$B$14+(Assumptions!$B$15-Assumptions!$B$14)*0)</f>
        <v>0.6</v>
      </c>
      <c r="C9" s="23" t="n">
        <f aca="false">MIN(Assumptions!$B$15,Assumptions!$B$14+(Assumptions!$B$15-Assumptions!$B$14)*0.5)</f>
        <v>0.725</v>
      </c>
      <c r="D9" s="23" t="n">
        <f aca="false">MIN(Assumptions!$B$15,Assumptions!$B$14+(Assumptions!$B$15-Assumptions!$B$14)*1)</f>
        <v>0.85</v>
      </c>
      <c r="E9" s="23" t="n">
        <f aca="false">MIN(Assumptions!$B$15,Assumptions!$B$14+(Assumptions!$B$15-Assumptions!$B$14)*1)</f>
        <v>0.85</v>
      </c>
      <c r="F9" s="23" t="n">
        <f aca="false">MIN(Assumptions!$B$15,Assumptions!$B$14+(Assumptions!$B$15-Assumptions!$B$14)*1)</f>
        <v>0.85</v>
      </c>
      <c r="G9" s="23" t="n">
        <f aca="false">MIN(Assumptions!$B$15,Assumptions!$B$14+(Assumptions!$B$15-Assumptions!$B$14)*1)</f>
        <v>0.85</v>
      </c>
      <c r="H9" s="23" t="n">
        <f aca="false">MIN(Assumptions!$B$15,Assumptions!$B$14+(Assumptions!$B$15-Assumptions!$B$14)*1)</f>
        <v>0.85</v>
      </c>
      <c r="I9" s="23" t="n">
        <f aca="false">MIN(Assumptions!$B$15,Assumptions!$B$14+(Assumptions!$B$15-Assumptions!$B$14)*1)</f>
        <v>0.85</v>
      </c>
      <c r="J9" s="23" t="n">
        <f aca="false">MIN(Assumptions!$B$15,Assumptions!$B$14+(Assumptions!$B$15-Assumptions!$B$14)*1)</f>
        <v>0.85</v>
      </c>
      <c r="K9" s="23" t="n">
        <f aca="false">MIN(Assumptions!$B$15,Assumptions!$B$14+(Assumptions!$B$15-Assumptions!$B$14)*1)</f>
        <v>0.85</v>
      </c>
      <c r="M9" s="11" t="s">
        <v>86</v>
      </c>
    </row>
    <row r="10" customFormat="false" ht="15" hidden="false" customHeight="false" outlineLevel="0" collapsed="false">
      <c r="A10" s="20" t="s">
        <v>87</v>
      </c>
      <c r="B10" s="22" t="n">
        <f aca="false">B8*Assumptions!$B$12*Assumptions!$B$13*B9</f>
        <v>6048</v>
      </c>
      <c r="C10" s="22" t="n">
        <f aca="false">C8*Assumptions!$B$12*Assumptions!$B$13*C9</f>
        <v>7308</v>
      </c>
      <c r="D10" s="22" t="n">
        <f aca="false">D8*Assumptions!$B$12*Assumptions!$B$13*D9</f>
        <v>8568</v>
      </c>
      <c r="E10" s="22" t="n">
        <f aca="false">E8*Assumptions!$B$12*Assumptions!$B$13*E9</f>
        <v>17136</v>
      </c>
      <c r="F10" s="22" t="n">
        <f aca="false">F8*Assumptions!$B$12*Assumptions!$B$13*F9</f>
        <v>17136</v>
      </c>
      <c r="G10" s="22" t="n">
        <f aca="false">G8*Assumptions!$B$12*Assumptions!$B$13*G9</f>
        <v>17136</v>
      </c>
      <c r="H10" s="22" t="n">
        <f aca="false">H8*Assumptions!$B$12*Assumptions!$B$13*H9</f>
        <v>25704</v>
      </c>
      <c r="I10" s="22" t="n">
        <f aca="false">I8*Assumptions!$B$12*Assumptions!$B$13*I9</f>
        <v>25704</v>
      </c>
      <c r="J10" s="22" t="n">
        <f aca="false">J8*Assumptions!$B$12*Assumptions!$B$13*J9</f>
        <v>25704</v>
      </c>
      <c r="K10" s="22" t="n">
        <f aca="false">K8*Assumptions!$B$12*Assumptions!$B$13*K9</f>
        <v>25704</v>
      </c>
    </row>
    <row r="11" customFormat="false" ht="15" hidden="false" customHeight="false" outlineLevel="0" collapsed="false">
      <c r="A11" s="20" t="s">
        <v>88</v>
      </c>
      <c r="B11" s="24" t="n">
        <f aca="false">Assumptions!$B$16*(1+Assumptions!$B$17)^0</f>
        <v>48</v>
      </c>
      <c r="C11" s="24" t="n">
        <f aca="false">Assumptions!$B$16*(1+Assumptions!$B$17)^1</f>
        <v>49.44</v>
      </c>
      <c r="D11" s="24" t="n">
        <f aca="false">Assumptions!$B$16*(1+Assumptions!$B$17)^2</f>
        <v>50.9232</v>
      </c>
      <c r="E11" s="24" t="n">
        <f aca="false">Assumptions!$B$16*(1+Assumptions!$B$17)^3</f>
        <v>52.450896</v>
      </c>
      <c r="F11" s="24" t="n">
        <f aca="false">Assumptions!$B$16*(1+Assumptions!$B$17)^4</f>
        <v>54.02442288</v>
      </c>
      <c r="G11" s="24" t="n">
        <f aca="false">Assumptions!$B$16*(1+Assumptions!$B$17)^5</f>
        <v>55.6451555664</v>
      </c>
      <c r="H11" s="24" t="n">
        <f aca="false">Assumptions!$B$16*(1+Assumptions!$B$17)^6</f>
        <v>57.314510233392</v>
      </c>
      <c r="I11" s="24" t="n">
        <f aca="false">Assumptions!$B$16*(1+Assumptions!$B$17)^7</f>
        <v>59.0339455403938</v>
      </c>
      <c r="J11" s="24" t="n">
        <f aca="false">Assumptions!$B$16*(1+Assumptions!$B$17)^8</f>
        <v>60.8049639066056</v>
      </c>
      <c r="K11" s="24" t="n">
        <f aca="false">Assumptions!$B$16*(1+Assumptions!$B$17)^9</f>
        <v>62.6291128238038</v>
      </c>
    </row>
    <row r="12" customFormat="false" ht="22.35" hidden="false" customHeight="false" outlineLevel="0" collapsed="false">
      <c r="A12" s="18" t="s">
        <v>89</v>
      </c>
      <c r="B12" s="25" t="n">
        <f aca="false">B10*B11</f>
        <v>290304</v>
      </c>
      <c r="C12" s="25" t="n">
        <f aca="false">C10*C11</f>
        <v>361307.52</v>
      </c>
      <c r="D12" s="25" t="n">
        <f aca="false">D10*D11</f>
        <v>436309.9776</v>
      </c>
      <c r="E12" s="25" t="n">
        <f aca="false">E10*E11</f>
        <v>898798.553856</v>
      </c>
      <c r="F12" s="25" t="n">
        <f aca="false">F10*F11</f>
        <v>925762.51047168</v>
      </c>
      <c r="G12" s="25" t="n">
        <f aca="false">G10*G11</f>
        <v>953535.385785831</v>
      </c>
      <c r="H12" s="25" t="n">
        <f aca="false">H10*H11</f>
        <v>1473212.17103911</v>
      </c>
      <c r="I12" s="25" t="n">
        <f aca="false">I10*I11</f>
        <v>1517408.53617028</v>
      </c>
      <c r="J12" s="25" t="n">
        <f aca="false">J10*J11</f>
        <v>1562930.79225539</v>
      </c>
      <c r="K12" s="25" t="n">
        <f aca="false">K10*K11</f>
        <v>1609818.71602305</v>
      </c>
      <c r="M12" s="11" t="s">
        <v>90</v>
      </c>
    </row>
    <row r="13" customFormat="false" ht="15" hidden="false" customHeight="false" outlineLevel="0" collapsed="false">
      <c r="A13" s="26" t="s">
        <v>91</v>
      </c>
      <c r="B13" s="27"/>
      <c r="C13" s="27"/>
      <c r="D13" s="27"/>
      <c r="E13" s="27"/>
      <c r="F13" s="27"/>
      <c r="G13" s="27"/>
      <c r="H13" s="27"/>
      <c r="I13" s="27"/>
      <c r="J13" s="27"/>
      <c r="K13" s="27"/>
      <c r="M13" s="27"/>
    </row>
    <row r="14" customFormat="false" ht="15" hidden="false" customHeight="false" outlineLevel="0" collapsed="false">
      <c r="A14" s="20" t="s">
        <v>92</v>
      </c>
      <c r="B14" s="22" t="n">
        <f aca="false">B8*Assumptions!$B$19-IF(AND(Assumptions!$B$7=1,1&lt;=3),1,0)</f>
        <v>2</v>
      </c>
      <c r="C14" s="22" t="n">
        <f aca="false">C8*Assumptions!$B$19-IF(AND(Assumptions!$B$7=1,2&lt;=3),1,0)</f>
        <v>2</v>
      </c>
      <c r="D14" s="22" t="n">
        <f aca="false">D8*Assumptions!$B$19-IF(AND(Assumptions!$B$7=1,3&lt;=3),1,0)</f>
        <v>2</v>
      </c>
      <c r="E14" s="22" t="n">
        <f aca="false">E8*Assumptions!$B$19-IF(AND(Assumptions!$B$7=1,4&lt;=3),1,0)</f>
        <v>6</v>
      </c>
      <c r="F14" s="22" t="n">
        <f aca="false">F8*Assumptions!$B$19-IF(AND(Assumptions!$B$7=1,5&lt;=3),1,0)</f>
        <v>6</v>
      </c>
      <c r="G14" s="22" t="n">
        <f aca="false">G8*Assumptions!$B$19-IF(AND(Assumptions!$B$7=1,6&lt;=3),1,0)</f>
        <v>6</v>
      </c>
      <c r="H14" s="22" t="n">
        <f aca="false">H8*Assumptions!$B$19-IF(AND(Assumptions!$B$7=1,7&lt;=3),1,0)</f>
        <v>9</v>
      </c>
      <c r="I14" s="22" t="n">
        <f aca="false">I8*Assumptions!$B$19-IF(AND(Assumptions!$B$7=1,8&lt;=3),1,0)</f>
        <v>9</v>
      </c>
      <c r="J14" s="22" t="n">
        <f aca="false">J8*Assumptions!$B$19-IF(AND(Assumptions!$B$7=1,9&lt;=3),1,0)</f>
        <v>9</v>
      </c>
      <c r="K14" s="22" t="n">
        <f aca="false">K8*Assumptions!$B$19-IF(AND(Assumptions!$B$7=1,10&lt;=3),1,0)</f>
        <v>9</v>
      </c>
      <c r="M14" s="11" t="s">
        <v>93</v>
      </c>
    </row>
    <row r="15" customFormat="false" ht="15" hidden="false" customHeight="false" outlineLevel="0" collapsed="false">
      <c r="A15" s="20" t="s">
        <v>94</v>
      </c>
      <c r="B15" s="28" t="n">
        <f aca="false">B14*Assumptions!$B$21*Assumptions!$B$20*(1+Assumptions!$B$22)*(1+Assumptions!$B$23)^0</f>
        <v>115200</v>
      </c>
      <c r="C15" s="28" t="n">
        <f aca="false">C14*Assumptions!$B$21*Assumptions!$B$20*(1+Assumptions!$B$22)*(1+Assumptions!$B$23)^1</f>
        <v>119232</v>
      </c>
      <c r="D15" s="28" t="n">
        <f aca="false">D14*Assumptions!$B$21*Assumptions!$B$20*(1+Assumptions!$B$22)*(1+Assumptions!$B$23)^2</f>
        <v>123405.12</v>
      </c>
      <c r="E15" s="28" t="n">
        <f aca="false">E14*Assumptions!$B$21*Assumptions!$B$20*(1+Assumptions!$B$22)*(1+Assumptions!$B$23)^3</f>
        <v>383172.8976</v>
      </c>
      <c r="F15" s="28" t="n">
        <f aca="false">F14*Assumptions!$B$21*Assumptions!$B$20*(1+Assumptions!$B$22)*(1+Assumptions!$B$23)^4</f>
        <v>396583.949016</v>
      </c>
      <c r="G15" s="28" t="n">
        <f aca="false">G14*Assumptions!$B$21*Assumptions!$B$20*(1+Assumptions!$B$22)*(1+Assumptions!$B$23)^5</f>
        <v>410464.38723156</v>
      </c>
      <c r="H15" s="28" t="n">
        <f aca="false">H14*Assumptions!$B$21*Assumptions!$B$20*(1+Assumptions!$B$22)*(1+Assumptions!$B$23)^6</f>
        <v>637245.961176997</v>
      </c>
      <c r="I15" s="28" t="n">
        <f aca="false">I14*Assumptions!$B$21*Assumptions!$B$20*(1+Assumptions!$B$22)*(1+Assumptions!$B$23)^7</f>
        <v>659549.569818191</v>
      </c>
      <c r="J15" s="28" t="n">
        <f aca="false">J14*Assumptions!$B$21*Assumptions!$B$20*(1+Assumptions!$B$22)*(1+Assumptions!$B$23)^8</f>
        <v>682633.804761828</v>
      </c>
      <c r="K15" s="28" t="n">
        <f aca="false">K14*Assumptions!$B$21*Assumptions!$B$20*(1+Assumptions!$B$22)*(1+Assumptions!$B$23)^9</f>
        <v>706525.987928492</v>
      </c>
    </row>
    <row r="16" customFormat="false" ht="15" hidden="false" customHeight="false" outlineLevel="0" collapsed="false">
      <c r="A16" s="20" t="s">
        <v>95</v>
      </c>
      <c r="B16" s="28" t="n">
        <f aca="false">B12*Assumptions!$B$25</f>
        <v>60963.84</v>
      </c>
      <c r="C16" s="28" t="n">
        <f aca="false">C12*Assumptions!$B$25</f>
        <v>75874.5792</v>
      </c>
      <c r="D16" s="28" t="n">
        <f aca="false">D12*Assumptions!$B$25</f>
        <v>91625.095296</v>
      </c>
      <c r="E16" s="28" t="n">
        <f aca="false">E12*Assumptions!$B$25</f>
        <v>188747.69630976</v>
      </c>
      <c r="F16" s="28" t="n">
        <f aca="false">F12*Assumptions!$B$25</f>
        <v>194410.127199053</v>
      </c>
      <c r="G16" s="28" t="n">
        <f aca="false">G12*Assumptions!$B$25</f>
        <v>200242.431015024</v>
      </c>
      <c r="H16" s="28" t="n">
        <f aca="false">H12*Assumptions!$B$25</f>
        <v>309374.555918213</v>
      </c>
      <c r="I16" s="28" t="n">
        <f aca="false">I12*Assumptions!$B$25</f>
        <v>318655.792595759</v>
      </c>
      <c r="J16" s="28" t="n">
        <f aca="false">J12*Assumptions!$B$25</f>
        <v>328215.466373632</v>
      </c>
      <c r="K16" s="28" t="n">
        <f aca="false">K12*Assumptions!$B$25</f>
        <v>338061.930364841</v>
      </c>
    </row>
    <row r="17" customFormat="false" ht="15" hidden="false" customHeight="false" outlineLevel="0" collapsed="false">
      <c r="A17" s="18" t="s">
        <v>96</v>
      </c>
      <c r="B17" s="25" t="n">
        <f aca="false">B12-B15-B16</f>
        <v>114140.16</v>
      </c>
      <c r="C17" s="25" t="n">
        <f aca="false">C12-C15-C16</f>
        <v>166200.9408</v>
      </c>
      <c r="D17" s="25" t="n">
        <f aca="false">D12-D15-D16</f>
        <v>221279.762304</v>
      </c>
      <c r="E17" s="25" t="n">
        <f aca="false">E12-E15-E16</f>
        <v>326877.95994624</v>
      </c>
      <c r="F17" s="25" t="n">
        <f aca="false">F12-F15-F16</f>
        <v>334768.434256627</v>
      </c>
      <c r="G17" s="25" t="n">
        <f aca="false">G12-G15-G16</f>
        <v>342828.567539246</v>
      </c>
      <c r="H17" s="25" t="n">
        <f aca="false">H12-H15-H16</f>
        <v>526591.653943899</v>
      </c>
      <c r="I17" s="25" t="n">
        <f aca="false">I12-I15-I16</f>
        <v>539203.173756331</v>
      </c>
      <c r="J17" s="25" t="n">
        <f aca="false">J12-J15-J16</f>
        <v>552081.52111993</v>
      </c>
      <c r="K17" s="25" t="n">
        <f aca="false">K12-K15-K16</f>
        <v>565230.797729719</v>
      </c>
    </row>
    <row r="18" customFormat="false" ht="22.35" hidden="false" customHeight="false" outlineLevel="0" collapsed="false">
      <c r="A18" s="20" t="s">
        <v>97</v>
      </c>
      <c r="B18" s="23" t="n">
        <f aca="false">IF(B12=0,0,B17/B12)</f>
        <v>0.393174603174603</v>
      </c>
      <c r="C18" s="23" t="n">
        <f aca="false">IF(C12=0,0,C17/C12)</f>
        <v>0.459998565211153</v>
      </c>
      <c r="D18" s="23" t="n">
        <f aca="false">IF(D12=0,0,D17/D12)</f>
        <v>0.507161819954676</v>
      </c>
      <c r="E18" s="23" t="n">
        <f aca="false">IF(E12=0,0,E17/E12)</f>
        <v>0.363683228621005</v>
      </c>
      <c r="F18" s="23" t="n">
        <f aca="false">IF(F12=0,0,F17/F12)</f>
        <v>0.361613729730815</v>
      </c>
      <c r="G18" s="23" t="n">
        <f aca="false">IF(G12=0,0,G17/G12)</f>
        <v>0.359534184729509</v>
      </c>
      <c r="H18" s="23" t="n">
        <f aca="false">IF(H12=0,0,H17/H12)</f>
        <v>0.357444544849555</v>
      </c>
      <c r="I18" s="23" t="n">
        <f aca="false">IF(I12=0,0,I17/I12)</f>
        <v>0.355344761086689</v>
      </c>
      <c r="J18" s="23" t="n">
        <f aca="false">IF(J12=0,0,J17/J12)</f>
        <v>0.35323478419876</v>
      </c>
      <c r="K18" s="23" t="n">
        <f aca="false">IF(K12=0,0,K17/K12)</f>
        <v>0.351114564704579</v>
      </c>
      <c r="M18" s="11" t="s">
        <v>98</v>
      </c>
    </row>
    <row r="19" customFormat="false" ht="15" hidden="false" customHeight="false" outlineLevel="0" collapsed="false">
      <c r="A19" s="26" t="s">
        <v>99</v>
      </c>
      <c r="B19" s="27"/>
      <c r="C19" s="27"/>
      <c r="D19" s="27"/>
      <c r="E19" s="27"/>
      <c r="F19" s="27"/>
      <c r="G19" s="27"/>
      <c r="H19" s="27"/>
      <c r="I19" s="27"/>
      <c r="J19" s="27"/>
      <c r="K19" s="27"/>
      <c r="M19" s="27"/>
    </row>
    <row r="20" customFormat="false" ht="15" hidden="false" customHeight="false" outlineLevel="0" collapsed="false">
      <c r="A20" s="20" t="s">
        <v>100</v>
      </c>
      <c r="B20" s="28" t="n">
        <f aca="false">(Assumptions!$B$26+Assumptions!$B$27*MAX(0,B8-1))*(1+Assumptions!$B$32)^0</f>
        <v>14000</v>
      </c>
      <c r="C20" s="28" t="n">
        <f aca="false">(Assumptions!$B$26+Assumptions!$B$27*MAX(0,C8-1))*(1+Assumptions!$B$32)^1</f>
        <v>14385</v>
      </c>
      <c r="D20" s="28" t="n">
        <f aca="false">(Assumptions!$B$26+Assumptions!$B$27*MAX(0,D8-1))*(1+Assumptions!$B$32)^2</f>
        <v>14780.5875</v>
      </c>
      <c r="E20" s="28" t="n">
        <f aca="false">(Assumptions!$B$26+Assumptions!$B$27*MAX(0,E8-1))*(1+Assumptions!$B$32)^3</f>
        <v>22780.580484375</v>
      </c>
      <c r="F20" s="28" t="n">
        <f aca="false">(Assumptions!$B$26+Assumptions!$B$27*MAX(0,F8-1))*(1+Assumptions!$B$32)^4</f>
        <v>23407.0464476953</v>
      </c>
      <c r="G20" s="28" t="n">
        <f aca="false">(Assumptions!$B$26+Assumptions!$B$27*MAX(0,G8-1))*(1+Assumptions!$B$32)^5</f>
        <v>24050.7402250069</v>
      </c>
      <c r="H20" s="28" t="n">
        <f aca="false">(Assumptions!$B$26+Assumptions!$B$27*MAX(0,H8-1))*(1+Assumptions!$B$32)^6</f>
        <v>32949.5141082595</v>
      </c>
      <c r="I20" s="28" t="n">
        <f aca="false">(Assumptions!$B$26+Assumptions!$B$27*MAX(0,I8-1))*(1+Assumptions!$B$32)^7</f>
        <v>33855.6257462367</v>
      </c>
      <c r="J20" s="28" t="n">
        <f aca="false">(Assumptions!$B$26+Assumptions!$B$27*MAX(0,J8-1))*(1+Assumptions!$B$32)^8</f>
        <v>34786.6554542582</v>
      </c>
      <c r="K20" s="28" t="n">
        <f aca="false">(Assumptions!$B$26+Assumptions!$B$27*MAX(0,K8-1))*(1+Assumptions!$B$32)^9</f>
        <v>35743.2884792503</v>
      </c>
    </row>
    <row r="21" customFormat="false" ht="15" hidden="false" customHeight="false" outlineLevel="0" collapsed="false">
      <c r="A21" s="20" t="s">
        <v>101</v>
      </c>
      <c r="B21" s="28" t="n">
        <f aca="false">Assumptions!$B$28*12*(1+Assumptions!$B$32)^0*(0.6+0.4*B8)</f>
        <v>10800</v>
      </c>
      <c r="C21" s="28" t="n">
        <f aca="false">Assumptions!$B$28*12*(1+Assumptions!$B$32)^1*(0.6+0.4*C8)</f>
        <v>11097</v>
      </c>
      <c r="D21" s="28" t="n">
        <f aca="false">Assumptions!$B$28*12*(1+Assumptions!$B$32)^2*(0.6+0.4*D8)</f>
        <v>11402.1675</v>
      </c>
      <c r="E21" s="28" t="n">
        <f aca="false">Assumptions!$B$28*12*(1+Assumptions!$B$32)^3*(0.6+0.4*E8)</f>
        <v>16402.01794875</v>
      </c>
      <c r="F21" s="28" t="n">
        <f aca="false">Assumptions!$B$28*12*(1+Assumptions!$B$32)^4*(0.6+0.4*F8)</f>
        <v>16853.0734423406</v>
      </c>
      <c r="G21" s="28" t="n">
        <f aca="false">Assumptions!$B$28*12*(1+Assumptions!$B$32)^5*(0.6+0.4*G8)</f>
        <v>17316.532962005</v>
      </c>
      <c r="H21" s="28" t="n">
        <f aca="false">Assumptions!$B$28*12*(1+Assumptions!$B$32)^6*(0.6+0.4*H8)</f>
        <v>22876.3769380202</v>
      </c>
      <c r="I21" s="28" t="n">
        <f aca="false">Assumptions!$B$28*12*(1+Assumptions!$B$32)^7*(0.6+0.4*I8)</f>
        <v>23505.4773038157</v>
      </c>
      <c r="J21" s="28" t="n">
        <f aca="false">Assumptions!$B$28*12*(1+Assumptions!$B$32)^8*(0.6+0.4*J8)</f>
        <v>24151.8779296707</v>
      </c>
      <c r="K21" s="28" t="n">
        <f aca="false">Assumptions!$B$28*12*(1+Assumptions!$B$32)^9*(0.6+0.4*K8)</f>
        <v>24816.0545727366</v>
      </c>
    </row>
    <row r="22" customFormat="false" ht="15" hidden="false" customHeight="false" outlineLevel="0" collapsed="false">
      <c r="A22" s="20" t="s">
        <v>102</v>
      </c>
      <c r="B22" s="28" t="n">
        <f aca="false">B12*Assumptions!$B$29</f>
        <v>14515.2</v>
      </c>
      <c r="C22" s="28" t="n">
        <f aca="false">C12*Assumptions!$B$29</f>
        <v>18065.376</v>
      </c>
      <c r="D22" s="28" t="n">
        <f aca="false">D12*Assumptions!$B$29</f>
        <v>21815.49888</v>
      </c>
      <c r="E22" s="28" t="n">
        <f aca="false">E12*Assumptions!$B$29</f>
        <v>44939.9276928</v>
      </c>
      <c r="F22" s="28" t="n">
        <f aca="false">F12*Assumptions!$B$29</f>
        <v>46288.125523584</v>
      </c>
      <c r="G22" s="28" t="n">
        <f aca="false">G12*Assumptions!$B$29</f>
        <v>47676.7692892915</v>
      </c>
      <c r="H22" s="28" t="n">
        <f aca="false">H12*Assumptions!$B$29</f>
        <v>73660.6085519554</v>
      </c>
      <c r="I22" s="28" t="n">
        <f aca="false">I12*Assumptions!$B$29</f>
        <v>75870.4268085141</v>
      </c>
      <c r="J22" s="28" t="n">
        <f aca="false">J12*Assumptions!$B$29</f>
        <v>78146.5396127695</v>
      </c>
      <c r="K22" s="28" t="n">
        <f aca="false">K12*Assumptions!$B$29</f>
        <v>80490.9358011526</v>
      </c>
    </row>
    <row r="23" customFormat="false" ht="15" hidden="false" customHeight="false" outlineLevel="0" collapsed="false">
      <c r="A23" s="20" t="s">
        <v>103</v>
      </c>
      <c r="B23" s="28" t="n">
        <f aca="false">Assumptions!$B$30*12*(1+Assumptions!$B$32)^0</f>
        <v>3600</v>
      </c>
      <c r="C23" s="28" t="n">
        <f aca="false">Assumptions!$B$30*12*(1+Assumptions!$B$32)^1</f>
        <v>3699</v>
      </c>
      <c r="D23" s="28" t="n">
        <f aca="false">Assumptions!$B$30*12*(1+Assumptions!$B$32)^2</f>
        <v>3800.7225</v>
      </c>
      <c r="E23" s="28" t="n">
        <f aca="false">Assumptions!$B$30*12*(1+Assumptions!$B$32)^3</f>
        <v>3905.24236875</v>
      </c>
      <c r="F23" s="28" t="n">
        <f aca="false">Assumptions!$B$30*12*(1+Assumptions!$B$32)^4</f>
        <v>4012.63653389063</v>
      </c>
      <c r="G23" s="28" t="n">
        <f aca="false">Assumptions!$B$30*12*(1+Assumptions!$B$32)^5</f>
        <v>4122.98403857262</v>
      </c>
      <c r="H23" s="28" t="n">
        <f aca="false">Assumptions!$B$30*12*(1+Assumptions!$B$32)^6</f>
        <v>4236.36609963337</v>
      </c>
      <c r="I23" s="28" t="n">
        <f aca="false">Assumptions!$B$30*12*(1+Assumptions!$B$32)^7</f>
        <v>4352.86616737328</v>
      </c>
      <c r="J23" s="28" t="n">
        <f aca="false">Assumptions!$B$30*12*(1+Assumptions!$B$32)^8</f>
        <v>4472.56998697605</v>
      </c>
      <c r="K23" s="28" t="n">
        <f aca="false">Assumptions!$B$30*12*(1+Assumptions!$B$32)^9</f>
        <v>4595.56566161789</v>
      </c>
    </row>
    <row r="24" customFormat="false" ht="15" hidden="false" customHeight="false" outlineLevel="0" collapsed="false">
      <c r="A24" s="20" t="s">
        <v>104</v>
      </c>
      <c r="B24" s="28" t="n">
        <f aca="false">Assumptions!$B$31*12*(1+Assumptions!$B$32)^0*(0.7+0.3*B8)</f>
        <v>7200</v>
      </c>
      <c r="C24" s="28" t="n">
        <f aca="false">Assumptions!$B$31*12*(1+Assumptions!$B$32)^1*(0.7+0.3*C8)</f>
        <v>7398</v>
      </c>
      <c r="D24" s="28" t="n">
        <f aca="false">Assumptions!$B$31*12*(1+Assumptions!$B$32)^2*(0.7+0.3*D8)</f>
        <v>7601.445</v>
      </c>
      <c r="E24" s="28" t="n">
        <f aca="false">Assumptions!$B$31*12*(1+Assumptions!$B$32)^3*(0.7+0.3*E8)</f>
        <v>10153.63015875</v>
      </c>
      <c r="F24" s="28" t="n">
        <f aca="false">Assumptions!$B$31*12*(1+Assumptions!$B$32)^4*(0.7+0.3*F8)</f>
        <v>10432.8549881156</v>
      </c>
      <c r="G24" s="28" t="n">
        <f aca="false">Assumptions!$B$31*12*(1+Assumptions!$B$32)^5*(0.7+0.3*G8)</f>
        <v>10719.7585002888</v>
      </c>
      <c r="H24" s="28" t="n">
        <f aca="false">Assumptions!$B$31*12*(1+Assumptions!$B$32)^6*(0.7+0.3*H8)</f>
        <v>13556.3715188268</v>
      </c>
      <c r="I24" s="28" t="n">
        <f aca="false">Assumptions!$B$31*12*(1+Assumptions!$B$32)^7*(0.7+0.3*I8)</f>
        <v>13929.1717355945</v>
      </c>
      <c r="J24" s="28" t="n">
        <f aca="false">Assumptions!$B$31*12*(1+Assumptions!$B$32)^8*(0.7+0.3*J8)</f>
        <v>14312.2239583234</v>
      </c>
      <c r="K24" s="28" t="n">
        <f aca="false">Assumptions!$B$31*12*(1+Assumptions!$B$32)^9*(0.7+0.3*K8)</f>
        <v>14705.8101171773</v>
      </c>
    </row>
    <row r="25" customFormat="false" ht="22.35" hidden="false" customHeight="false" outlineLevel="0" collapsed="false">
      <c r="A25" s="18" t="s">
        <v>105</v>
      </c>
      <c r="B25" s="25" t="n">
        <f aca="false">Assumptions!$B$34*(1+Assumptions!$B$35)^0</f>
        <v>55000</v>
      </c>
      <c r="C25" s="25" t="n">
        <f aca="false">Assumptions!$B$34*(1+Assumptions!$B$35)^1</f>
        <v>59400</v>
      </c>
      <c r="D25" s="25" t="n">
        <f aca="false">Assumptions!$B$34*(1+Assumptions!$B$35)^2</f>
        <v>64152</v>
      </c>
      <c r="E25" s="25" t="n">
        <f aca="false">Assumptions!$B$34*(1+Assumptions!$B$35)^3</f>
        <v>69284.16</v>
      </c>
      <c r="F25" s="25" t="n">
        <f aca="false">Assumptions!$B$34*(1+Assumptions!$B$35)^4</f>
        <v>74826.8928</v>
      </c>
      <c r="G25" s="25" t="n">
        <f aca="false">Assumptions!$B$34*(1+Assumptions!$B$35)^5</f>
        <v>80813.044224</v>
      </c>
      <c r="H25" s="25" t="n">
        <f aca="false">Assumptions!$B$34*(1+Assumptions!$B$35)^6</f>
        <v>87278.08776192</v>
      </c>
      <c r="I25" s="25" t="n">
        <f aca="false">Assumptions!$B$34*(1+Assumptions!$B$35)^7</f>
        <v>94260.3347828736</v>
      </c>
      <c r="J25" s="25" t="n">
        <f aca="false">Assumptions!$B$34*(1+Assumptions!$B$35)^8</f>
        <v>101801.161565504</v>
      </c>
      <c r="K25" s="25" t="n">
        <f aca="false">Assumptions!$B$34*(1+Assumptions!$B$35)^9</f>
        <v>109945.254490744</v>
      </c>
      <c r="M25" s="11" t="s">
        <v>106</v>
      </c>
    </row>
    <row r="26" customFormat="false" ht="15" hidden="false" customHeight="false" outlineLevel="0" collapsed="false">
      <c r="A26" s="20" t="s">
        <v>107</v>
      </c>
      <c r="B26" s="28" t="n">
        <f aca="false">B20+B21+B22+B23+B24+B25</f>
        <v>105115.2</v>
      </c>
      <c r="C26" s="28" t="n">
        <f aca="false">C20+C21+C22+C23+C24+C25</f>
        <v>114044.376</v>
      </c>
      <c r="D26" s="28" t="n">
        <f aca="false">D20+D21+D22+D23+D24+D25</f>
        <v>123552.42138</v>
      </c>
      <c r="E26" s="28" t="n">
        <f aca="false">E20+E21+E22+E23+E24+E25</f>
        <v>167465.558653425</v>
      </c>
      <c r="F26" s="28" t="n">
        <f aca="false">F20+F21+F22+F23+F24+F25</f>
        <v>175820.629735626</v>
      </c>
      <c r="G26" s="28" t="n">
        <f aca="false">G20+G21+G22+G23+G24+G25</f>
        <v>184699.829239165</v>
      </c>
      <c r="H26" s="28" t="n">
        <f aca="false">H20+H21+H22+H23+H24+H25</f>
        <v>234557.324978615</v>
      </c>
      <c r="I26" s="28" t="n">
        <f aca="false">I20+I21+I22+I23+I24+I25</f>
        <v>245773.902544408</v>
      </c>
      <c r="J26" s="28" t="n">
        <f aca="false">J20+J21+J22+J23+J24+J25</f>
        <v>257671.028507501</v>
      </c>
      <c r="K26" s="28" t="n">
        <f aca="false">K20+K21+K22+K23+K24+K25</f>
        <v>270296.909122678</v>
      </c>
    </row>
    <row r="27" customFormat="false" ht="22.35" hidden="false" customHeight="false" outlineLevel="0" collapsed="false">
      <c r="A27" s="18" t="s">
        <v>108</v>
      </c>
      <c r="B27" s="25" t="n">
        <f aca="false">B17-B26</f>
        <v>9024.96000000001</v>
      </c>
      <c r="C27" s="25" t="n">
        <f aca="false">C17-C26</f>
        <v>52156.5648</v>
      </c>
      <c r="D27" s="25" t="n">
        <f aca="false">D17-D26</f>
        <v>97727.3409239999</v>
      </c>
      <c r="E27" s="25" t="n">
        <f aca="false">E17-E26</f>
        <v>159412.401292815</v>
      </c>
      <c r="F27" s="25" t="n">
        <f aca="false">F17-F26</f>
        <v>158947.804521001</v>
      </c>
      <c r="G27" s="25" t="n">
        <f aca="false">G17-G26</f>
        <v>158128.738300081</v>
      </c>
      <c r="H27" s="25" t="n">
        <f aca="false">H17-H26</f>
        <v>292034.328965284</v>
      </c>
      <c r="I27" s="25" t="n">
        <f aca="false">I17-I26</f>
        <v>293429.271211923</v>
      </c>
      <c r="J27" s="25" t="n">
        <f aca="false">J17-J26</f>
        <v>294410.492612429</v>
      </c>
      <c r="K27" s="25" t="n">
        <f aca="false">K17-K26</f>
        <v>294933.88860704</v>
      </c>
      <c r="M27" s="11" t="s">
        <v>109</v>
      </c>
    </row>
    <row r="28" customFormat="false" ht="15" hidden="false" customHeight="false" outlineLevel="0" collapsed="false">
      <c r="A28" s="8" t="s">
        <v>110</v>
      </c>
      <c r="B28" s="9"/>
      <c r="C28" s="9"/>
      <c r="D28" s="9"/>
      <c r="E28" s="9"/>
      <c r="F28" s="9"/>
      <c r="G28" s="9"/>
      <c r="H28" s="9"/>
      <c r="I28" s="9"/>
      <c r="J28" s="9"/>
      <c r="K28" s="9"/>
      <c r="M28" s="9"/>
    </row>
    <row r="29" customFormat="false" ht="15" hidden="false" customHeight="false" outlineLevel="0" collapsed="false">
      <c r="A29" s="20" t="s">
        <v>111</v>
      </c>
      <c r="B29" s="22" t="n">
        <f aca="false">B8</f>
        <v>1</v>
      </c>
      <c r="C29" s="22" t="n">
        <f aca="false">MAX(0,C8-B8)</f>
        <v>0</v>
      </c>
      <c r="D29" s="22" t="n">
        <f aca="false">MAX(0,D8-C8)</f>
        <v>0</v>
      </c>
      <c r="E29" s="22" t="n">
        <f aca="false">MAX(0,E8-D8)</f>
        <v>1</v>
      </c>
      <c r="F29" s="22" t="n">
        <f aca="false">MAX(0,F8-E8)</f>
        <v>0</v>
      </c>
      <c r="G29" s="22" t="n">
        <f aca="false">MAX(0,G8-F8)</f>
        <v>0</v>
      </c>
      <c r="H29" s="22" t="n">
        <f aca="false">MAX(0,H8-G8)</f>
        <v>1</v>
      </c>
      <c r="I29" s="22" t="n">
        <f aca="false">MAX(0,I8-H8)</f>
        <v>0</v>
      </c>
      <c r="J29" s="22" t="n">
        <f aca="false">MAX(0,J8-I8)</f>
        <v>0</v>
      </c>
      <c r="K29" s="22" t="n">
        <f aca="false">MAX(0,K8-J8)</f>
        <v>0</v>
      </c>
      <c r="M29" s="11" t="s">
        <v>112</v>
      </c>
    </row>
    <row r="30" customFormat="false" ht="15" hidden="false" customHeight="false" outlineLevel="0" collapsed="false">
      <c r="A30" s="20" t="s">
        <v>113</v>
      </c>
      <c r="B30" s="28" t="n">
        <f aca="false">B29*Assumptions!$B$37*(1+Assumptions!$B$32)^0</f>
        <v>80000</v>
      </c>
      <c r="C30" s="28" t="n">
        <f aca="false">C29*Assumptions!$B$37*(1+Assumptions!$B$32)^1</f>
        <v>0</v>
      </c>
      <c r="D30" s="28" t="n">
        <f aca="false">D29*Assumptions!$B$37*(1+Assumptions!$B$32)^2</f>
        <v>0</v>
      </c>
      <c r="E30" s="28" t="n">
        <f aca="false">E29*Assumptions!$B$37*(1+Assumptions!$B$32)^3</f>
        <v>86783.16375</v>
      </c>
      <c r="F30" s="28" t="n">
        <f aca="false">F29*Assumptions!$B$37*(1+Assumptions!$B$32)^4</f>
        <v>0</v>
      </c>
      <c r="G30" s="28" t="n">
        <f aca="false">G29*Assumptions!$B$37*(1+Assumptions!$B$32)^5</f>
        <v>0</v>
      </c>
      <c r="H30" s="28" t="n">
        <f aca="false">H29*Assumptions!$B$37*(1+Assumptions!$B$32)^6</f>
        <v>94141.4688807415</v>
      </c>
      <c r="I30" s="28" t="n">
        <f aca="false">I29*Assumptions!$B$37*(1+Assumptions!$B$32)^7</f>
        <v>0</v>
      </c>
      <c r="J30" s="28" t="n">
        <f aca="false">J29*Assumptions!$B$37*(1+Assumptions!$B$32)^8</f>
        <v>0</v>
      </c>
      <c r="K30" s="28" t="n">
        <f aca="false">K29*Assumptions!$B$37*(1+Assumptions!$B$32)^9</f>
        <v>0</v>
      </c>
    </row>
    <row r="31" customFormat="false" ht="22.35" hidden="false" customHeight="false" outlineLevel="0" collapsed="false">
      <c r="A31" s="20" t="s">
        <v>114</v>
      </c>
      <c r="B31" s="28" t="n">
        <f aca="false">0</f>
        <v>0</v>
      </c>
      <c r="C31" s="28" t="n">
        <f aca="false">C30*Assumptions!$B$38</f>
        <v>0</v>
      </c>
      <c r="D31" s="28" t="n">
        <f aca="false">D30*Assumptions!$B$38</f>
        <v>0</v>
      </c>
      <c r="E31" s="28" t="n">
        <f aca="false">E30*Assumptions!$B$38</f>
        <v>17356.63275</v>
      </c>
      <c r="F31" s="28" t="n">
        <f aca="false">F30*Assumptions!$B$38</f>
        <v>0</v>
      </c>
      <c r="G31" s="28" t="n">
        <f aca="false">G30*Assumptions!$B$38</f>
        <v>0</v>
      </c>
      <c r="H31" s="28" t="n">
        <f aca="false">H30*Assumptions!$B$38</f>
        <v>18828.2937761483</v>
      </c>
      <c r="I31" s="28" t="n">
        <f aca="false">I30*Assumptions!$B$38</f>
        <v>0</v>
      </c>
      <c r="J31" s="28" t="n">
        <f aca="false">J30*Assumptions!$B$38</f>
        <v>0</v>
      </c>
      <c r="K31" s="28" t="n">
        <f aca="false">K30*Assumptions!$B$38</f>
        <v>0</v>
      </c>
      <c r="M31" s="11" t="s">
        <v>115</v>
      </c>
    </row>
    <row r="32" customFormat="false" ht="15" hidden="false" customHeight="false" outlineLevel="0" collapsed="false">
      <c r="A32" s="20" t="s">
        <v>116</v>
      </c>
      <c r="B32" s="28" t="n">
        <f aca="false">IF(B30=0,0,PMT(Assumptions!$B$39/12,Assumptions!$B$40*12,-B30*(1-Assumptions!$B$38))*12)</f>
        <v>17870.0166523298</v>
      </c>
      <c r="C32" s="28" t="n">
        <f aca="false">IF(C30=0,0,PMT(Assumptions!$B$39/12,Assumptions!$B$40*12,-C30*(1-Assumptions!$B$38))*12)</f>
        <v>0</v>
      </c>
      <c r="D32" s="28" t="n">
        <f aca="false">IF(D30=0,0,PMT(Assumptions!$B$39/12,Assumptions!$B$40*12,-D30*(1-Assumptions!$B$38))*12)</f>
        <v>0</v>
      </c>
      <c r="E32" s="28" t="n">
        <f aca="false">IF(E30=0,0,PMT(Assumptions!$B$39/12,Assumptions!$B$40*12,-E30*(1-Assumptions!$B$38))*12)</f>
        <v>19385.2072669295</v>
      </c>
      <c r="F32" s="28" t="n">
        <f aca="false">IF(F30=0,0,PMT(Assumptions!$B$39/12,Assumptions!$B$40*12,-F30*(1-Assumptions!$B$38))*12)</f>
        <v>0</v>
      </c>
      <c r="G32" s="28" t="n">
        <f aca="false">IF(G30=0,0,PMT(Assumptions!$B$39/12,Assumptions!$B$40*12,-G30*(1-Assumptions!$B$38))*12)</f>
        <v>0</v>
      </c>
      <c r="H32" s="28" t="n">
        <f aca="false">IF(H30=0,0,PMT(Assumptions!$B$39/12,Assumptions!$B$40*12,-H30*(1-Assumptions!$B$38))*12)</f>
        <v>21028.8702071704</v>
      </c>
      <c r="I32" s="28" t="n">
        <f aca="false">IF(I30=0,0,PMT(Assumptions!$B$39/12,Assumptions!$B$40*12,-I30*(1-Assumptions!$B$38))*12)</f>
        <v>0</v>
      </c>
      <c r="J32" s="28" t="n">
        <f aca="false">IF(J30=0,0,PMT(Assumptions!$B$39/12,Assumptions!$B$40*12,-J30*(1-Assumptions!$B$38))*12)</f>
        <v>0</v>
      </c>
      <c r="K32" s="28" t="n">
        <f aca="false">IF(K30=0,0,PMT(Assumptions!$B$39/12,Assumptions!$B$40*12,-K30*(1-Assumptions!$B$38))*12)</f>
        <v>0</v>
      </c>
      <c r="M32" s="11" t="s">
        <v>117</v>
      </c>
    </row>
    <row r="33" customFormat="false" ht="22.35" hidden="false" customHeight="false" outlineLevel="0" collapsed="false">
      <c r="A33" s="20" t="s">
        <v>118</v>
      </c>
      <c r="B33" s="28" t="n">
        <f aca="false">IF(1&lt;=Assumptions!$B$40,B32,0)</f>
        <v>17870.0166523298</v>
      </c>
      <c r="C33" s="28" t="n">
        <f aca="false">IF(2&lt;=Assumptions!$B$40,B32,0)+IF(1&lt;=Assumptions!$B$40,C32,0)</f>
        <v>17870.0166523298</v>
      </c>
      <c r="D33" s="28" t="n">
        <f aca="false">IF(3&lt;=Assumptions!$B$40,B32,0)+IF(2&lt;=Assumptions!$B$40,C32,0)+IF(1&lt;=Assumptions!$B$40,D32,0)</f>
        <v>17870.0166523298</v>
      </c>
      <c r="E33" s="28" t="n">
        <f aca="false">IF(4&lt;=Assumptions!$B$40,B32,0)+IF(3&lt;=Assumptions!$B$40,C32,0)+IF(2&lt;=Assumptions!$B$40,D32,0)+IF(1&lt;=Assumptions!$B$40,E32,0)</f>
        <v>37255.2239192592</v>
      </c>
      <c r="F33" s="28" t="n">
        <f aca="false">IF(5&lt;=Assumptions!$B$40,B32,0)+IF(4&lt;=Assumptions!$B$40,C32,0)+IF(3&lt;=Assumptions!$B$40,D32,0)+IF(2&lt;=Assumptions!$B$40,E32,0)+IF(1&lt;=Assumptions!$B$40,F32,0)</f>
        <v>37255.2239192592</v>
      </c>
      <c r="G33" s="28" t="n">
        <f aca="false">IF(6&lt;=Assumptions!$B$40,B32,0)+IF(5&lt;=Assumptions!$B$40,C32,0)+IF(4&lt;=Assumptions!$B$40,D32,0)+IF(3&lt;=Assumptions!$B$40,E32,0)+IF(2&lt;=Assumptions!$B$40,F32,0)+IF(1&lt;=Assumptions!$B$40,G32,0)</f>
        <v>19385.2072669295</v>
      </c>
      <c r="H33" s="28" t="n">
        <f aca="false">IF(7&lt;=Assumptions!$B$40,B32,0)+IF(6&lt;=Assumptions!$B$40,C32,0)+IF(5&lt;=Assumptions!$B$40,D32,0)+IF(4&lt;=Assumptions!$B$40,E32,0)+IF(3&lt;=Assumptions!$B$40,F32,0)+IF(2&lt;=Assumptions!$B$40,G32,0)+IF(1&lt;=Assumptions!$B$40,H32,0)</f>
        <v>40414.0774740999</v>
      </c>
      <c r="I33" s="28" t="n">
        <f aca="false">IF(8&lt;=Assumptions!$B$40,B32,0)+IF(7&lt;=Assumptions!$B$40,C32,0)+IF(6&lt;=Assumptions!$B$40,D32,0)+IF(5&lt;=Assumptions!$B$40,E32,0)+IF(4&lt;=Assumptions!$B$40,F32,0)+IF(3&lt;=Assumptions!$B$40,G32,0)+IF(2&lt;=Assumptions!$B$40,H32,0)+IF(1&lt;=Assumptions!$B$40,I32,0)</f>
        <v>40414.0774740999</v>
      </c>
      <c r="J33" s="28" t="n">
        <f aca="false">IF(9&lt;=Assumptions!$B$40,B32,0)+IF(8&lt;=Assumptions!$B$40,C32,0)+IF(7&lt;=Assumptions!$B$40,D32,0)+IF(6&lt;=Assumptions!$B$40,E32,0)+IF(5&lt;=Assumptions!$B$40,F32,0)+IF(4&lt;=Assumptions!$B$40,G32,0)+IF(3&lt;=Assumptions!$B$40,H32,0)+IF(2&lt;=Assumptions!$B$40,I32,0)+IF(1&lt;=Assumptions!$B$40,J32,0)</f>
        <v>21028.8702071704</v>
      </c>
      <c r="K33" s="28" t="n">
        <f aca="false">IF(10&lt;=Assumptions!$B$40,B32,0)+IF(9&lt;=Assumptions!$B$40,C32,0)+IF(8&lt;=Assumptions!$B$40,D32,0)+IF(7&lt;=Assumptions!$B$40,E32,0)+IF(6&lt;=Assumptions!$B$40,F32,0)+IF(5&lt;=Assumptions!$B$40,G32,0)+IF(4&lt;=Assumptions!$B$40,H32,0)+IF(3&lt;=Assumptions!$B$40,I32,0)+IF(2&lt;=Assumptions!$B$40,J32,0)+IF(1&lt;=Assumptions!$B$40,K32,0)</f>
        <v>21028.8702071704</v>
      </c>
      <c r="M33" s="11" t="s">
        <v>119</v>
      </c>
    </row>
    <row r="34" customFormat="false" ht="15" hidden="false" customHeight="false" outlineLevel="0" collapsed="false">
      <c r="A34" s="20" t="s">
        <v>120</v>
      </c>
      <c r="B34" s="28" t="n">
        <f aca="false">'Startup budget and funding'!B$40</f>
        <v>15288.5045164366</v>
      </c>
      <c r="C34" s="28" t="n">
        <f aca="false">'Startup budget and funding'!C$40</f>
        <v>15288.5045164366</v>
      </c>
      <c r="D34" s="28" t="n">
        <f aca="false">'Startup budget and funding'!D$40</f>
        <v>15288.5045164366</v>
      </c>
      <c r="E34" s="28" t="n">
        <f aca="false">'Startup budget and funding'!E$40</f>
        <v>10288.5045164366</v>
      </c>
      <c r="F34" s="28" t="n">
        <f aca="false">'Startup budget and funding'!F$40</f>
        <v>10288.5045164366</v>
      </c>
      <c r="G34" s="28" t="n">
        <f aca="false">'Startup budget and funding'!G$40</f>
        <v>7968.56833290524</v>
      </c>
      <c r="H34" s="28" t="n">
        <f aca="false">'Startup budget and funding'!H$40</f>
        <v>7968.56833290524</v>
      </c>
      <c r="I34" s="28" t="n">
        <f aca="false">'Startup budget and funding'!I$40</f>
        <v>0</v>
      </c>
      <c r="J34" s="28" t="n">
        <f aca="false">'Startup budget and funding'!J$40</f>
        <v>0</v>
      </c>
      <c r="K34" s="28" t="n">
        <f aca="false">'Startup budget and funding'!K$40</f>
        <v>0</v>
      </c>
      <c r="M34" s="11" t="s">
        <v>121</v>
      </c>
    </row>
    <row r="35" customFormat="false" ht="15" hidden="false" customHeight="false" outlineLevel="0" collapsed="false">
      <c r="A35" s="26" t="s">
        <v>122</v>
      </c>
      <c r="B35" s="27"/>
      <c r="C35" s="27"/>
      <c r="D35" s="27"/>
      <c r="E35" s="27"/>
      <c r="F35" s="27"/>
      <c r="G35" s="27"/>
      <c r="H35" s="27"/>
      <c r="I35" s="27"/>
      <c r="J35" s="27"/>
      <c r="K35" s="27"/>
      <c r="M35" s="27"/>
    </row>
    <row r="36" customFormat="false" ht="32.8" hidden="false" customHeight="false" outlineLevel="0" collapsed="false">
      <c r="A36" s="20" t="s">
        <v>123</v>
      </c>
      <c r="B36" s="28" t="n">
        <f aca="false">MAX(0,B27-B30/Assumptions!$B$41)*Assumptions!$B$43</f>
        <v>0</v>
      </c>
      <c r="C36" s="28" t="n">
        <f aca="false">MAX(0,C27-C30/Assumptions!$B$41)*Assumptions!$B$43</f>
        <v>15646.96944</v>
      </c>
      <c r="D36" s="28" t="n">
        <f aca="false">MAX(0,D27-D30/Assumptions!$B$41)*Assumptions!$B$43</f>
        <v>29318.2022772</v>
      </c>
      <c r="E36" s="28" t="n">
        <f aca="false">MAX(0,E27-E30/Assumptions!$B$41)*Assumptions!$B$43</f>
        <v>42616.7305628445</v>
      </c>
      <c r="F36" s="28" t="n">
        <f aca="false">MAX(0,F27-F30/Assumptions!$B$41)*Assumptions!$B$43</f>
        <v>47684.3413563003</v>
      </c>
      <c r="G36" s="28" t="n">
        <f aca="false">MAX(0,G27-G30/Assumptions!$B$41)*Assumptions!$B$43</f>
        <v>47438.6214900244</v>
      </c>
      <c r="H36" s="28" t="n">
        <f aca="false">MAX(0,H27-H30/Assumptions!$B$41)*Assumptions!$B$43</f>
        <v>81961.8105567406</v>
      </c>
      <c r="I36" s="28" t="n">
        <f aca="false">MAX(0,I27-I30/Assumptions!$B$41)*Assumptions!$B$43</f>
        <v>88028.7813635769</v>
      </c>
      <c r="J36" s="28" t="n">
        <f aca="false">MAX(0,J27-J30/Assumptions!$B$41)*Assumptions!$B$43</f>
        <v>88323.1477837287</v>
      </c>
      <c r="K36" s="28" t="n">
        <f aca="false">MAX(0,K27-K30/Assumptions!$B$41)*Assumptions!$B$43</f>
        <v>88480.1665821121</v>
      </c>
      <c r="M36" s="11" t="s">
        <v>124</v>
      </c>
    </row>
    <row r="37" customFormat="false" ht="15" hidden="false" customHeight="false" outlineLevel="0" collapsed="false">
      <c r="A37" s="18" t="s">
        <v>125</v>
      </c>
      <c r="B37" s="25" t="n">
        <f aca="false">B27-B31-B33-B34-B36</f>
        <v>-24133.5611687663</v>
      </c>
      <c r="C37" s="25" t="n">
        <f aca="false">C27-C31-C33-C34-C36</f>
        <v>3351.07419123364</v>
      </c>
      <c r="D37" s="25" t="n">
        <f aca="false">D27-D31-D33-D34-D36</f>
        <v>35250.6174780336</v>
      </c>
      <c r="E37" s="25" t="n">
        <f aca="false">E27-E31-E33-E34-E36</f>
        <v>51895.3095442747</v>
      </c>
      <c r="F37" s="25" t="n">
        <f aca="false">F27-F31-F33-F34-F36</f>
        <v>63719.734729005</v>
      </c>
      <c r="G37" s="25" t="n">
        <f aca="false">G27-G31-G33-G34-G36</f>
        <v>83336.3412102222</v>
      </c>
      <c r="H37" s="25" t="n">
        <f aca="false">H27-H31-H33-H34-H36</f>
        <v>142861.57882539</v>
      </c>
      <c r="I37" s="25" t="n">
        <f aca="false">I27-I31-I33-I34-I36</f>
        <v>164986.412374246</v>
      </c>
      <c r="J37" s="25" t="n">
        <f aca="false">J27-J31-J33-J34-J36</f>
        <v>185058.47462153</v>
      </c>
      <c r="K37" s="25" t="n">
        <f aca="false">K27-K31-K33-K34-K36</f>
        <v>185424.851817758</v>
      </c>
    </row>
    <row r="38" customFormat="false" ht="22.35" hidden="false" customHeight="false" outlineLevel="0" collapsed="false">
      <c r="A38" s="20" t="s">
        <v>126</v>
      </c>
      <c r="B38" s="28" t="n">
        <f aca="false">'Startup budget and funding'!B44</f>
        <v>77800</v>
      </c>
      <c r="C38" s="28" t="n">
        <f aca="false">B39</f>
        <v>53666.4388312337</v>
      </c>
      <c r="D38" s="28" t="n">
        <f aca="false">C39</f>
        <v>57017.5130224673</v>
      </c>
      <c r="E38" s="28" t="n">
        <f aca="false">D39</f>
        <v>92268.1305005009</v>
      </c>
      <c r="F38" s="28" t="n">
        <f aca="false">E39</f>
        <v>144163.440044776</v>
      </c>
      <c r="G38" s="28" t="n">
        <f aca="false">F39</f>
        <v>207883.174773781</v>
      </c>
      <c r="H38" s="28" t="n">
        <f aca="false">G39</f>
        <v>291219.515984003</v>
      </c>
      <c r="I38" s="28" t="n">
        <f aca="false">H39</f>
        <v>434081.094809392</v>
      </c>
      <c r="J38" s="28" t="n">
        <f aca="false">I39</f>
        <v>599067.507183639</v>
      </c>
      <c r="K38" s="28" t="n">
        <f aca="false">J39</f>
        <v>784125.981805168</v>
      </c>
      <c r="M38" s="11" t="s">
        <v>127</v>
      </c>
    </row>
    <row r="39" customFormat="false" ht="22.35" hidden="false" customHeight="false" outlineLevel="0" collapsed="false">
      <c r="A39" s="18" t="s">
        <v>128</v>
      </c>
      <c r="B39" s="25" t="n">
        <f aca="false">B38+B37</f>
        <v>53666.4388312337</v>
      </c>
      <c r="C39" s="25" t="n">
        <f aca="false">C38+C37</f>
        <v>57017.5130224673</v>
      </c>
      <c r="D39" s="25" t="n">
        <f aca="false">D38+D37</f>
        <v>92268.1305005009</v>
      </c>
      <c r="E39" s="25" t="n">
        <f aca="false">E38+E37</f>
        <v>144163.440044776</v>
      </c>
      <c r="F39" s="25" t="n">
        <f aca="false">F38+F37</f>
        <v>207883.174773781</v>
      </c>
      <c r="G39" s="25" t="n">
        <f aca="false">G38+G37</f>
        <v>291219.515984003</v>
      </c>
      <c r="H39" s="25" t="n">
        <f aca="false">H38+H37</f>
        <v>434081.094809392</v>
      </c>
      <c r="I39" s="25" t="n">
        <f aca="false">I38+I37</f>
        <v>599067.507183639</v>
      </c>
      <c r="J39" s="25" t="n">
        <f aca="false">J38+J37</f>
        <v>784125.981805168</v>
      </c>
      <c r="K39" s="25" t="n">
        <f aca="false">K38+K37</f>
        <v>969550.833622926</v>
      </c>
      <c r="M39" s="11" t="s">
        <v>129</v>
      </c>
    </row>
    <row r="40" customFormat="false" ht="15" hidden="false" customHeight="false" outlineLevel="0" collapsed="false">
      <c r="A40" s="18" t="s">
        <v>130</v>
      </c>
      <c r="B40" s="29" t="str">
        <f aca="false">IF(B39&gt;=0,"yes","NO - OUT OF CASH")</f>
        <v>yes</v>
      </c>
      <c r="C40" s="29" t="str">
        <f aca="false">IF(C39&gt;=0,"yes","NO - OUT OF CASH")</f>
        <v>yes</v>
      </c>
      <c r="D40" s="29" t="str">
        <f aca="false">IF(D39&gt;=0,"yes","NO - OUT OF CASH")</f>
        <v>yes</v>
      </c>
      <c r="E40" s="29" t="str">
        <f aca="false">IF(E39&gt;=0,"yes","NO - OUT OF CASH")</f>
        <v>yes</v>
      </c>
      <c r="F40" s="29" t="str">
        <f aca="false">IF(F39&gt;=0,"yes","NO - OUT OF CASH")</f>
        <v>yes</v>
      </c>
      <c r="G40" s="29" t="str">
        <f aca="false">IF(G39&gt;=0,"yes","NO - OUT OF CASH")</f>
        <v>yes</v>
      </c>
      <c r="H40" s="29" t="str">
        <f aca="false">IF(H39&gt;=0,"yes","NO - OUT OF CASH")</f>
        <v>yes</v>
      </c>
      <c r="I40" s="29" t="str">
        <f aca="false">IF(I39&gt;=0,"yes","NO - OUT OF CASH")</f>
        <v>yes</v>
      </c>
      <c r="J40" s="29" t="str">
        <f aca="false">IF(J39&gt;=0,"yes","NO - OUT OF CASH")</f>
        <v>yes</v>
      </c>
      <c r="K40" s="29" t="str">
        <f aca="false">IF(K39&gt;=0,"yes","NO - OUT OF CASH")</f>
        <v>yes</v>
      </c>
    </row>
    <row r="41" customFormat="false" ht="15" hidden="false" customHeight="false" outlineLevel="0" collapsed="false">
      <c r="A41" s="8" t="s">
        <v>131</v>
      </c>
      <c r="B41" s="9"/>
      <c r="C41" s="9"/>
      <c r="D41" s="9"/>
      <c r="E41" s="9"/>
      <c r="F41" s="9"/>
      <c r="G41" s="9"/>
      <c r="H41" s="9"/>
      <c r="I41" s="9"/>
      <c r="J41" s="9"/>
      <c r="K41" s="9"/>
      <c r="M41" s="9"/>
    </row>
    <row r="42" customFormat="false" ht="22.35" hidden="false" customHeight="false" outlineLevel="0" collapsed="false">
      <c r="A42" s="18" t="s">
        <v>132</v>
      </c>
      <c r="B42" s="25" t="n">
        <f aca="false">B25+B27</f>
        <v>64024.96</v>
      </c>
      <c r="C42" s="25" t="n">
        <f aca="false">C25+C27</f>
        <v>111556.5648</v>
      </c>
      <c r="D42" s="25" t="n">
        <f aca="false">D25+D27</f>
        <v>161879.340924</v>
      </c>
      <c r="E42" s="25" t="n">
        <f aca="false">E25+E27</f>
        <v>228696.561292815</v>
      </c>
      <c r="F42" s="25" t="n">
        <f aca="false">F25+F27</f>
        <v>233774.697321001</v>
      </c>
      <c r="G42" s="25" t="n">
        <f aca="false">G25+G27</f>
        <v>238941.782524081</v>
      </c>
      <c r="H42" s="25" t="n">
        <f aca="false">H25+H27</f>
        <v>379312.416727204</v>
      </c>
      <c r="I42" s="25" t="n">
        <f aca="false">I25+I27</f>
        <v>387689.605994797</v>
      </c>
      <c r="J42" s="25" t="n">
        <f aca="false">J25+J27</f>
        <v>396211.654177932</v>
      </c>
      <c r="K42" s="25" t="n">
        <f aca="false">K25+K27</f>
        <v>404879.143097784</v>
      </c>
      <c r="M42" s="11" t="s">
        <v>133</v>
      </c>
    </row>
    <row r="44" customFormat="false" ht="51.75" hidden="false" customHeight="true" outlineLevel="0" collapsed="false">
      <c r="A44" s="30" t="s">
        <v>134</v>
      </c>
      <c r="B44" s="30"/>
      <c r="C44" s="30"/>
      <c r="D44" s="30"/>
      <c r="E44" s="30"/>
      <c r="F44" s="30"/>
      <c r="G44" s="30"/>
      <c r="H44" s="30"/>
      <c r="I44" s="30"/>
      <c r="J44" s="30"/>
      <c r="K44" s="30"/>
      <c r="L44" s="30"/>
      <c r="M44" s="30"/>
    </row>
  </sheetData>
  <sheetProtection sheet="true" password="dede" formatCells="false" formatColumns="false" formatRows="false"/>
  <mergeCells count="1">
    <mergeCell ref="A44:M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4"/>
    <col collapsed="false" customWidth="true" hidden="false" outlineLevel="0" max="3" min="3" style="0" width="12"/>
    <col collapsed="false" customWidth="true" hidden="false" outlineLevel="0" max="4" min="4" style="0" width="10"/>
    <col collapsed="false" customWidth="true" hidden="false" outlineLevel="0" max="5" min="5" style="0" width="14"/>
    <col collapsed="false" customWidth="true" hidden="false" outlineLevel="0" max="6" min="6" style="0" width="80"/>
  </cols>
  <sheetData>
    <row r="1" customFormat="false" ht="17.35" hidden="false" customHeight="false" outlineLevel="0" collapsed="false">
      <c r="A1" s="6" t="s">
        <v>135</v>
      </c>
    </row>
    <row r="2" customFormat="false" ht="15" hidden="false" customHeight="false" outlineLevel="0" collapsed="false">
      <c r="A2" s="7" t="s">
        <v>136</v>
      </c>
    </row>
    <row r="4" customFormat="false" ht="15" hidden="false" customHeight="false" outlineLevel="0" collapsed="false">
      <c r="A4" s="8" t="s">
        <v>137</v>
      </c>
      <c r="B4" s="9"/>
      <c r="C4" s="9"/>
      <c r="D4" s="9"/>
      <c r="E4" s="9"/>
      <c r="F4" s="9"/>
    </row>
    <row r="5" customFormat="false" ht="15" hidden="false" customHeight="false" outlineLevel="0" collapsed="false">
      <c r="A5" s="20" t="s">
        <v>138</v>
      </c>
      <c r="B5" s="25" t="n">
        <f aca="false">Assumptions!$B$37</f>
        <v>80000</v>
      </c>
      <c r="F5" s="11" t="s">
        <v>139</v>
      </c>
    </row>
    <row r="6" customFormat="false" ht="15" hidden="false" customHeight="false" outlineLevel="0" collapsed="false">
      <c r="A6" s="20" t="s">
        <v>140</v>
      </c>
      <c r="B6" s="12" t="n">
        <v>5000</v>
      </c>
      <c r="F6" s="11" t="s">
        <v>141</v>
      </c>
    </row>
    <row r="7" customFormat="false" ht="22.35" hidden="false" customHeight="false" outlineLevel="0" collapsed="false">
      <c r="A7" s="20" t="s">
        <v>142</v>
      </c>
      <c r="B7" s="12" t="n">
        <v>1200</v>
      </c>
      <c r="F7" s="11" t="s">
        <v>143</v>
      </c>
    </row>
    <row r="8" customFormat="false" ht="15" hidden="false" customHeight="false" outlineLevel="0" collapsed="false">
      <c r="A8" s="20" t="s">
        <v>144</v>
      </c>
      <c r="B8" s="12" t="n">
        <v>22000</v>
      </c>
      <c r="F8" s="11" t="s">
        <v>145</v>
      </c>
    </row>
    <row r="9" customFormat="false" ht="15" hidden="false" customHeight="false" outlineLevel="0" collapsed="false">
      <c r="A9" s="20" t="s">
        <v>146</v>
      </c>
      <c r="B9" s="12" t="n">
        <v>5000</v>
      </c>
      <c r="F9" s="11" t="s">
        <v>147</v>
      </c>
    </row>
    <row r="10" customFormat="false" ht="15" hidden="false" customHeight="false" outlineLevel="0" collapsed="false">
      <c r="A10" s="18" t="s">
        <v>148</v>
      </c>
      <c r="B10" s="25" t="n">
        <f aca="false">SUM(B5:B9)</f>
        <v>113200</v>
      </c>
    </row>
    <row r="12" customFormat="false" ht="15" hidden="false" customHeight="false" outlineLevel="0" collapsed="false">
      <c r="A12" s="8" t="s">
        <v>149</v>
      </c>
      <c r="B12" s="9"/>
      <c r="C12" s="9"/>
      <c r="D12" s="9"/>
      <c r="E12" s="9"/>
      <c r="F12" s="9"/>
    </row>
    <row r="13" customFormat="false" ht="15" hidden="false" customHeight="false" outlineLevel="0" collapsed="false">
      <c r="A13" s="31" t="s">
        <v>150</v>
      </c>
      <c r="B13" s="31" t="s">
        <v>151</v>
      </c>
      <c r="C13" s="31" t="s">
        <v>152</v>
      </c>
      <c r="D13" s="31" t="s">
        <v>153</v>
      </c>
      <c r="E13" s="31" t="s">
        <v>154</v>
      </c>
      <c r="F13" s="31" t="s">
        <v>155</v>
      </c>
    </row>
    <row r="14" customFormat="false" ht="25.5" hidden="false" customHeight="true" outlineLevel="0" collapsed="false">
      <c r="A14" s="20" t="s">
        <v>156</v>
      </c>
      <c r="B14" s="25" t="n">
        <f aca="false">Assumptions!$B$6</f>
        <v>35000</v>
      </c>
      <c r="C14" s="32" t="n">
        <v>0</v>
      </c>
      <c r="D14" s="33" t="n">
        <v>0</v>
      </c>
      <c r="E14" s="25" t="n">
        <f aca="false">IF(OR(D14=0,B14=0),0,IF(C14=0,B14/D14,PMT(C14/12,D14*12,-B14)*12))</f>
        <v>0</v>
      </c>
      <c r="F14" s="11" t="s">
        <v>157</v>
      </c>
    </row>
    <row r="15" customFormat="false" ht="39" hidden="false" customHeight="true" outlineLevel="0" collapsed="false">
      <c r="A15" s="20" t="s">
        <v>158</v>
      </c>
      <c r="B15" s="12" t="n">
        <v>15000</v>
      </c>
      <c r="C15" s="15" t="n">
        <v>0</v>
      </c>
      <c r="D15" s="34" t="n">
        <v>3</v>
      </c>
      <c r="E15" s="25" t="n">
        <f aca="false">IF(OR(D15=0,B15=0),0,IF(C15=0,B15/D15,PMT(C15/12,D15*12,-B15)*12))</f>
        <v>5000</v>
      </c>
      <c r="F15" s="11" t="s">
        <v>159</v>
      </c>
    </row>
    <row r="16" customFormat="false" ht="39" hidden="false" customHeight="true" outlineLevel="0" collapsed="false">
      <c r="A16" s="20" t="s">
        <v>160</v>
      </c>
      <c r="B16" s="12" t="n">
        <v>40000</v>
      </c>
      <c r="C16" s="15" t="n">
        <v>0.1</v>
      </c>
      <c r="D16" s="34" t="n">
        <v>7</v>
      </c>
      <c r="E16" s="25" t="n">
        <f aca="false">IF(OR(D16=0,B16=0),0,IF(C16=0,B16/D16,PMT(C16/12,D16*12,-B16)*12))</f>
        <v>7968.56833290524</v>
      </c>
      <c r="F16" s="11" t="s">
        <v>161</v>
      </c>
    </row>
    <row r="17" customFormat="false" ht="39" hidden="false" customHeight="true" outlineLevel="0" collapsed="false">
      <c r="A17" s="20" t="s">
        <v>162</v>
      </c>
      <c r="B17" s="25" t="n">
        <f aca="false">Assumptions!$B$37*(1-Assumptions!$B$38)</f>
        <v>64000</v>
      </c>
      <c r="C17" s="23" t="n">
        <f aca="false">Assumptions!$B$39</f>
        <v>0.14</v>
      </c>
      <c r="D17" s="22" t="n">
        <f aca="false">Assumptions!$B$40</f>
        <v>5</v>
      </c>
      <c r="E17" s="25" t="n">
        <f aca="false">IF(OR(D17=0,B17=0),0,IF(C17=0,B17/D17,PMT(C17/12,D17*12,-B17)*12))</f>
        <v>17870.0166523298</v>
      </c>
      <c r="F17" s="11" t="s">
        <v>163</v>
      </c>
    </row>
    <row r="18" customFormat="false" ht="51.75" hidden="false" customHeight="true" outlineLevel="0" collapsed="false">
      <c r="A18" s="20" t="s">
        <v>164</v>
      </c>
      <c r="B18" s="12" t="n">
        <v>10000</v>
      </c>
      <c r="C18" s="15" t="n">
        <v>0.06</v>
      </c>
      <c r="D18" s="34" t="n">
        <v>5</v>
      </c>
      <c r="E18" s="25" t="n">
        <f aca="false">IF(OR(D18=0,B18=0),0,IF(C18=0,B18/D18,PMT(C18/12,D18*12,-B18)*12))</f>
        <v>2319.93618353135</v>
      </c>
      <c r="F18" s="11" t="s">
        <v>165</v>
      </c>
    </row>
    <row r="19" customFormat="false" ht="15" hidden="false" customHeight="false" outlineLevel="0" collapsed="false">
      <c r="A19" s="18" t="s">
        <v>166</v>
      </c>
      <c r="B19" s="25" t="n">
        <f aca="false">SUM(B14:B18)</f>
        <v>164000</v>
      </c>
    </row>
    <row r="20" customFormat="false" ht="22.35" hidden="false" customHeight="false" outlineLevel="0" collapsed="false">
      <c r="A20" s="18" t="s">
        <v>167</v>
      </c>
      <c r="B20" s="25" t="n">
        <f aca="false">B19-B10</f>
        <v>50800</v>
      </c>
      <c r="F20" s="11" t="s">
        <v>168</v>
      </c>
    </row>
    <row r="38" customFormat="false" ht="15" hidden="false" customHeight="false" outlineLevel="0" collapsed="false">
      <c r="A38" s="26" t="s">
        <v>169</v>
      </c>
      <c r="B38" s="27"/>
      <c r="C38" s="27"/>
      <c r="D38" s="27"/>
      <c r="E38" s="27"/>
      <c r="F38" s="27"/>
      <c r="G38" s="27"/>
      <c r="H38" s="27"/>
      <c r="I38" s="27"/>
      <c r="J38" s="27"/>
      <c r="K38" s="27"/>
    </row>
    <row r="39" customFormat="false" ht="15" hidden="false" customHeight="false" outlineLevel="0" collapsed="false">
      <c r="A39" s="18" t="s">
        <v>80</v>
      </c>
      <c r="B39" s="35" t="n">
        <v>1</v>
      </c>
      <c r="C39" s="35" t="n">
        <v>2</v>
      </c>
      <c r="D39" s="35" t="n">
        <v>3</v>
      </c>
      <c r="E39" s="35" t="n">
        <v>4</v>
      </c>
      <c r="F39" s="35" t="n">
        <v>5</v>
      </c>
      <c r="G39" s="35" t="n">
        <v>6</v>
      </c>
      <c r="H39" s="35" t="n">
        <v>7</v>
      </c>
      <c r="I39" s="35" t="n">
        <v>8</v>
      </c>
      <c r="J39" s="35" t="n">
        <v>9</v>
      </c>
      <c r="K39" s="35" t="n">
        <v>10</v>
      </c>
    </row>
    <row r="40" customFormat="false" ht="15" hidden="false" customHeight="false" outlineLevel="0" collapsed="false">
      <c r="A40" s="18" t="s">
        <v>170</v>
      </c>
      <c r="B40" s="25" t="n">
        <f aca="false">IF(1&lt;=D15,E15,0)+IF(1&lt;=D16,E16,0)+IF(1&lt;=D18,E18,0)</f>
        <v>15288.5045164366</v>
      </c>
      <c r="C40" s="25" t="n">
        <f aca="false">IF(2&lt;=D15,E15,0)+IF(2&lt;=D16,E16,0)+IF(2&lt;=D18,E18,0)</f>
        <v>15288.5045164366</v>
      </c>
      <c r="D40" s="25" t="n">
        <f aca="false">IF(3&lt;=D15,E15,0)+IF(3&lt;=D16,E16,0)+IF(3&lt;=D18,E18,0)</f>
        <v>15288.5045164366</v>
      </c>
      <c r="E40" s="25" t="n">
        <f aca="false">IF(4&lt;=D15,E15,0)+IF(4&lt;=D16,E16,0)+IF(4&lt;=D18,E18,0)</f>
        <v>10288.5045164366</v>
      </c>
      <c r="F40" s="25" t="n">
        <f aca="false">IF(5&lt;=D15,E15,0)+IF(5&lt;=D16,E16,0)+IF(5&lt;=D18,E18,0)</f>
        <v>10288.5045164366</v>
      </c>
      <c r="G40" s="25" t="n">
        <f aca="false">IF(6&lt;=D15,E15,0)+IF(6&lt;=D16,E16,0)+IF(6&lt;=D18,E18,0)</f>
        <v>7968.56833290524</v>
      </c>
      <c r="H40" s="25" t="n">
        <f aca="false">IF(7&lt;=D15,E15,0)+IF(7&lt;=D16,E16,0)+IF(7&lt;=D18,E18,0)</f>
        <v>7968.56833290524</v>
      </c>
      <c r="I40" s="25" t="n">
        <f aca="false">IF(8&lt;=D15,E15,0)+IF(8&lt;=D16,E16,0)+IF(8&lt;=D18,E18,0)</f>
        <v>0</v>
      </c>
      <c r="J40" s="25" t="n">
        <f aca="false">IF(9&lt;=D15,E15,0)+IF(9&lt;=D16,E16,0)+IF(9&lt;=D18,E18,0)</f>
        <v>0</v>
      </c>
      <c r="K40" s="25" t="n">
        <f aca="false">IF(10&lt;=D15,E15,0)+IF(10&lt;=D16,E16,0)+IF(10&lt;=D18,E18,0)</f>
        <v>0</v>
      </c>
    </row>
    <row r="44" customFormat="false" ht="22.35" hidden="false" customHeight="false" outlineLevel="0" collapsed="false">
      <c r="A44" s="18" t="s">
        <v>171</v>
      </c>
      <c r="B44" s="25" t="n">
        <f aca="false">B8+B9+MAX(0,B20)</f>
        <v>77800</v>
      </c>
      <c r="F44" s="11" t="s">
        <v>172</v>
      </c>
    </row>
  </sheetData>
  <sheetProtection sheet="true" password="dede" formatCells="fals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4"/>
    <col collapsed="false" customWidth="true" hidden="false" outlineLevel="0" max="3" min="3" style="0" width="34"/>
    <col collapsed="false" customWidth="true" hidden="false" outlineLevel="0" max="4" min="4" style="0" width="70"/>
  </cols>
  <sheetData>
    <row r="1" customFormat="false" ht="17.35" hidden="false" customHeight="false" outlineLevel="0" collapsed="false">
      <c r="A1" s="6" t="s">
        <v>173</v>
      </c>
    </row>
    <row r="2" customFormat="false" ht="15" hidden="false" customHeight="false" outlineLevel="0" collapsed="false">
      <c r="A2" s="7" t="s">
        <v>174</v>
      </c>
    </row>
    <row r="4" customFormat="false" ht="15" hidden="false" customHeight="false" outlineLevel="0" collapsed="false">
      <c r="A4" s="8" t="s">
        <v>175</v>
      </c>
      <c r="B4" s="9"/>
      <c r="C4" s="9"/>
      <c r="D4" s="9"/>
    </row>
    <row r="5" customFormat="false" ht="15" hidden="false" customHeight="false" outlineLevel="0" collapsed="false">
      <c r="A5" s="31" t="s">
        <v>176</v>
      </c>
      <c r="B5" s="31" t="s">
        <v>177</v>
      </c>
      <c r="C5" s="31" t="s">
        <v>178</v>
      </c>
      <c r="D5" s="31" t="s">
        <v>179</v>
      </c>
    </row>
    <row r="6" customFormat="false" ht="39" hidden="false" customHeight="true" outlineLevel="0" collapsed="false">
      <c r="A6" s="3" t="s">
        <v>180</v>
      </c>
      <c r="B6" s="36" t="s">
        <v>181</v>
      </c>
      <c r="C6" s="36" t="s">
        <v>182</v>
      </c>
      <c r="D6" s="11" t="s">
        <v>183</v>
      </c>
    </row>
    <row r="7" customFormat="false" ht="39" hidden="false" customHeight="true" outlineLevel="0" collapsed="false">
      <c r="A7" s="3" t="s">
        <v>184</v>
      </c>
      <c r="B7" s="36" t="s">
        <v>185</v>
      </c>
      <c r="C7" s="36" t="s">
        <v>186</v>
      </c>
      <c r="D7" s="11" t="s">
        <v>187</v>
      </c>
    </row>
    <row r="8" customFormat="false" ht="39" hidden="false" customHeight="true" outlineLevel="0" collapsed="false">
      <c r="A8" s="3" t="s">
        <v>188</v>
      </c>
      <c r="B8" s="36" t="s">
        <v>189</v>
      </c>
      <c r="C8" s="36" t="s">
        <v>190</v>
      </c>
      <c r="D8" s="11" t="s">
        <v>191</v>
      </c>
    </row>
    <row r="9" customFormat="false" ht="39" hidden="false" customHeight="true" outlineLevel="0" collapsed="false">
      <c r="A9" s="3" t="s">
        <v>192</v>
      </c>
      <c r="B9" s="36" t="s">
        <v>193</v>
      </c>
      <c r="C9" s="36" t="s">
        <v>194</v>
      </c>
      <c r="D9" s="11" t="s">
        <v>195</v>
      </c>
    </row>
    <row r="10" customFormat="false" ht="51.75" hidden="false" customHeight="true" outlineLevel="0" collapsed="false">
      <c r="A10" s="3" t="s">
        <v>196</v>
      </c>
      <c r="B10" s="36" t="s">
        <v>197</v>
      </c>
      <c r="C10" s="36" t="s">
        <v>198</v>
      </c>
      <c r="D10" s="11" t="s">
        <v>199</v>
      </c>
    </row>
    <row r="11" customFormat="false" ht="39" hidden="false" customHeight="true" outlineLevel="0" collapsed="false">
      <c r="A11" s="3" t="s">
        <v>200</v>
      </c>
      <c r="B11" s="36" t="s">
        <v>201</v>
      </c>
      <c r="C11" s="36" t="s">
        <v>202</v>
      </c>
      <c r="D11" s="11" t="s">
        <v>203</v>
      </c>
    </row>
    <row r="12" customFormat="false" ht="39" hidden="false" customHeight="true" outlineLevel="0" collapsed="false">
      <c r="A12" s="3" t="s">
        <v>204</v>
      </c>
      <c r="B12" s="36" t="s">
        <v>205</v>
      </c>
      <c r="C12" s="36" t="s">
        <v>206</v>
      </c>
      <c r="D12" s="11" t="s">
        <v>207</v>
      </c>
    </row>
    <row r="14" customFormat="false" ht="15" hidden="false" customHeight="false" outlineLevel="0" collapsed="false">
      <c r="A14" s="8" t="s">
        <v>208</v>
      </c>
      <c r="B14" s="9"/>
      <c r="C14" s="9"/>
      <c r="D14" s="9"/>
    </row>
    <row r="15" customFormat="false" ht="15" hidden="false" customHeight="false" outlineLevel="0" collapsed="false">
      <c r="A15" s="31" t="s">
        <v>209</v>
      </c>
      <c r="B15" s="31" t="s">
        <v>210</v>
      </c>
      <c r="C15" s="31" t="s">
        <v>211</v>
      </c>
      <c r="D15" s="31" t="s">
        <v>212</v>
      </c>
    </row>
    <row r="16" customFormat="false" ht="39" hidden="false" customHeight="true" outlineLevel="0" collapsed="false">
      <c r="A16" s="37" t="s">
        <v>213</v>
      </c>
      <c r="B16" s="37" t="s">
        <v>214</v>
      </c>
      <c r="C16" s="38" t="s">
        <v>215</v>
      </c>
      <c r="D16" s="39" t="s">
        <v>216</v>
      </c>
    </row>
    <row r="17" customFormat="false" ht="39" hidden="false" customHeight="true" outlineLevel="0" collapsed="false">
      <c r="A17" s="37" t="s">
        <v>213</v>
      </c>
      <c r="B17" s="37" t="s">
        <v>217</v>
      </c>
      <c r="C17" s="38" t="s">
        <v>218</v>
      </c>
      <c r="D17" s="39" t="s">
        <v>219</v>
      </c>
    </row>
    <row r="18" customFormat="false" ht="51.75" hidden="false" customHeight="true" outlineLevel="0" collapsed="false">
      <c r="A18" s="37" t="s">
        <v>213</v>
      </c>
      <c r="B18" s="37" t="s">
        <v>220</v>
      </c>
      <c r="C18" s="38" t="s">
        <v>221</v>
      </c>
      <c r="D18" s="39" t="s">
        <v>222</v>
      </c>
    </row>
    <row r="19" customFormat="false" ht="64.5" hidden="false" customHeight="true" outlineLevel="0" collapsed="false">
      <c r="A19" s="37" t="s">
        <v>213</v>
      </c>
      <c r="B19" s="37" t="s">
        <v>223</v>
      </c>
      <c r="C19" s="38" t="s">
        <v>224</v>
      </c>
      <c r="D19" s="39" t="s">
        <v>225</v>
      </c>
    </row>
    <row r="20" customFormat="false" ht="51.75" hidden="false" customHeight="true" outlineLevel="0" collapsed="false">
      <c r="A20" s="37" t="s">
        <v>213</v>
      </c>
      <c r="B20" s="37" t="s">
        <v>226</v>
      </c>
      <c r="C20" s="38" t="s">
        <v>227</v>
      </c>
      <c r="D20" s="39" t="s">
        <v>228</v>
      </c>
    </row>
    <row r="21" customFormat="false" ht="51.75" hidden="false" customHeight="true" outlineLevel="0" collapsed="false">
      <c r="A21" s="40" t="s">
        <v>229</v>
      </c>
      <c r="B21" s="40" t="s">
        <v>230</v>
      </c>
      <c r="C21" s="41" t="s">
        <v>231</v>
      </c>
      <c r="D21" s="42" t="s">
        <v>232</v>
      </c>
    </row>
    <row r="22" customFormat="false" ht="51.75" hidden="false" customHeight="true" outlineLevel="0" collapsed="false">
      <c r="A22" s="40" t="s">
        <v>233</v>
      </c>
      <c r="B22" s="40" t="s">
        <v>234</v>
      </c>
      <c r="C22" s="41" t="s">
        <v>235</v>
      </c>
      <c r="D22" s="42" t="s">
        <v>236</v>
      </c>
    </row>
    <row r="23" customFormat="false" ht="39" hidden="false" customHeight="true" outlineLevel="0" collapsed="false">
      <c r="A23" s="40" t="s">
        <v>237</v>
      </c>
      <c r="B23" s="40" t="s">
        <v>238</v>
      </c>
      <c r="C23" s="41" t="s">
        <v>239</v>
      </c>
      <c r="D23" s="42" t="s">
        <v>240</v>
      </c>
    </row>
    <row r="24" customFormat="false" ht="39" hidden="false" customHeight="true" outlineLevel="0" collapsed="false">
      <c r="A24" s="43" t="s">
        <v>241</v>
      </c>
      <c r="B24" s="43" t="s">
        <v>242</v>
      </c>
      <c r="C24" s="44" t="s">
        <v>243</v>
      </c>
      <c r="D24" s="45" t="s">
        <v>244</v>
      </c>
    </row>
    <row r="25" customFormat="false" ht="51.75" hidden="false" customHeight="true" outlineLevel="0" collapsed="false">
      <c r="A25" s="37" t="s">
        <v>245</v>
      </c>
      <c r="B25" s="37" t="s">
        <v>246</v>
      </c>
      <c r="C25" s="38" t="s">
        <v>247</v>
      </c>
      <c r="D25" s="39" t="s">
        <v>248</v>
      </c>
    </row>
    <row r="27" customFormat="false" ht="42" hidden="false" customHeight="true" outlineLevel="0" collapsed="false">
      <c r="A27" s="46" t="s">
        <v>249</v>
      </c>
      <c r="B27" s="46"/>
      <c r="C27" s="46"/>
      <c r="D27" s="46"/>
    </row>
  </sheetData>
  <sheetProtection sheet="true" password="dede" formatCells="false" formatColumns="false" formatRows="false"/>
  <mergeCells count="1">
    <mergeCell ref="A27:D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4"/>
    <col collapsed="false" customWidth="true" hidden="false" outlineLevel="0" max="3" min="3" style="0" width="88"/>
  </cols>
  <sheetData>
    <row r="1" customFormat="false" ht="17.35" hidden="false" customHeight="false" outlineLevel="0" collapsed="false">
      <c r="A1" s="6" t="s">
        <v>250</v>
      </c>
    </row>
    <row r="2" customFormat="false" ht="15" hidden="false" customHeight="false" outlineLevel="0" collapsed="false">
      <c r="A2" s="7" t="s">
        <v>251</v>
      </c>
    </row>
    <row r="4" customFormat="false" ht="15" hidden="false" customHeight="false" outlineLevel="0" collapsed="false">
      <c r="A4" s="8" t="s">
        <v>252</v>
      </c>
      <c r="B4" s="9"/>
      <c r="C4" s="9"/>
    </row>
    <row r="5" customFormat="false" ht="25.5" hidden="false" customHeight="true" outlineLevel="0" collapsed="false">
      <c r="A5" s="18" t="s">
        <v>253</v>
      </c>
      <c r="B5" s="25" t="n">
        <f aca="false">Assumptions!$B$34</f>
        <v>55000</v>
      </c>
      <c r="C5" s="11" t="s">
        <v>254</v>
      </c>
    </row>
    <row r="6" customFormat="false" ht="15" hidden="false" customHeight="false" outlineLevel="0" collapsed="false">
      <c r="A6" s="8" t="s">
        <v>255</v>
      </c>
      <c r="B6" s="9"/>
      <c r="C6" s="9"/>
    </row>
    <row r="7" customFormat="false" ht="12.75" hidden="false" customHeight="true" outlineLevel="0" collapsed="false">
      <c r="A7" s="20" t="s">
        <v>256</v>
      </c>
      <c r="B7" s="34" t="n">
        <v>12000</v>
      </c>
      <c r="C7" s="11" t="s">
        <v>257</v>
      </c>
    </row>
    <row r="8" customFormat="false" ht="25.5" hidden="false" customHeight="true" outlineLevel="0" collapsed="false">
      <c r="A8" s="20" t="s">
        <v>258</v>
      </c>
      <c r="B8" s="47" t="n">
        <v>0.743</v>
      </c>
      <c r="C8" s="11" t="s">
        <v>259</v>
      </c>
    </row>
    <row r="9" customFormat="false" ht="12.75" hidden="false" customHeight="true" outlineLevel="0" collapsed="false">
      <c r="A9" s="20" t="s">
        <v>260</v>
      </c>
      <c r="B9" s="28" t="n">
        <f aca="false">B7*B8</f>
        <v>8916</v>
      </c>
      <c r="C9" s="11"/>
    </row>
    <row r="10" customFormat="false" ht="51.75" hidden="false" customHeight="true" outlineLevel="0" collapsed="false">
      <c r="A10" s="20" t="s">
        <v>261</v>
      </c>
      <c r="B10" s="28" t="n">
        <f aca="false">Assumptions!$B$37</f>
        <v>80000</v>
      </c>
      <c r="C10" s="11" t="s">
        <v>262</v>
      </c>
    </row>
    <row r="11" customFormat="false" ht="12.75" hidden="false" customHeight="true" outlineLevel="0" collapsed="false">
      <c r="A11" s="20" t="s">
        <v>263</v>
      </c>
      <c r="B11" s="12" t="n">
        <v>1500</v>
      </c>
      <c r="C11" s="11" t="s">
        <v>264</v>
      </c>
    </row>
    <row r="12" customFormat="false" ht="25.5" hidden="false" customHeight="true" outlineLevel="0" collapsed="false">
      <c r="A12" s="20" t="s">
        <v>265</v>
      </c>
      <c r="B12" s="12" t="n">
        <v>4800</v>
      </c>
      <c r="C12" s="11" t="s">
        <v>266</v>
      </c>
    </row>
    <row r="13" customFormat="false" ht="39" hidden="false" customHeight="true" outlineLevel="0" collapsed="false">
      <c r="A13" s="20" t="s">
        <v>267</v>
      </c>
      <c r="B13" s="15" t="n">
        <v>0.1</v>
      </c>
      <c r="C13" s="11" t="s">
        <v>268</v>
      </c>
    </row>
    <row r="14" customFormat="false" ht="12.75" hidden="false" customHeight="true" outlineLevel="0" collapsed="false">
      <c r="A14" s="20" t="s">
        <v>269</v>
      </c>
      <c r="B14" s="28" t="n">
        <f aca="false">B5*B13</f>
        <v>5500</v>
      </c>
      <c r="C14" s="11"/>
    </row>
    <row r="15" customFormat="false" ht="12.75" hidden="false" customHeight="true" outlineLevel="0" collapsed="false">
      <c r="A15" s="20" t="s">
        <v>270</v>
      </c>
      <c r="B15" s="12" t="n">
        <v>3000</v>
      </c>
      <c r="C15" s="11" t="s">
        <v>271</v>
      </c>
    </row>
    <row r="16" customFormat="false" ht="25.5" hidden="false" customHeight="true" outlineLevel="0" collapsed="false">
      <c r="A16" s="18" t="s">
        <v>272</v>
      </c>
      <c r="B16" s="25" t="n">
        <f aca="false">B9+B11+B12+B14+B15</f>
        <v>23716</v>
      </c>
      <c r="C16" s="11" t="s">
        <v>273</v>
      </c>
    </row>
    <row r="17" customFormat="false" ht="15" hidden="false" customHeight="false" outlineLevel="0" collapsed="false">
      <c r="A17" s="8" t="s">
        <v>274</v>
      </c>
      <c r="B17" s="9"/>
      <c r="C17" s="9"/>
    </row>
    <row r="18" customFormat="false" ht="25.5" hidden="false" customHeight="true" outlineLevel="0" collapsed="false">
      <c r="A18" s="20" t="s">
        <v>275</v>
      </c>
      <c r="B18" s="15" t="n">
        <v>0.32</v>
      </c>
      <c r="C18" s="11" t="s">
        <v>276</v>
      </c>
    </row>
    <row r="19" customFormat="false" ht="12.75" hidden="false" customHeight="true" outlineLevel="0" collapsed="false">
      <c r="A19" s="18" t="s">
        <v>277</v>
      </c>
      <c r="B19" s="25" t="n">
        <f aca="false">B16*B18</f>
        <v>7589.12</v>
      </c>
      <c r="C19" s="11"/>
    </row>
    <row r="20" customFormat="false" ht="12.75" hidden="false" customHeight="true" outlineLevel="0" collapsed="false">
      <c r="A20" s="20" t="s">
        <v>278</v>
      </c>
      <c r="B20" s="28" t="n">
        <f aca="false">MAX(0,B5-B16+B14)*B18</f>
        <v>11770.88</v>
      </c>
      <c r="C20" s="11" t="s">
        <v>279</v>
      </c>
    </row>
    <row r="21" customFormat="false" ht="39" hidden="false" customHeight="true" outlineLevel="0" collapsed="false">
      <c r="A21" s="18" t="s">
        <v>280</v>
      </c>
      <c r="B21" s="25" t="n">
        <f aca="false">B5-B20</f>
        <v>43229.12</v>
      </c>
      <c r="C21" s="11" t="s">
        <v>281</v>
      </c>
    </row>
    <row r="22" customFormat="false" ht="15" hidden="false" customHeight="false" outlineLevel="0" collapsed="false">
      <c r="A22" s="8" t="s">
        <v>282</v>
      </c>
      <c r="B22" s="9"/>
      <c r="C22" s="9"/>
    </row>
    <row r="23" customFormat="false" ht="39" hidden="false" customHeight="true" outlineLevel="0" collapsed="false">
      <c r="A23" s="46" t="s">
        <v>283</v>
      </c>
      <c r="B23" s="46"/>
      <c r="C23" s="46"/>
    </row>
    <row r="24" customFormat="false" ht="39" hidden="false" customHeight="true" outlineLevel="0" collapsed="false">
      <c r="A24" s="46" t="s">
        <v>284</v>
      </c>
      <c r="B24" s="46"/>
      <c r="C24" s="46"/>
    </row>
  </sheetData>
  <sheetProtection sheet="true" password="dede" formatCells="false" formatColumns="false" formatRows="false"/>
  <mergeCells count="2">
    <mergeCell ref="A23:C23"/>
    <mergeCell ref="A24:C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6"/>
    <col collapsed="false" customWidth="true" hidden="false" outlineLevel="0" max="11" min="2" style="0" width="12"/>
    <col collapsed="false" customWidth="true" hidden="false" outlineLevel="0" max="13" min="13" style="0" width="66"/>
  </cols>
  <sheetData>
    <row r="1" customFormat="false" ht="17.35" hidden="false" customHeight="false" outlineLevel="0" collapsed="false">
      <c r="A1" s="6" t="s">
        <v>285</v>
      </c>
    </row>
    <row r="2" customFormat="false" ht="15" hidden="false" customHeight="false" outlineLevel="0" collapsed="false">
      <c r="A2" s="7" t="s">
        <v>286</v>
      </c>
    </row>
    <row r="4" customFormat="false" ht="15" hidden="false" customHeight="false" outlineLevel="0" collapsed="false">
      <c r="A4" s="18" t="s">
        <v>80</v>
      </c>
      <c r="B4" s="19" t="n">
        <v>1</v>
      </c>
      <c r="C4" s="19" t="n">
        <v>2</v>
      </c>
      <c r="D4" s="19" t="n">
        <v>3</v>
      </c>
      <c r="E4" s="19" t="n">
        <v>4</v>
      </c>
      <c r="F4" s="19" t="n">
        <v>5</v>
      </c>
      <c r="G4" s="19" t="n">
        <v>6</v>
      </c>
      <c r="H4" s="19" t="n">
        <v>7</v>
      </c>
      <c r="I4" s="19" t="n">
        <v>8</v>
      </c>
      <c r="J4" s="19" t="n">
        <v>9</v>
      </c>
      <c r="K4" s="19" t="n">
        <v>10</v>
      </c>
    </row>
    <row r="5" customFormat="false" ht="15" hidden="false" customHeight="false" outlineLevel="0" collapsed="false">
      <c r="A5" s="20" t="s">
        <v>287</v>
      </c>
      <c r="B5" s="28" t="n">
        <f aca="false">'Ten-year proforma'!B12</f>
        <v>290304</v>
      </c>
      <c r="C5" s="28" t="n">
        <f aca="false">'Ten-year proforma'!C12</f>
        <v>361307.52</v>
      </c>
      <c r="D5" s="28" t="n">
        <f aca="false">'Ten-year proforma'!D12</f>
        <v>436309.9776</v>
      </c>
      <c r="E5" s="28" t="n">
        <f aca="false">'Ten-year proforma'!E12</f>
        <v>898798.553856</v>
      </c>
      <c r="F5" s="28" t="n">
        <f aca="false">'Ten-year proforma'!F12</f>
        <v>925762.51047168</v>
      </c>
      <c r="G5" s="28" t="n">
        <f aca="false">'Ten-year proforma'!G12</f>
        <v>953535.385785831</v>
      </c>
      <c r="H5" s="28" t="n">
        <f aca="false">'Ten-year proforma'!H12</f>
        <v>1473212.17103911</v>
      </c>
      <c r="I5" s="28" t="n">
        <f aca="false">'Ten-year proforma'!I12</f>
        <v>1517408.53617028</v>
      </c>
      <c r="J5" s="28" t="n">
        <f aca="false">'Ten-year proforma'!J12</f>
        <v>1562930.79225539</v>
      </c>
      <c r="K5" s="28" t="n">
        <f aca="false">'Ten-year proforma'!K12</f>
        <v>1609818.71602305</v>
      </c>
    </row>
    <row r="6" customFormat="false" ht="15" hidden="false" customHeight="false" outlineLevel="0" collapsed="false">
      <c r="A6" s="18" t="s">
        <v>288</v>
      </c>
      <c r="B6" s="25" t="n">
        <f aca="false">'Ten-year proforma'!B42</f>
        <v>64024.96</v>
      </c>
      <c r="C6" s="25" t="n">
        <f aca="false">'Ten-year proforma'!C42</f>
        <v>111556.5648</v>
      </c>
      <c r="D6" s="25" t="n">
        <f aca="false">'Ten-year proforma'!D42</f>
        <v>161879.340924</v>
      </c>
      <c r="E6" s="25" t="n">
        <f aca="false">'Ten-year proforma'!E42</f>
        <v>228696.561292815</v>
      </c>
      <c r="F6" s="25" t="n">
        <f aca="false">'Ten-year proforma'!F42</f>
        <v>233774.697321001</v>
      </c>
      <c r="G6" s="25" t="n">
        <f aca="false">'Ten-year proforma'!G42</f>
        <v>238941.782524081</v>
      </c>
      <c r="H6" s="25" t="n">
        <f aca="false">'Ten-year proforma'!H42</f>
        <v>379312.416727204</v>
      </c>
      <c r="I6" s="25" t="n">
        <f aca="false">'Ten-year proforma'!I42</f>
        <v>387689.605994797</v>
      </c>
      <c r="J6" s="25" t="n">
        <f aca="false">'Ten-year proforma'!J42</f>
        <v>396211.654177932</v>
      </c>
      <c r="K6" s="25" t="n">
        <f aca="false">'Ten-year proforma'!K42</f>
        <v>404879.143097784</v>
      </c>
    </row>
    <row r="7" customFormat="false" ht="32.8" hidden="false" customHeight="false" outlineLevel="0" collapsed="false">
      <c r="A7" s="20" t="s">
        <v>289</v>
      </c>
      <c r="B7" s="48" t="n">
        <f aca="false">Assumptions!$B$44</f>
        <v>2.49</v>
      </c>
      <c r="C7" s="48" t="n">
        <f aca="false">Assumptions!$B$44</f>
        <v>2.49</v>
      </c>
      <c r="D7" s="48" t="n">
        <f aca="false">Assumptions!$B$44</f>
        <v>2.49</v>
      </c>
      <c r="E7" s="48" t="n">
        <f aca="false">Assumptions!$B$44</f>
        <v>2.49</v>
      </c>
      <c r="F7" s="48" t="n">
        <f aca="false">Assumptions!$B$44</f>
        <v>2.49</v>
      </c>
      <c r="G7" s="48" t="n">
        <f aca="false">Assumptions!$B$44</f>
        <v>2.49</v>
      </c>
      <c r="H7" s="48" t="n">
        <f aca="false">Assumptions!$B$44</f>
        <v>2.49</v>
      </c>
      <c r="I7" s="48" t="n">
        <f aca="false">Assumptions!$B$44</f>
        <v>2.49</v>
      </c>
      <c r="J7" s="48" t="n">
        <f aca="false">Assumptions!$B$44</f>
        <v>2.49</v>
      </c>
      <c r="K7" s="48" t="n">
        <f aca="false">Assumptions!$B$44</f>
        <v>2.49</v>
      </c>
      <c r="M7" s="11" t="s">
        <v>290</v>
      </c>
    </row>
    <row r="8" customFormat="false" ht="32.8" hidden="false" customHeight="false" outlineLevel="0" collapsed="false">
      <c r="A8" s="20" t="s">
        <v>291</v>
      </c>
      <c r="B8" s="28" t="n">
        <f aca="false">-MAX(0,'Ten-year proforma'!B33*2.5)</f>
        <v>-44675.0416308244</v>
      </c>
      <c r="C8" s="28" t="n">
        <f aca="false">-MAX(0,'Ten-year proforma'!C33*2.5)</f>
        <v>-44675.0416308244</v>
      </c>
      <c r="D8" s="28" t="n">
        <f aca="false">-MAX(0,'Ten-year proforma'!D33*2.5)</f>
        <v>-44675.0416308244</v>
      </c>
      <c r="E8" s="28" t="n">
        <f aca="false">-MAX(0,'Ten-year proforma'!E33*2.5)</f>
        <v>-93138.0597981481</v>
      </c>
      <c r="F8" s="28" t="n">
        <f aca="false">-MAX(0,'Ten-year proforma'!F33*2.5)</f>
        <v>-93138.0597981481</v>
      </c>
      <c r="G8" s="28" t="n">
        <f aca="false">-MAX(0,'Ten-year proforma'!G33*2.5)</f>
        <v>-48463.0181673237</v>
      </c>
      <c r="H8" s="28" t="n">
        <f aca="false">-MAX(0,'Ten-year proforma'!H33*2.5)</f>
        <v>-101035.19368525</v>
      </c>
      <c r="I8" s="28" t="n">
        <f aca="false">-MAX(0,'Ten-year proforma'!I33*2.5)</f>
        <v>-101035.19368525</v>
      </c>
      <c r="J8" s="28" t="n">
        <f aca="false">-MAX(0,'Ten-year proforma'!J33*2.5)</f>
        <v>-52572.175517926</v>
      </c>
      <c r="K8" s="28" t="n">
        <f aca="false">-MAX(0,'Ten-year proforma'!K33*2.5)</f>
        <v>-52572.175517926</v>
      </c>
      <c r="M8" s="11" t="s">
        <v>292</v>
      </c>
    </row>
    <row r="9" customFormat="false" ht="32.8" hidden="false" customHeight="false" outlineLevel="0" collapsed="false">
      <c r="A9" s="18" t="s">
        <v>293</v>
      </c>
      <c r="B9" s="25" t="n">
        <f aca="false">MAX(0,B6)*B7+B8+'Ten-year proforma'!B39</f>
        <v>168413.547600409</v>
      </c>
      <c r="C9" s="25" t="n">
        <f aca="false">MAX(0,C6)*C7+C8+'Ten-year proforma'!C39</f>
        <v>290118.317743643</v>
      </c>
      <c r="D9" s="25" t="n">
        <f aca="false">MAX(0,D6)*D7+D8+'Ten-year proforma'!D39</f>
        <v>450672.647770436</v>
      </c>
      <c r="E9" s="25" t="n">
        <f aca="false">MAX(0,E6)*E7+E8+'Ten-year proforma'!E39</f>
        <v>620479.817865737</v>
      </c>
      <c r="F9" s="25" t="n">
        <f aca="false">MAX(0,F6)*F7+F8+'Ten-year proforma'!F39</f>
        <v>696844.111304925</v>
      </c>
      <c r="G9" s="25" t="n">
        <f aca="false">MAX(0,G6)*G7+G8+'Ten-year proforma'!G39</f>
        <v>837721.536301642</v>
      </c>
      <c r="H9" s="25" t="n">
        <f aca="false">MAX(0,H6)*H7+H8+'Ten-year proforma'!H39</f>
        <v>1277533.81877488</v>
      </c>
      <c r="I9" s="25" t="n">
        <f aca="false">MAX(0,I6)*I7+I8+'Ten-year proforma'!I39</f>
        <v>1463379.43242543</v>
      </c>
      <c r="J9" s="25" t="n">
        <f aca="false">MAX(0,J6)*J7+J8+'Ten-year proforma'!J39</f>
        <v>1718120.82519029</v>
      </c>
      <c r="K9" s="25" t="n">
        <f aca="false">MAX(0,K6)*K7+K8+'Ten-year proforma'!K39</f>
        <v>1925127.72441848</v>
      </c>
      <c r="M9" s="11" t="s">
        <v>294</v>
      </c>
    </row>
    <row r="10" customFormat="false" ht="15" hidden="false" customHeight="false" outlineLevel="0" collapsed="false">
      <c r="A10" s="20" t="s">
        <v>295</v>
      </c>
      <c r="B10" s="28" t="n">
        <f aca="false">B6</f>
        <v>64024.96</v>
      </c>
      <c r="C10" s="28" t="n">
        <f aca="false">B10+C6</f>
        <v>175581.5248</v>
      </c>
      <c r="D10" s="28" t="n">
        <f aca="false">C10+D6</f>
        <v>337460.865724</v>
      </c>
      <c r="E10" s="28" t="n">
        <f aca="false">D10+E6</f>
        <v>566157.427016815</v>
      </c>
      <c r="F10" s="28" t="n">
        <f aca="false">E10+F6</f>
        <v>799932.124337816</v>
      </c>
      <c r="G10" s="28" t="n">
        <f aca="false">F10+G6</f>
        <v>1038873.9068619</v>
      </c>
      <c r="H10" s="28" t="n">
        <f aca="false">G10+H6</f>
        <v>1418186.3235891</v>
      </c>
      <c r="I10" s="28" t="n">
        <f aca="false">H10+I6</f>
        <v>1805875.9295839</v>
      </c>
      <c r="J10" s="28" t="n">
        <f aca="false">I10+J6</f>
        <v>2202087.58376183</v>
      </c>
      <c r="K10" s="28" t="n">
        <f aca="false">J10+K6</f>
        <v>2606966.72685961</v>
      </c>
    </row>
    <row r="11" customFormat="false" ht="22.35" hidden="false" customHeight="false" outlineLevel="0" collapsed="false">
      <c r="A11" s="18" t="s">
        <v>296</v>
      </c>
      <c r="B11" s="25" t="n">
        <f aca="false">B10+B9</f>
        <v>232438.507600409</v>
      </c>
      <c r="C11" s="25" t="n">
        <f aca="false">C10+C9</f>
        <v>465699.842543643</v>
      </c>
      <c r="D11" s="25" t="n">
        <f aca="false">D10+D9</f>
        <v>788133.513494436</v>
      </c>
      <c r="E11" s="25" t="n">
        <f aca="false">E10+E9</f>
        <v>1186637.24488255</v>
      </c>
      <c r="F11" s="25" t="n">
        <f aca="false">F10+F9</f>
        <v>1496776.23564274</v>
      </c>
      <c r="G11" s="25" t="n">
        <f aca="false">G10+G9</f>
        <v>1876595.44316354</v>
      </c>
      <c r="H11" s="25" t="n">
        <f aca="false">H10+H9</f>
        <v>2695720.14236398</v>
      </c>
      <c r="I11" s="25" t="n">
        <f aca="false">I10+I9</f>
        <v>3269255.36200933</v>
      </c>
      <c r="J11" s="25" t="n">
        <f aca="false">J10+J9</f>
        <v>3920208.40895212</v>
      </c>
      <c r="K11" s="25" t="n">
        <f aca="false">K10+K9</f>
        <v>4532094.4512781</v>
      </c>
      <c r="M11" s="11" t="s">
        <v>297</v>
      </c>
    </row>
    <row r="13" customFormat="false" ht="15" hidden="false" customHeight="false" outlineLevel="0" collapsed="false">
      <c r="A13" s="8" t="s">
        <v>298</v>
      </c>
      <c r="B13" s="9"/>
      <c r="C13" s="9"/>
      <c r="D13" s="9"/>
      <c r="E13" s="9"/>
      <c r="F13" s="9"/>
      <c r="G13" s="9"/>
      <c r="H13" s="9"/>
      <c r="I13" s="9"/>
      <c r="J13" s="9"/>
      <c r="K13" s="9"/>
      <c r="M13" s="9"/>
    </row>
    <row r="14" customFormat="false" ht="39" hidden="false" customHeight="true" outlineLevel="0" collapsed="false">
      <c r="A14" s="46" t="s">
        <v>299</v>
      </c>
      <c r="B14" s="46"/>
      <c r="C14" s="46"/>
      <c r="D14" s="46"/>
      <c r="E14" s="46"/>
      <c r="F14" s="46"/>
      <c r="G14" s="46"/>
      <c r="H14" s="46"/>
      <c r="I14" s="46"/>
      <c r="J14" s="46"/>
      <c r="K14" s="46"/>
      <c r="L14" s="46"/>
      <c r="M14" s="46"/>
    </row>
    <row r="15" customFormat="false" ht="51.75" hidden="false" customHeight="true" outlineLevel="0" collapsed="false">
      <c r="A15" s="46" t="s">
        <v>300</v>
      </c>
      <c r="B15" s="46"/>
      <c r="C15" s="46"/>
      <c r="D15" s="46"/>
      <c r="E15" s="46"/>
      <c r="F15" s="46"/>
      <c r="G15" s="46"/>
      <c r="H15" s="46"/>
      <c r="I15" s="46"/>
      <c r="J15" s="46"/>
      <c r="K15" s="46"/>
      <c r="L15" s="46"/>
      <c r="M15" s="46"/>
    </row>
    <row r="16" customFormat="false" ht="51.75" hidden="false" customHeight="true" outlineLevel="0" collapsed="false">
      <c r="A16" s="46" t="s">
        <v>301</v>
      </c>
      <c r="B16" s="46"/>
      <c r="C16" s="46"/>
      <c r="D16" s="46"/>
      <c r="E16" s="46"/>
      <c r="F16" s="46"/>
      <c r="G16" s="46"/>
      <c r="H16" s="46"/>
      <c r="I16" s="46"/>
      <c r="J16" s="46"/>
      <c r="K16" s="46"/>
      <c r="L16" s="46"/>
      <c r="M16" s="46"/>
    </row>
    <row r="17" customFormat="false" ht="25.5" hidden="false" customHeight="true" outlineLevel="0" collapsed="false">
      <c r="A17" s="46" t="s">
        <v>302</v>
      </c>
      <c r="B17" s="46"/>
      <c r="C17" s="46"/>
      <c r="D17" s="46"/>
      <c r="E17" s="46"/>
      <c r="F17" s="46"/>
      <c r="G17" s="46"/>
      <c r="H17" s="46"/>
      <c r="I17" s="46"/>
      <c r="J17" s="46"/>
      <c r="K17" s="46"/>
      <c r="L17" s="46"/>
      <c r="M17" s="46"/>
    </row>
  </sheetData>
  <sheetProtection sheet="true" password="dede" formatCells="false" formatColumns="false" formatRows="false"/>
  <mergeCells count="4">
    <mergeCell ref="A14:M14"/>
    <mergeCell ref="A15:M15"/>
    <mergeCell ref="A16:M16"/>
    <mergeCell ref="A17:M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00"/>
  </cols>
  <sheetData>
    <row r="1" customFormat="false" ht="17.35" hidden="false" customHeight="false" outlineLevel="0" collapsed="false">
      <c r="A1" s="6" t="s">
        <v>303</v>
      </c>
    </row>
    <row r="3" customFormat="false" ht="25.5" hidden="false" customHeight="true" outlineLevel="0" collapsed="false">
      <c r="A3" s="3" t="s">
        <v>304</v>
      </c>
      <c r="B3" s="11" t="s">
        <v>305</v>
      </c>
    </row>
    <row r="4" customFormat="false" ht="25.5" hidden="false" customHeight="true" outlineLevel="0" collapsed="false">
      <c r="A4" s="3" t="s">
        <v>306</v>
      </c>
      <c r="B4" s="11" t="s">
        <v>307</v>
      </c>
    </row>
    <row r="5" customFormat="false" ht="25.5" hidden="false" customHeight="true" outlineLevel="0" collapsed="false">
      <c r="A5" s="3" t="s">
        <v>308</v>
      </c>
      <c r="B5" s="11" t="s">
        <v>309</v>
      </c>
    </row>
    <row r="6" customFormat="false" ht="25.5" hidden="false" customHeight="true" outlineLevel="0" collapsed="false">
      <c r="A6" s="3" t="s">
        <v>310</v>
      </c>
      <c r="B6" s="11" t="s">
        <v>311</v>
      </c>
    </row>
    <row r="7" customFormat="false" ht="39" hidden="false" customHeight="true" outlineLevel="0" collapsed="false">
      <c r="A7" s="3" t="s">
        <v>312</v>
      </c>
      <c r="B7" s="11" t="s">
        <v>313</v>
      </c>
    </row>
    <row r="8" customFormat="false" ht="39" hidden="false" customHeight="true" outlineLevel="0" collapsed="false">
      <c r="A8" s="3" t="s">
        <v>100</v>
      </c>
      <c r="B8" s="11" t="s">
        <v>314</v>
      </c>
    </row>
    <row r="9" customFormat="false" ht="39" hidden="false" customHeight="true" outlineLevel="0" collapsed="false">
      <c r="A9" s="3" t="s">
        <v>315</v>
      </c>
      <c r="B9" s="11" t="s">
        <v>316</v>
      </c>
    </row>
    <row r="10" customFormat="false" ht="25.5" hidden="false" customHeight="true" outlineLevel="0" collapsed="false">
      <c r="A10" s="3" t="s">
        <v>214</v>
      </c>
      <c r="B10" s="11" t="s">
        <v>317</v>
      </c>
    </row>
    <row r="11" customFormat="false" ht="25.5" hidden="false" customHeight="true" outlineLevel="0" collapsed="false">
      <c r="A11" s="3" t="s">
        <v>318</v>
      </c>
      <c r="B11" s="11" t="s">
        <v>319</v>
      </c>
    </row>
    <row r="12" customFormat="false" ht="39" hidden="false" customHeight="true" outlineLevel="0" collapsed="false">
      <c r="A12" s="3" t="s">
        <v>320</v>
      </c>
      <c r="B12" s="11" t="s">
        <v>321</v>
      </c>
    </row>
    <row r="13" customFormat="false" ht="39" hidden="false" customHeight="true" outlineLevel="0" collapsed="false">
      <c r="A13" s="3" t="s">
        <v>322</v>
      </c>
      <c r="B13" s="11" t="s">
        <v>323</v>
      </c>
    </row>
    <row r="14" customFormat="false" ht="51.75" hidden="false" customHeight="true" outlineLevel="0" collapsed="false">
      <c r="A14" s="3" t="s">
        <v>324</v>
      </c>
      <c r="B14" s="11" t="s">
        <v>325</v>
      </c>
    </row>
    <row r="15" customFormat="false" ht="25.5" hidden="false" customHeight="true" outlineLevel="0" collapsed="false">
      <c r="A15" s="3" t="s">
        <v>326</v>
      </c>
      <c r="B15" s="11" t="s">
        <v>327</v>
      </c>
    </row>
    <row r="16" customFormat="false" ht="25.5" hidden="false" customHeight="true" outlineLevel="0" collapsed="false">
      <c r="A16" s="3" t="s">
        <v>328</v>
      </c>
      <c r="B16" s="11" t="s">
        <v>329</v>
      </c>
    </row>
    <row r="17" customFormat="false" ht="39" hidden="false" customHeight="true" outlineLevel="0" collapsed="false">
      <c r="A17" s="3" t="s">
        <v>330</v>
      </c>
      <c r="B17" s="11" t="s">
        <v>331</v>
      </c>
    </row>
    <row r="18" customFormat="false" ht="51.75" hidden="false" customHeight="true" outlineLevel="0" collapsed="false">
      <c r="A18" s="3" t="s">
        <v>332</v>
      </c>
      <c r="B18" s="11" t="s">
        <v>333</v>
      </c>
    </row>
    <row r="19" customFormat="false" ht="25.5" hidden="false" customHeight="true" outlineLevel="0" collapsed="false">
      <c r="A19" s="3" t="s">
        <v>334</v>
      </c>
      <c r="B19" s="11" t="s">
        <v>335</v>
      </c>
    </row>
    <row r="20" customFormat="false" ht="25.5" hidden="false" customHeight="true" outlineLevel="0" collapsed="false">
      <c r="A20" s="3" t="s">
        <v>336</v>
      </c>
      <c r="B20" s="11" t="s">
        <v>337</v>
      </c>
    </row>
  </sheetData>
  <sheetProtection sheet="true" password="dede" formatCells="fals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2026-09-17T05:29:17Z</dcterms:created>
  <dc:creator>openpyxl</dc:creator>
  <dc:description/>
  <dc:language>en-US</dc:language>
  <cp:lastModifiedBy/>
  <dcterms:modified xsi:type="dcterms:W3CDTF">2026-09-17T05:29:17Z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