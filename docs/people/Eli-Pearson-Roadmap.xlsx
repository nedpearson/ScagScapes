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tart here" sheetId="1" state="visible" r:id="rId3"/>
    <sheet name="The ladder" sheetId="2" state="visible" r:id="rId4"/>
    <sheet name="Money" sheetId="3" state="visible" r:id="rId5"/>
    <sheet name="Your own company" sheetId="4" state="visible" r:id="rId6"/>
    <sheet name="AI and robot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<sst xmlns="http://schemas.openxmlformats.org/spreadsheetml/2006/main" count="216" uniqueCount="185">
  <si>
    <t xml:space="preserve">Eli - the next fifteen years</t>
  </si>
  <si>
    <t xml:space="preserve">This is yours. Nobody else's pay is in this file and your numbers are not in anybody else's.</t>
  </si>
  <si>
    <t xml:space="preserve">You are 18, you work hard, and you are already earning the Baton Rouge average for a construction laborer. That is a real head start and it is worth saying out loud. The point of this file is not to talk you into anything. It is to show you what each step actually pays, what each one costs to reach, and roughly when to take it.</t>
  </si>
  <si>
    <t xml:space="preserve">Four things worth knowing before you read the rest:</t>
  </si>
  <si>
    <t xml:space="preserve">1.  The biggest single raise of your whole career is the next one. Laborer to equipment operator is about 38% - $20.48 to $28.30 an hour on Baton Rouge averages - and it costs nothing but two or three years of asking to get in the seat. Nothing else on the ladder has that ratio. Take it early.</t>
  </si>
  <si>
    <t xml:space="preserve">2.  Contractors do not go broke because they cannot dig. They go broke because they bid the job wrong and find out too late. Roughly one in five construction businesses fails in the first year and more than half by year five, and the reason is almost always cash and estimating, not skill. That is why there is a 'what you are learning' column on the next tab, and why it starts with job costing at 21 rather than at 30.</t>
  </si>
  <si>
    <t xml:space="preserve">3.  Your body is the asset right now, and it has a shelf life. Construction has a workplace fatality rate of 9.2 per 100,000 against 3.3 for all jobs, and trenching is among the most dangerous work in it. The plan moves you off the shovel and onto the truck, the estimate and the ownership side by about 30. That is not being soft. It is the same plan that protects you from robots, which is the next point.</t>
  </si>
  <si>
    <t xml:space="preserve">4.  On AI and robots: read that tab properly. The short version is that the machines coming for this trade are coming for big, flat, repetitive ground first - mowing a hundred acres, moving a million yards of dirt on an open site. Figuring out why a yard floods, and getting a trench in between a fence, a pool and a tree root without hitting a gas line, is the last thing that gets automated, not the first. But the office side - quoting, invoicing, scheduling - is being automated right now. Which means the job to aim at is the one that owns the customer and the licence, not the one that owns the shovel.</t>
  </si>
  <si>
    <t xml:space="preserve">None of this is a promise. It is arithmetic on today's numbers, and you can change every one of them.</t>
  </si>
  <si>
    <t xml:space="preserve">The ladder - what each step pays and what it takes</t>
  </si>
  <si>
    <t xml:space="preserve">Blue = change it. Hourly rates are Baton Rouge averages for each role, grown 3.5% a year for wage inflation - which is what construction wages have actually done. Take-home is after federal tax, Social Security and Medicare, and Louisiana's 3% flat rate.</t>
  </si>
  <si>
    <t xml:space="preserve">Wage inflation per year</t>
  </si>
  <si>
    <t xml:space="preserve">Construction wages have run about 3.5%/yr nationally; Louisiana has run slower, near 2.45%.</t>
  </si>
  <si>
    <t xml:space="preserve">Paid hours per year</t>
  </si>
  <si>
    <t xml:space="preserve">40 hours x 52 weeks. Overtime is on top - and the federal deduction for overtime premium pay is worth tracking.</t>
  </si>
  <si>
    <t xml:space="preserve">Year</t>
  </si>
  <si>
    <t xml:space="preserve">Age</t>
  </si>
  <si>
    <t xml:space="preserve">What you are</t>
  </si>
  <si>
    <t xml:space="preserve">Rate/hr today</t>
  </si>
  <si>
    <t xml:space="preserve">Rate/hr then</t>
  </si>
  <si>
    <t xml:space="preserve">Gross a year</t>
  </si>
  <si>
    <t xml:space="preserve">Take-home</t>
  </si>
  <si>
    <t xml:space="preserve">What you get that year</t>
  </si>
  <si>
    <t xml:space="preserve">What you are learning</t>
  </si>
  <si>
    <t xml:space="preserve">Laborer</t>
  </si>
  <si>
    <t xml:space="preserve">GED. OSHA 10. Trenching competent-person card. FAA Part 107 drone licence.</t>
  </si>
  <si>
    <t xml:space="preserve">How the work actually goes together. Start a job notebook: hours, machine time, materials, what went wrong.</t>
  </si>
  <si>
    <t xml:space="preserve">Laborer / operator trainee</t>
  </si>
  <si>
    <t xml:space="preserve">CDL Class A at BRCC - 6 weeks, $5,640.</t>
  </si>
  <si>
    <t xml:space="preserve">Get in the seat every chance you get. Hauling your own iron is the skill nobody can take off you.</t>
  </si>
  <si>
    <t xml:space="preserve">Equipment operator</t>
  </si>
  <si>
    <t xml:space="preserve">OSHA 30. Open the LLC and the business bank account.</t>
  </si>
  <si>
    <t xml:space="preserve">Reading grade and fall. Why water goes where it goes. Open the company now - lenders want two years of history before they will lend.</t>
  </si>
  <si>
    <t xml:space="preserve">M.J. Foster Promise money becomes available at 21.</t>
  </si>
  <si>
    <t xml:space="preserve">Job costing. Every job you work, write down what it should have cost and what it did. This is the single skill that separates owners from employees.</t>
  </si>
  <si>
    <t xml:space="preserve">Senior operator</t>
  </si>
  <si>
    <t xml:space="preserve">Build a clean credit file. Secured card, paid in full, every month.</t>
  </si>
  <si>
    <t xml:space="preserve">Estimating. Start pricing jobs in your notebook before the quote goes out, then check yourself against the real number.</t>
  </si>
  <si>
    <t xml:space="preserve">Senior operator / lead hand</t>
  </si>
  <si>
    <t xml:space="preserve">LDAF licences if the work calls for them.</t>
  </si>
  <si>
    <t xml:space="preserve">Running two or three men. Scheduling a day so nobody stands around.</t>
  </si>
  <si>
    <t xml:space="preserve">Lead hand</t>
  </si>
  <si>
    <t xml:space="preserve">Contracts, scope and change orders. Unpaid change orders are how contractors go broke while staying busy.</t>
  </si>
  <si>
    <t xml:space="preserve">Assistant foreman</t>
  </si>
  <si>
    <t xml:space="preserve">LSLBC Class 13 licence - minimum age 18, no experience requirement, $10,000 net worth or a bond in lieu.</t>
  </si>
  <si>
    <t xml:space="preserve">Talking to customers. Quoting inside 48 hours. In residential work, answering the phone is a competitive advantage and it is free.</t>
  </si>
  <si>
    <t xml:space="preserve">Foreman</t>
  </si>
  <si>
    <t xml:space="preserve">First machine, if the numbers work. Used mini-ex, 2-3.5 tonne.</t>
  </si>
  <si>
    <t xml:space="preserve">Equipment economics. What a machine costs per hour to own and run, and when to repair instead of replace.</t>
  </si>
  <si>
    <t xml:space="preserve">Bookkeeping and cash. Separate accounts, quarterly estimates, and never spending the tax money.</t>
  </si>
  <si>
    <t xml:space="preserve">Superintendent</t>
  </si>
  <si>
    <t xml:space="preserve">Second machine or a partner's stake.</t>
  </si>
  <si>
    <t xml:space="preserve">Bidding whole jobs. Knowing which ones to walk away from - that judgement is worth more than any machine.</t>
  </si>
  <si>
    <t xml:space="preserve">Managing people who are older than you. This is the part that surprises everybody.</t>
  </si>
  <si>
    <t xml:space="preserve">Operations lead / partner</t>
  </si>
  <si>
    <t xml:space="preserve">Either a real stake here, or your own company.</t>
  </si>
  <si>
    <t xml:space="preserve">Running a P&amp;L. Owning the outcome, not the task.</t>
  </si>
  <si>
    <t xml:space="preserve">Partner or owner</t>
  </si>
  <si>
    <t xml:space="preserve">Hiring. Building something that works when you are not standing there.</t>
  </si>
  <si>
    <t xml:space="preserve">Owner</t>
  </si>
  <si>
    <t xml:space="preserve">Consider adding LSLBC Class 62 - docks, piers, bulkheads. The water work.</t>
  </si>
  <si>
    <t xml:space="preserve">Being the person other people work for. A different job entirely from the one you started.</t>
  </si>
  <si>
    <t xml:space="preserve">The rates are Baton Rouge averages, not promises. BLS May 2025: construction laborer $20.48/hr, equipment operator $28.30/hr, first-line construction supervisor $38.51/hr. Baton Rouge has roughly double the national concentration of construction work, which is genuinely in your favour.</t>
  </si>
  <si>
    <t xml:space="preserve">Equipment operator jobs are only growing 4% over the next decade - but there are about 42,500 openings a year because the people doing it now are retiring. The opportunity is replacement, not growth. That is still an opportunity.</t>
  </si>
  <si>
    <t xml:space="preserve">Certifications that are worth the money: the trenching competent-person card ($49-200, a few hours) makes you structurally necessary on a drainage crew at 19. The CDL ($5,640, six weeks) means the company does not pay a hauler $400-800 every time a machine moves. Most equipment 'certifications' are not worth paying for in Louisiana private work - seat time is what counts.</t>
  </si>
  <si>
    <t xml:space="preserve">What to do with it</t>
  </si>
  <si>
    <t xml:space="preserve">Blue = change it. The order matters: emergency fund first, then anything your employer matches, then the Roth, then the business fund. Saving is a percentage taken off the top the day the cheque lands - not whatever is left at the end of the month, because in a good month there is a lot left and in a bad month there is none.</t>
  </si>
  <si>
    <t xml:space="preserve">Emergency fund target ($)</t>
  </si>
  <si>
    <t xml:space="preserve">Not the generic 'three to six months'. Drainage work is weather-driven: size this to your own worst stretch. Ten wet weeks with no work is roughly $7,000 at today's pay.</t>
  </si>
  <si>
    <t xml:space="preserve">Share of take-home saved once the emergency fund is full</t>
  </si>
  <si>
    <t xml:space="preserve">Aggressive but doable at 20 with no mortgage. Drop it in a year you need to; never drop it quietly.</t>
  </si>
  <si>
    <t xml:space="preserve">Roth IRA limit ($/yr)</t>
  </si>
  <si>
    <t xml:space="preserve">The 2026 limit. It rises most years - check it each January.</t>
  </si>
  <si>
    <t xml:space="preserve">Return assumption on long-term savings</t>
  </si>
  <si>
    <t xml:space="preserve">A long-run stock-market average. Real markets do not deliver a constant 7% - some years are negative. This is arithmetic, not a forecast.</t>
  </si>
  <si>
    <t xml:space="preserve">Notes</t>
  </si>
  <si>
    <t xml:space="preserve">Take-home that year</t>
  </si>
  <si>
    <t xml:space="preserve">Saved that year (all buckets)</t>
  </si>
  <si>
    <t xml:space="preserve">  → into the emergency fund</t>
  </si>
  <si>
    <t xml:space="preserve">  Emergency fund balance</t>
  </si>
  <si>
    <t xml:space="preserve">  → into the Roth IRA</t>
  </si>
  <si>
    <t xml:space="preserve">  Roth balance (contributions + growth)</t>
  </si>
  <si>
    <t xml:space="preserve">  → into the business fund</t>
  </si>
  <si>
    <t xml:space="preserve">  BUSINESS FUND BALANCE</t>
  </si>
  <si>
    <t xml:space="preserve">Grown at a lower rate than the Roth on purpose - money you might need in three years should not sit in the stock market.</t>
  </si>
  <si>
    <t xml:space="preserve">Roth contributions you could take back out</t>
  </si>
  <si>
    <t xml:space="preserve">This is the detail almost nobody tells you. What you PUT IN to a Roth can be taken back out at any age, any time, with no tax and no penalty - only the growth is locked up. So the Roth doubles as your business capital. The catch: once taken out, that contribution room is gone for good.</t>
  </si>
  <si>
    <t xml:space="preserve">TOTAL LIQUID - what you could put into a business</t>
  </si>
  <si>
    <t xml:space="preserve">Emergency fund deliberately excluded - that money is not for buying an excavator.</t>
  </si>
  <si>
    <t xml:space="preserve">Why a Roth and not anything else, at your age: you pay tax at 12% federal right now, which is about as low as it ever gets. A Roth means paying that 12% today and never paying tax on that money again - not on the growth, not at 60. At 7%, $7,500 a year from 18 to 30 is $97,500 put in and roughly $1.15 million at 60, all of it tax-free. Stopping at 22 instead still leaves about $564,000. The first five years do more work than the next twenty.</t>
  </si>
  <si>
    <t xml:space="preserve">Before the Roth, take any match your employer offers. A 50% match is a 50% return before the money has done anything. Ask whether there is a 401(k) or a SIMPLE IRA, whether the health plan is a high-deductible one with an HSA, and whether there is any disability cover. Only about 59% of workers at small companies have access to a retirement plan at all, so the answer may be no - ask anyway.</t>
  </si>
  <si>
    <t xml:space="preserve">The truck is the trap. A $75,000 new diesel pickup at 9% over six years is about $1,350 a month - roughly half your take-home at today's pay - on something that loses a quarter of its value in year one. The same payment invested is about $120,000 after six years. A $25,000 used truck does every single job the new one does. This is the most predictable mistake in the trade and it looks like a business expense while you are making it.</t>
  </si>
  <si>
    <t xml:space="preserve">Disability insurance: your body is the whole asset. Long-term disability runs roughly 1-3% of income, more for a high-risk trade - call it $900-$1,600 a year at your pay. Workers comp covers you on the job. It covers nothing on a Saturday. Premiums are cheapest and underwriting easiest while you are young and healthy, and waiting costs you permanently.</t>
  </si>
  <si>
    <t xml:space="preserve">None of this is financial advice and nobody here is a licensed advisor. It is arithmetic on published 2026 figures. Check the numbers each January, because the limits change every year.</t>
  </si>
  <si>
    <t xml:space="preserve">If you start your own - which one, and what it costs</t>
  </si>
  <si>
    <t xml:space="preserve">Only if your future is not here. Ranked on what actually matters: can somebody with a trailer undercut you, what are the margins, and is a machine coming for it. The licence is not the wall - the capital is.</t>
  </si>
  <si>
    <t xml:space="preserve">The niche</t>
  </si>
  <si>
    <t xml:space="preserve">Startup capital</t>
  </si>
  <si>
    <t xml:space="preserve">Licence barrier</t>
  </si>
  <si>
    <t xml:space="preserve">Gross margin</t>
  </si>
  <si>
    <t xml:space="preserve">Recurring</t>
  </si>
  <si>
    <t xml:space="preserve">Robot risk</t>
  </si>
  <si>
    <t xml:space="preserve">Sells for</t>
  </si>
  <si>
    <t xml:space="preserve">Why it ranks here</t>
  </si>
  <si>
    <t xml:space="preserve">1. Drainage &amp; earthwork</t>
  </si>
  <si>
    <t xml:space="preserve">$80-250k</t>
  </si>
  <si>
    <t xml:space="preserve">LSLBC Class 13</t>
  </si>
  <si>
    <t xml:space="preserve">25-40%</t>
  </si>
  <si>
    <t xml:space="preserve">Low</t>
  </si>
  <si>
    <t xml:space="preserve">Very low</t>
  </si>
  <si>
    <t xml:space="preserve">2.65x SDE</t>
  </si>
  <si>
    <t xml:space="preserve">You already know it. Class 13 also covers land clearing and erosion control, so one licence buys three lines of work. Baton Rouge has about double the national concentration of this work, and $29.4M of watershed money is being spent in your own parish. A machine is not coming for a trench between a fence and a pool.</t>
  </si>
  <si>
    <t xml:space="preserve">2. Docks, piers &amp; bulkheads</t>
  </si>
  <si>
    <t xml:space="preserve">$150k+ (barge, pile rig)</t>
  </si>
  <si>
    <t xml:space="preserve">LSLBC Class 62 + federal permits</t>
  </si>
  <si>
    <t xml:space="preserve">35-50%</t>
  </si>
  <si>
    <t xml:space="preserve">Repair tail</t>
  </si>
  <si>
    <t xml:space="preserve">2.94x SDE</t>
  </si>
  <si>
    <t xml:space="preserve">The best margins and the highest resale multiple of anything on this list, and it is the water work you actually want to do. Docks run $20-40/sq ft, bulkheads $150-600 a linear foot. The permits - Army Corps Section 10 and 404 - are a pain, and that is exactly why it is a good business: they keep everybody else out. Add it around year 8-10, not year one.</t>
  </si>
  <si>
    <t xml:space="preserve">3. Land clearing / mulching</t>
  </si>
  <si>
    <t xml:space="preserve">$150-250k</t>
  </si>
  <si>
    <t xml:space="preserve">None</t>
  </si>
  <si>
    <t xml:space="preserve">40-55%</t>
  </si>
  <si>
    <t xml:space="preserve">-</t>
  </si>
  <si>
    <t xml:space="preserve">Fast money - $1,000-$2,500 a day - but no licence barrier means it commoditises. Best as a bolt-on under your Class 13, not a business of its own.</t>
  </si>
  <si>
    <t xml:space="preserve">4. Hardscape / outdoor living</t>
  </si>
  <si>
    <t xml:space="preserve">Medium</t>
  </si>
  <si>
    <t xml:space="preserve">Class 50 over threshold</t>
  </si>
  <si>
    <t xml:space="preserve">Good margins, but it is selling to homeowners on design. Different personality.</t>
  </si>
  <si>
    <t xml:space="preserve">5. Erosion control / shoreline</t>
  </si>
  <si>
    <t xml:space="preserve">High</t>
  </si>
  <si>
    <t xml:space="preserve">Class 5 / 10</t>
  </si>
  <si>
    <t xml:space="preserve">Real money, wrong timing. BP settlement money ends in 2031 and southeast Louisiana funding is already down two-thirds.</t>
  </si>
  <si>
    <t xml:space="preserve">6. Irrigation</t>
  </si>
  <si>
    <t xml:space="preserve">LDAF Irrigation Contractor</t>
  </si>
  <si>
    <t xml:space="preserve">40-50%</t>
  </si>
  <si>
    <t xml:space="preserve">Low barrier to entry cuts both ways - easy for you, easy for everyone else.</t>
  </si>
  <si>
    <t xml:space="preserve">7. Tree service</t>
  </si>
  <si>
    <t xml:space="preserve">LDAF Arborist</t>
  </si>
  <si>
    <t xml:space="preserve">Storm-driven. Feast and famine, and dangerous.</t>
  </si>
  <si>
    <t xml:space="preserve">8. Pool</t>
  </si>
  <si>
    <t xml:space="preserve">Class 51 over $7,500</t>
  </si>
  <si>
    <t xml:space="preserve">25-35%</t>
  </si>
  <si>
    <t xml:space="preserve">Chem service</t>
  </si>
  <si>
    <t xml:space="preserve">Thin margins for the capital involved.</t>
  </si>
  <si>
    <t xml:space="preserve">9. Lawn maintenance</t>
  </si>
  <si>
    <t xml:space="preserve">$8-15k</t>
  </si>
  <si>
    <t xml:space="preserve">NONE</t>
  </si>
  <si>
    <t xml:space="preserve">Net only 10-20%</t>
  </si>
  <si>
    <t xml:space="preserve">HIGHEST</t>
  </si>
  <si>
    <t xml:space="preserve">2.49x SDE - lowest</t>
  </si>
  <si>
    <t xml:space="preserve">The worst option, and it is the one everybody starts with. Zero licence barrier means you compete on price forever against anybody with a trailer. It is also the single category autonomous mowers are actively shipping into. Recurring revenue is its only virtue and buyers pay the lowest multiple of any category for it.</t>
  </si>
  <si>
    <t xml:space="preserve">WHAT IT ACTUALLY COSTS TO START</t>
  </si>
  <si>
    <t xml:space="preserve">Item</t>
  </si>
  <si>
    <t xml:space="preserve">Used truck, 3/4 or 1 ton, with a gooseneck hitch</t>
  </si>
  <si>
    <t xml:space="preserve">Used dump or equipment trailer</t>
  </si>
  <si>
    <t xml:space="preserve">Used mini excavator, 2-3.5 tonne, mid hours</t>
  </si>
  <si>
    <t xml:space="preserve">Attachments - thumb, grading bucket, auger</t>
  </si>
  <si>
    <t xml:space="preserve">Hand tools, laser level, plate compactor, stock</t>
  </si>
  <si>
    <t xml:space="preserve">Licence, exams, entity, first insurance payment</t>
  </si>
  <si>
    <t xml:space="preserve">Working capital before the first cheque lands</t>
  </si>
  <si>
    <t xml:space="preserve">MINIMUM TO START TAKING JOBS</t>
  </si>
  <si>
    <t xml:space="preserve">Rent the skid steer at the start. Own the truck, the trailer and the one machine you use every week.</t>
  </si>
  <si>
    <t xml:space="preserve">The on-ramp nobody mentions: in Louisiana you need no contractor licence at all for jobs under $7,500, and a home-improvement registration up to $50,000. So the first jobs - small yard drains, culverts, grading - can be done legally with a rented machine while you build a bank statement and a reputation. That is how this starts, not with $100,000 of iron.</t>
  </si>
  <si>
    <t xml:space="preserve">Open the LLC and the business bank account about two years before you want to borrow. Equipment lenders want two years of business history. If you want to finance a machine at 25, the company exists at 23. Nobody tells people this and it costs them a year.</t>
  </si>
  <si>
    <t xml:space="preserve">Credit is the cheapest thing you own. A surety bond costs 0.5-3% of face value if your credit is above 675 and 5-10% if it is below 599 - on the same bond. The $10,000 net-worth requirement for a Louisiana licence can be met with a bond instead of cash, which is the door for a young contractor. Good credit makes that door cost $50 a year instead of $1,000.</t>
  </si>
  <si>
    <t xml:space="preserve">Insurance is not optional and it is not cheap: a small excavation contractor runs $12,000-$35,000 a year all in - general liability, workers comp, commercial auto, and inland marine on the machines. An uninsured stolen excavator ends the business in one night.</t>
  </si>
  <si>
    <t xml:space="preserve">What actually changes, and when</t>
  </si>
  <si>
    <t xml:space="preserve">The honest version, in one paragraph</t>
  </si>
  <si>
    <t xml:space="preserve">Machines are coming for repetitive work on big, flat, open, mapped ground first - mowing a hundred acres, moving a million yards of dirt on a highway job. They are nowhere near the work you do. As of right now you cannot buy an autonomous compact excavator for residential drainage; that product does not exist. What is already here is machine control and GPS grade, which makes one operator faster - a tool, not a replacement. Meanwhile the office side is automating fast: over half of home-service owners already use AI for quoting and invoicing. So the safe place to stand is the one that owns the licence, the customer and the judgement - not the one that owns the shovel, and not the one that just does the paperwork.</t>
  </si>
  <si>
    <t xml:space="preserve">When you are 25 - we can be fairly confident</t>
  </si>
  <si>
    <t xml:space="preserve">Very little changes for a Baton Rouge drainage crew. Drone survey and machine control are standard. Quoting and scheduling are AI-assisted end to end. Autonomous mowers have taken real share of big commercial turf and essentially none of complicated residential work. Every relevant job category is projected to GROW through 2035, and there are tens of thousands of openings a year because the people doing it now are retiring. Your problem at 25 will be finding good people, not being replaced.</t>
  </si>
  <si>
    <t xml:space="preserve">When you are 35 - directionally, not precisely</t>
  </si>
  <si>
    <t xml:space="preserve">Autonomous earthmoving is plausibly routine on large open civil sites. Companies are already running excavators with empty cabs on big jobs. Residential retrofit work - tight, unmapped, full of tree roots and gas lines and liability - is likely still human-led with robot help. By then you should own machines rather than compete with them. That is the whole hedge: be the person who buys the robot.</t>
  </si>
  <si>
    <t xml:space="preserve">When you are 45 - nobody knows, and anyone who says otherwise is guessing</t>
  </si>
  <si>
    <t xml:space="preserve">The hard part of robotics is hands - force, touch, and working in places nobody mapped first. That problem is not solved and the people working on it do not have a timeline. It might break open in ten years; it has also been ten years away for forty years. The right response to that is not to pick a side. It is to build a position that survives either outcome.</t>
  </si>
  <si>
    <t xml:space="preserve">What survives either outcome</t>
  </si>
  <si>
    <t xml:space="preserve">•  Owning the company. About 38% of construction managers are self-employed and the median is around $115,000. Automation moves money to whoever owns the machine and the customer.</t>
  </si>
  <si>
    <t xml:space="preserve">•  Licences. Louisiana licences are a legal barrier to entry. Software cannot hold one - a person has to. They are the cheapest durable protection you can buy and you can start collecting them before you are 20.</t>
  </si>
  <si>
    <t xml:space="preserve">•  Customers who ask for you by name. Referrals drive around 59% of leads in this trade, and more than half of customers expect an answer within an hour. Local reputation compounds and cannot be copied.</t>
  </si>
  <si>
    <t xml:space="preserve">•  Working out WHY a yard floods. Diagnosis in a messy, unmapped situation is exactly the thing the research keeps identifying as unsolved. Mowing a field is not that. Figuring out where the water goes is.</t>
  </si>
  <si>
    <t xml:space="preserve">What does not survive</t>
  </si>
  <si>
    <t xml:space="preserve">Being the fastest man with a shovel. Grounds maintenance pays a median of about $19.27 an hour - roughly what you earn now, at 18. That is the ceiling on hands-only work, and it does not move. The gap between that and $115,000 is the entire point of this file, and it gets crossed by ownership, licences and judgement. Not by getting faster.</t>
  </si>
  <si>
    <t xml:space="preserve">One more thing, and it matters more than the robots</t>
  </si>
  <si>
    <t xml:space="preserve">The biggest risk to your next ten years is not a machine taking your job. It is your back. Construction kills about 9.2 workers per 100,000 against 3.3 across all jobs, and trench work is among the most dangerous in it. Moving off the shovel and onto the truck, the estimate and the ownership side by about 30 is the same plan as the robot hedge. They are not two plans. They are one.</t>
  </si>
</sst>
</file>

<file path=xl/styles.xml><?xml version="1.0" encoding="utf-8"?>
<styleSheet xmlns="http://schemas.openxmlformats.org/spreadsheetml/2006/main">
  <numFmts count="5">
    <numFmt numFmtId="164" formatCode="General"/>
    <numFmt numFmtId="165" formatCode="0.0%"/>
    <numFmt numFmtId="166" formatCode="#,##0;\(#,##0\);\-"/>
    <numFmt numFmtId="167" formatCode="\$#,##0.00"/>
    <numFmt numFmtId="168" formatCode="\$#,##0;&quot;($&quot;#,##0\);\-"/>
  </numFmts>
  <fonts count="16">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5"/>
      <name val="Arial"/>
      <family val="0"/>
      <charset val="1"/>
    </font>
    <font>
      <b val="true"/>
      <sz val="10"/>
      <name val="Arial"/>
      <family val="0"/>
      <charset val="1"/>
    </font>
    <font>
      <b val="true"/>
      <sz val="11"/>
      <color rgb="FF1F5A6E"/>
      <name val="Arial"/>
      <family val="0"/>
      <charset val="1"/>
    </font>
    <font>
      <i val="true"/>
      <sz val="9"/>
      <name val="Arial"/>
      <family val="0"/>
      <charset val="1"/>
    </font>
    <font>
      <b val="true"/>
      <sz val="14"/>
      <name val="Arial"/>
      <family val="0"/>
      <charset val="1"/>
    </font>
    <font>
      <sz val="10"/>
      <name val="Arial"/>
      <family val="0"/>
      <charset val="1"/>
    </font>
    <font>
      <sz val="10"/>
      <color rgb="FF0000FF"/>
      <name val="Arial"/>
      <family val="0"/>
      <charset val="1"/>
    </font>
    <font>
      <sz val="9"/>
      <color rgb="FF46524E"/>
      <name val="Arial"/>
      <family val="0"/>
      <charset val="1"/>
    </font>
    <font>
      <sz val="9.5"/>
      <name val="Arial"/>
      <family val="0"/>
      <charset val="1"/>
    </font>
    <font>
      <sz val="9.5"/>
      <color rgb="FF46524E"/>
      <name val="Arial"/>
      <family val="0"/>
      <charset val="1"/>
    </font>
    <font>
      <i val="true"/>
      <sz val="9.5"/>
      <name val="Arial"/>
      <family val="0"/>
      <charset val="1"/>
    </font>
  </fonts>
  <fills count="7">
    <fill>
      <patternFill patternType="none"/>
    </fill>
    <fill>
      <patternFill patternType="gray125"/>
    </fill>
    <fill>
      <patternFill patternType="solid">
        <fgColor rgb="FFFFFF00"/>
        <bgColor rgb="FFFFFF00"/>
      </patternFill>
    </fill>
    <fill>
      <patternFill patternType="solid">
        <fgColor rgb="FFEEF1EF"/>
        <bgColor rgb="FFDCEEE1"/>
      </patternFill>
    </fill>
    <fill>
      <patternFill patternType="solid">
        <fgColor rgb="FFDCEEE1"/>
        <bgColor rgb="FFD8E7EC"/>
      </patternFill>
    </fill>
    <fill>
      <patternFill patternType="solid">
        <fgColor rgb="FFF6E9CF"/>
        <bgColor rgb="FFEEF1EF"/>
      </patternFill>
    </fill>
    <fill>
      <patternFill patternType="solid">
        <fgColor rgb="FFD8E7EC"/>
        <bgColor rgb="FFDCEEE1"/>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top" textRotation="0" wrapText="true" indent="0" shrinkToFit="false"/>
      <protection locked="true" hidden="false"/>
    </xf>
    <xf numFmtId="164" fontId="6" fillId="0" borderId="0" xfId="0" applyFont="true" applyBorder="false" applyAlignment="true" applyProtection="true">
      <alignment horizontal="general" vertical="top" textRotation="0" wrapText="true" indent="0" shrinkToFit="false"/>
      <protection locked="true" hidden="false"/>
    </xf>
    <xf numFmtId="164" fontId="7" fillId="0" borderId="0" xfId="0" applyFont="true" applyBorder="false" applyAlignment="true" applyProtection="true">
      <alignment horizontal="general" vertical="top" textRotation="0" wrapText="true" indent="0" shrinkToFit="false"/>
      <protection locked="true" hidden="false"/>
    </xf>
    <xf numFmtId="164" fontId="8" fillId="0" borderId="0" xfId="0" applyFont="true" applyBorder="false" applyAlignment="true" applyProtection="true">
      <alignment horizontal="general" vertical="top" textRotation="0" wrapText="true" indent="0" shrinkToFit="false"/>
      <protection locked="true" hidden="false"/>
    </xf>
    <xf numFmtId="164" fontId="9" fillId="0" borderId="0" xfId="0" applyFont="true" applyBorder="false" applyAlignment="true" applyProtection="true">
      <alignment horizontal="general" vertical="bottom" textRotation="0" wrapText="false" indent="0" shrinkToFit="false"/>
      <protection locked="true" hidden="false"/>
    </xf>
    <xf numFmtId="164" fontId="8" fillId="0" borderId="0" xfId="0" applyFont="true" applyBorder="false" applyAlignment="true" applyProtection="true">
      <alignment horizontal="general" vertical="bottom" textRotation="0" wrapText="false" indent="0" shrinkToFit="false"/>
      <protection locked="true" hidden="false"/>
    </xf>
    <xf numFmtId="164" fontId="10" fillId="0" borderId="0" xfId="0" applyFont="true" applyBorder="false" applyAlignment="true" applyProtection="true">
      <alignment horizontal="general" vertical="bottom" textRotation="0" wrapText="false" indent="0" shrinkToFit="false"/>
      <protection locked="true" hidden="false"/>
    </xf>
    <xf numFmtId="165" fontId="11" fillId="2" borderId="0" xfId="0" applyFont="true" applyBorder="false" applyAlignment="true" applyProtection="true">
      <alignment horizontal="general" vertical="bottom" textRotation="0" wrapText="false" indent="0" shrinkToFit="false"/>
      <protection locked="false" hidden="false"/>
    </xf>
    <xf numFmtId="164" fontId="12" fillId="0" borderId="0" xfId="0" applyFont="true" applyBorder="false" applyAlignment="true" applyProtection="true">
      <alignment horizontal="general" vertical="bottom" textRotation="0" wrapText="false" indent="0" shrinkToFit="false"/>
      <protection locked="true" hidden="false"/>
    </xf>
    <xf numFmtId="166" fontId="11" fillId="2" borderId="0" xfId="0" applyFont="true" applyBorder="false" applyAlignment="true" applyProtection="true">
      <alignment horizontal="general" vertical="bottom" textRotation="0" wrapText="false" indent="0" shrinkToFit="false"/>
      <protection locked="false" hidden="false"/>
    </xf>
    <xf numFmtId="164" fontId="6" fillId="3" borderId="0" xfId="0" applyFont="true" applyBorder="false" applyAlignment="true" applyProtection="true">
      <alignment horizontal="general" vertical="bottom" textRotation="0" wrapText="true" indent="0" shrinkToFit="false"/>
      <protection locked="true" hidden="false"/>
    </xf>
    <xf numFmtId="164" fontId="6" fillId="0" borderId="0" xfId="0" applyFont="true" applyBorder="false" applyAlignment="true" applyProtection="true">
      <alignment horizontal="general" vertical="bottom" textRotation="0" wrapText="false" indent="0" shrinkToFit="false"/>
      <protection locked="true" hidden="false"/>
    </xf>
    <xf numFmtId="167" fontId="11" fillId="2" borderId="0" xfId="0" applyFont="true" applyBorder="false" applyAlignment="true" applyProtection="true">
      <alignment horizontal="general" vertical="bottom" textRotation="0" wrapText="false" indent="0" shrinkToFit="false"/>
      <protection locked="false" hidden="false"/>
    </xf>
    <xf numFmtId="167" fontId="0" fillId="0" borderId="0" xfId="0" applyFont="false" applyBorder="false" applyAlignment="true" applyProtection="true">
      <alignment horizontal="general" vertical="bottom" textRotation="0" wrapText="false" indent="0" shrinkToFit="false"/>
      <protection locked="true" hidden="false"/>
    </xf>
    <xf numFmtId="168" fontId="6" fillId="0" borderId="0" xfId="0" applyFont="true" applyBorder="false" applyAlignment="true" applyProtection="true">
      <alignment horizontal="general" vertical="bottom" textRotation="0" wrapText="false" indent="0" shrinkToFit="false"/>
      <protection locked="true" hidden="false"/>
    </xf>
    <xf numFmtId="168" fontId="0" fillId="0" borderId="0" xfId="0" applyFont="false" applyBorder="false" applyAlignment="true" applyProtection="true">
      <alignment horizontal="general" vertical="bottom" textRotation="0" wrapText="false" indent="0" shrinkToFit="false"/>
      <protection locked="true" hidden="false"/>
    </xf>
    <xf numFmtId="164" fontId="13" fillId="0" borderId="0" xfId="0" applyFont="true" applyBorder="false" applyAlignment="true" applyProtection="true">
      <alignment horizontal="general" vertical="top" textRotation="0" wrapText="true" indent="0" shrinkToFit="false"/>
      <protection locked="true" hidden="false"/>
    </xf>
    <xf numFmtId="164" fontId="14" fillId="0" borderId="0" xfId="0" applyFont="true" applyBorder="false" applyAlignment="true" applyProtection="true">
      <alignment horizontal="general" vertical="top" textRotation="0" wrapText="true" indent="0" shrinkToFit="false"/>
      <protection locked="true" hidden="false"/>
    </xf>
    <xf numFmtId="164" fontId="15" fillId="0" borderId="0" xfId="0" applyFont="true" applyBorder="true" applyAlignment="true" applyProtection="true">
      <alignment horizontal="general" vertical="top" textRotation="0" wrapText="true" indent="0" shrinkToFit="false"/>
      <protection locked="true" hidden="false"/>
    </xf>
    <xf numFmtId="168" fontId="11" fillId="2" borderId="0" xfId="0" applyFont="true" applyBorder="false" applyAlignment="true" applyProtection="true">
      <alignment horizontal="general" vertical="bottom" textRotation="0" wrapText="false" indent="0" shrinkToFit="false"/>
      <protection locked="false" hidden="false"/>
    </xf>
    <xf numFmtId="164" fontId="6" fillId="3" borderId="0" xfId="0" applyFont="true" applyBorder="false" applyAlignment="true" applyProtection="true">
      <alignment horizontal="center" vertical="bottom" textRotation="0" wrapText="fals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xf numFmtId="164" fontId="12" fillId="0" borderId="0" xfId="0" applyFont="true" applyBorder="false" applyAlignment="true" applyProtection="true">
      <alignment horizontal="general" vertical="top" textRotation="0" wrapText="true" indent="0" shrinkToFit="false"/>
      <protection locked="true" hidden="false"/>
    </xf>
    <xf numFmtId="164" fontId="6" fillId="4" borderId="0" xfId="0" applyFont="true" applyBorder="false" applyAlignment="true" applyProtection="true">
      <alignment horizontal="general" vertical="bottom" textRotation="0" wrapText="false" indent="0" shrinkToFit="false"/>
      <protection locked="true" hidden="false"/>
    </xf>
    <xf numFmtId="168" fontId="6" fillId="4" borderId="0" xfId="0" applyFont="true" applyBorder="false" applyAlignment="true" applyProtection="true">
      <alignment horizontal="general" vertical="bottom" textRotation="0" wrapText="false" indent="0" shrinkToFit="false"/>
      <protection locked="true" hidden="false"/>
    </xf>
    <xf numFmtId="164" fontId="13" fillId="0" borderId="0" xfId="0" applyFont="true" applyBorder="true" applyAlignment="true" applyProtection="true">
      <alignment horizontal="general" vertical="top" textRotation="0" wrapText="true" indent="0" shrinkToFit="false"/>
      <protection locked="true" hidden="false"/>
    </xf>
    <xf numFmtId="164" fontId="6" fillId="4" borderId="0" xfId="0" applyFont="true" applyBorder="false" applyAlignment="true" applyProtection="true">
      <alignment horizontal="general" vertical="top" textRotation="0" wrapText="true" indent="0" shrinkToFit="false"/>
      <protection locked="true" hidden="false"/>
    </xf>
    <xf numFmtId="164" fontId="10" fillId="4" borderId="0" xfId="0" applyFont="true" applyBorder="false" applyAlignment="true" applyProtection="true">
      <alignment horizontal="general" vertical="top" textRotation="0" wrapText="true" indent="0" shrinkToFit="false"/>
      <protection locked="true" hidden="false"/>
    </xf>
    <xf numFmtId="164" fontId="14" fillId="4" borderId="0" xfId="0" applyFont="true" applyBorder="false" applyAlignment="true" applyProtection="true">
      <alignment horizontal="general" vertical="top" textRotation="0" wrapText="true" indent="0" shrinkToFit="false"/>
      <protection locked="true" hidden="false"/>
    </xf>
    <xf numFmtId="164" fontId="10" fillId="0" borderId="0" xfId="0" applyFont="true" applyBorder="false" applyAlignment="true" applyProtection="true">
      <alignment horizontal="general" vertical="top" textRotation="0" wrapText="true" indent="0" shrinkToFit="false"/>
      <protection locked="true" hidden="false"/>
    </xf>
    <xf numFmtId="164" fontId="6" fillId="5" borderId="0" xfId="0" applyFont="true" applyBorder="false" applyAlignment="true" applyProtection="true">
      <alignment horizontal="general" vertical="top" textRotation="0" wrapText="true" indent="0" shrinkToFit="false"/>
      <protection locked="true" hidden="false"/>
    </xf>
    <xf numFmtId="164" fontId="10" fillId="5" borderId="0" xfId="0" applyFont="true" applyBorder="false" applyAlignment="true" applyProtection="true">
      <alignment horizontal="general" vertical="top" textRotation="0" wrapText="true" indent="0" shrinkToFit="false"/>
      <protection locked="true" hidden="false"/>
    </xf>
    <xf numFmtId="164" fontId="14" fillId="5" borderId="0" xfId="0" applyFont="true" applyBorder="false" applyAlignment="true" applyProtection="true">
      <alignment horizontal="general" vertical="top" textRotation="0" wrapText="true" indent="0" shrinkToFit="false"/>
      <protection locked="true" hidden="false"/>
    </xf>
    <xf numFmtId="164" fontId="7" fillId="6" borderId="0" xfId="0" applyFont="true" applyBorder="fals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general" vertical="bottom" textRotation="0" wrapText="false" indent="0" shrinkToFit="false"/>
      <protection locked="true" hidden="false"/>
    </xf>
    <xf numFmtId="164" fontId="6" fillId="3" borderId="0" xfId="0" applyFont="true" applyBorder="false" applyAlignment="true" applyProtection="tru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EEF1EF"/>
      <rgbColor rgb="FFFF0000"/>
      <rgbColor rgb="FF00FF00"/>
      <rgbColor rgb="FF0000FF"/>
      <rgbColor rgb="FFFFFF00"/>
      <rgbColor rgb="FFFF00FF"/>
      <rgbColor rgb="FF00FFFF"/>
      <rgbColor rgb="FF800000"/>
      <rgbColor rgb="FF008000"/>
      <rgbColor rgb="FF000080"/>
      <rgbColor rgb="FF808000"/>
      <rgbColor rgb="FF800080"/>
      <rgbColor rgb="FF1F5A6E"/>
      <rgbColor rgb="FFC0C0C0"/>
      <rgbColor rgb="FF808080"/>
      <rgbColor rgb="FF9999FF"/>
      <rgbColor rgb="FF993366"/>
      <rgbColor rgb="FFF6E9CF"/>
      <rgbColor rgb="FFD8E7EC"/>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CEEE1"/>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46524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2"/>
  </cols>
  <sheetData>
    <row r="1" customFormat="false" ht="19.7" hidden="false" customHeight="false" outlineLevel="0" collapsed="false">
      <c r="A1" s="2" t="s">
        <v>0</v>
      </c>
    </row>
    <row r="3" customFormat="false" ht="15" hidden="false" customHeight="false" outlineLevel="0" collapsed="false">
      <c r="A3" s="3"/>
    </row>
    <row r="4" customFormat="false" ht="12.75" hidden="false" customHeight="true" outlineLevel="0" collapsed="false">
      <c r="A4" s="4" t="s">
        <v>1</v>
      </c>
    </row>
    <row r="5" customFormat="false" ht="15" hidden="false" customHeight="false" outlineLevel="0" collapsed="false">
      <c r="A5" s="3"/>
    </row>
    <row r="6" customFormat="false" ht="51.75" hidden="false" customHeight="true" outlineLevel="0" collapsed="false">
      <c r="A6" s="3" t="s">
        <v>2</v>
      </c>
    </row>
    <row r="7" customFormat="false" ht="15" hidden="false" customHeight="false" outlineLevel="0" collapsed="false">
      <c r="A7" s="3"/>
    </row>
    <row r="8" customFormat="false" ht="12.75" hidden="false" customHeight="true" outlineLevel="0" collapsed="false">
      <c r="A8" s="5" t="s">
        <v>3</v>
      </c>
    </row>
    <row r="9" customFormat="false" ht="15" hidden="false" customHeight="false" outlineLevel="0" collapsed="false">
      <c r="A9" s="3"/>
    </row>
    <row r="10" customFormat="false" ht="39" hidden="false" customHeight="true" outlineLevel="0" collapsed="false">
      <c r="A10" s="3" t="s">
        <v>4</v>
      </c>
    </row>
    <row r="11" customFormat="false" ht="15" hidden="false" customHeight="false" outlineLevel="0" collapsed="false">
      <c r="A11" s="3"/>
    </row>
    <row r="12" customFormat="false" ht="51.75" hidden="false" customHeight="true" outlineLevel="0" collapsed="false">
      <c r="A12" s="3" t="s">
        <v>5</v>
      </c>
    </row>
    <row r="13" customFormat="false" ht="15" hidden="false" customHeight="false" outlineLevel="0" collapsed="false">
      <c r="A13" s="3"/>
    </row>
    <row r="14" customFormat="false" ht="51.75" hidden="false" customHeight="true" outlineLevel="0" collapsed="false">
      <c r="A14" s="3" t="s">
        <v>6</v>
      </c>
    </row>
    <row r="15" customFormat="false" ht="15" hidden="false" customHeight="false" outlineLevel="0" collapsed="false">
      <c r="A15" s="3"/>
    </row>
    <row r="16" customFormat="false" ht="78" hidden="false" customHeight="true" outlineLevel="0" collapsed="false">
      <c r="A16" s="3" t="s">
        <v>7</v>
      </c>
    </row>
    <row r="17" customFormat="false" ht="15" hidden="false" customHeight="false" outlineLevel="0" collapsed="false">
      <c r="A17" s="3"/>
    </row>
    <row r="18" customFormat="false" ht="12.75" hidden="false" customHeight="true" outlineLevel="0" collapsed="false">
      <c r="A18" s="6" t="s">
        <v>8</v>
      </c>
    </row>
  </sheetData>
  <sheetProtection sheet="true" password="dede"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7" topLeftCell="D8" activePane="bottomRight" state="frozen"/>
      <selection pane="topLeft" activeCell="A1" activeCellId="0" sqref="A1"/>
      <selection pane="topRight" activeCell="D1" activeCellId="0" sqref="D1"/>
      <selection pane="bottomLeft" activeCell="A8" activeCellId="0" sqref="A8"/>
      <selection pane="bottomRigh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6"/>
    <col collapsed="false" customWidth="true" hidden="false" outlineLevel="0" max="3" min="3" style="1" width="26"/>
    <col collapsed="false" customWidth="true" hidden="false" outlineLevel="0" max="4" min="4" style="1" width="11"/>
    <col collapsed="false" customWidth="true" hidden="false" outlineLevel="0" max="7" min="5" style="1" width="13"/>
    <col collapsed="false" customWidth="true" hidden="false" outlineLevel="0" max="8" min="8" style="1" width="54"/>
    <col collapsed="false" customWidth="true" hidden="false" outlineLevel="0" max="9" min="9" style="1" width="62"/>
  </cols>
  <sheetData>
    <row r="1" customFormat="false" ht="17.35" hidden="false" customHeight="false" outlineLevel="0" collapsed="false">
      <c r="A1" s="7" t="s">
        <v>9</v>
      </c>
    </row>
    <row r="2" customFormat="false" ht="15" hidden="false" customHeight="false" outlineLevel="0" collapsed="false">
      <c r="A2" s="8" t="s">
        <v>10</v>
      </c>
    </row>
    <row r="4" customFormat="false" ht="15" hidden="false" customHeight="false" outlineLevel="0" collapsed="false">
      <c r="A4" s="9" t="s">
        <v>11</v>
      </c>
      <c r="B4" s="10" t="n">
        <v>0.035</v>
      </c>
      <c r="D4" s="11" t="s">
        <v>12</v>
      </c>
    </row>
    <row r="5" customFormat="false" ht="15" hidden="false" customHeight="false" outlineLevel="0" collapsed="false">
      <c r="A5" s="9" t="s">
        <v>13</v>
      </c>
      <c r="B5" s="12" t="n">
        <v>2080</v>
      </c>
      <c r="D5" s="11" t="s">
        <v>14</v>
      </c>
    </row>
    <row r="7" customFormat="false" ht="27.75" hidden="false" customHeight="true" outlineLevel="0" collapsed="false">
      <c r="A7" s="13" t="s">
        <v>15</v>
      </c>
      <c r="B7" s="13" t="s">
        <v>16</v>
      </c>
      <c r="C7" s="13" t="s">
        <v>17</v>
      </c>
      <c r="D7" s="13" t="s">
        <v>18</v>
      </c>
      <c r="E7" s="13" t="s">
        <v>19</v>
      </c>
      <c r="F7" s="13" t="s">
        <v>20</v>
      </c>
      <c r="G7" s="13" t="s">
        <v>21</v>
      </c>
      <c r="H7" s="13" t="s">
        <v>22</v>
      </c>
      <c r="I7" s="13" t="s">
        <v>23</v>
      </c>
    </row>
    <row r="8" customFormat="false" ht="25.5" hidden="false" customHeight="true" outlineLevel="0" collapsed="false">
      <c r="A8" s="14" t="n">
        <v>1</v>
      </c>
      <c r="B8" s="14" t="n">
        <v>18</v>
      </c>
      <c r="C8" s="9" t="s">
        <v>24</v>
      </c>
      <c r="D8" s="15" t="n">
        <v>20</v>
      </c>
      <c r="E8" s="16" t="n">
        <f aca="false">D8*(1+$B$4)^0</f>
        <v>20</v>
      </c>
      <c r="F8" s="17" t="n">
        <f aca="false">E8*$B$5</f>
        <v>41600</v>
      </c>
      <c r="G8" s="18" t="n">
        <f aca="false">F8-MAX(0,MIN(F8-16100,12400))*0.1-MAX(0,MIN(F8-16100-12400,38000))*0.12-MAX(0,F8-16100-50400)*0.22-F8*0.0765-MAX(0,F8-12500)*0.03</f>
        <v>34732.6</v>
      </c>
      <c r="H8" s="19" t="s">
        <v>25</v>
      </c>
      <c r="I8" s="20" t="s">
        <v>26</v>
      </c>
    </row>
    <row r="9" customFormat="false" ht="25.5" hidden="false" customHeight="true" outlineLevel="0" collapsed="false">
      <c r="A9" s="14" t="n">
        <v>2</v>
      </c>
      <c r="B9" s="14" t="n">
        <v>19</v>
      </c>
      <c r="C9" s="9" t="s">
        <v>27</v>
      </c>
      <c r="D9" s="15" t="n">
        <v>23</v>
      </c>
      <c r="E9" s="16" t="n">
        <f aca="false">D9*(1+$B$4)^1</f>
        <v>23.805</v>
      </c>
      <c r="F9" s="17" t="n">
        <f aca="false">E9*$B$5</f>
        <v>49514.4</v>
      </c>
      <c r="G9" s="18" t="n">
        <f aca="false">F9-MAX(0,MIN(F9-16100,12400))*0.1-MAX(0,MIN(F9-16100-12400,38000))*0.12-MAX(0,F9-16100-50400)*0.22-F9*0.0765-MAX(0,F9-12500)*0.03</f>
        <v>40854.3884</v>
      </c>
      <c r="H9" s="19" t="s">
        <v>28</v>
      </c>
      <c r="I9" s="20" t="s">
        <v>29</v>
      </c>
    </row>
    <row r="10" customFormat="false" ht="39" hidden="false" customHeight="true" outlineLevel="0" collapsed="false">
      <c r="A10" s="14" t="n">
        <v>3</v>
      </c>
      <c r="B10" s="14" t="n">
        <v>20</v>
      </c>
      <c r="C10" s="9" t="s">
        <v>30</v>
      </c>
      <c r="D10" s="15" t="n">
        <v>26</v>
      </c>
      <c r="E10" s="16" t="n">
        <f aca="false">D10*(1+$B$4)^2</f>
        <v>27.85185</v>
      </c>
      <c r="F10" s="17" t="n">
        <f aca="false">E10*$B$5</f>
        <v>57931.848</v>
      </c>
      <c r="G10" s="18" t="n">
        <f aca="false">F10-MAX(0,MIN(F10-16100,12400))*0.1-MAX(0,MIN(F10-16100-12400,38000))*0.12-MAX(0,F10-16100-50400)*0.22-F10*0.0765-MAX(0,F10-12500)*0.03</f>
        <v>47365.284428</v>
      </c>
      <c r="H10" s="19" t="s">
        <v>31</v>
      </c>
      <c r="I10" s="20" t="s">
        <v>32</v>
      </c>
    </row>
    <row r="11" customFormat="false" ht="39" hidden="false" customHeight="true" outlineLevel="0" collapsed="false">
      <c r="A11" s="14" t="n">
        <v>4</v>
      </c>
      <c r="B11" s="14" t="n">
        <v>21</v>
      </c>
      <c r="C11" s="9" t="s">
        <v>30</v>
      </c>
      <c r="D11" s="15" t="n">
        <v>28.3</v>
      </c>
      <c r="E11" s="16" t="n">
        <f aca="false">D11*(1+$B$4)^3</f>
        <v>31.3767158625</v>
      </c>
      <c r="F11" s="17" t="n">
        <f aca="false">E11*$B$5</f>
        <v>65263.568994</v>
      </c>
      <c r="G11" s="18" t="n">
        <f aca="false">F11-MAX(0,MIN(F11-16100,12400))*0.1-MAX(0,MIN(F11-16100-12400,38000))*0.12-MAX(0,F11-16100-50400)*0.22-F11*0.0765-MAX(0,F11-12500)*0.03</f>
        <v>53036.370616859</v>
      </c>
      <c r="H11" s="19" t="s">
        <v>33</v>
      </c>
      <c r="I11" s="20" t="s">
        <v>34</v>
      </c>
    </row>
    <row r="12" customFormat="false" ht="39" hidden="false" customHeight="true" outlineLevel="0" collapsed="false">
      <c r="A12" s="14" t="n">
        <v>5</v>
      </c>
      <c r="B12" s="14" t="n">
        <v>22</v>
      </c>
      <c r="C12" s="9" t="s">
        <v>35</v>
      </c>
      <c r="D12" s="15" t="n">
        <v>30</v>
      </c>
      <c r="E12" s="16" t="n">
        <f aca="false">D12*(1+$B$4)^4</f>
        <v>34.42569001875</v>
      </c>
      <c r="F12" s="17" t="n">
        <f aca="false">E12*$B$5</f>
        <v>71605.435239</v>
      </c>
      <c r="G12" s="18" t="n">
        <f aca="false">F12-MAX(0,MIN(F12-16100,12400))*0.1-MAX(0,MIN(F12-16100-12400,38000))*0.12-MAX(0,F12-16100-50400)*0.22-F12*0.0765-MAX(0,F12-12500)*0.03</f>
        <v>57431.2606334665</v>
      </c>
      <c r="H12" s="19" t="s">
        <v>36</v>
      </c>
      <c r="I12" s="20" t="s">
        <v>37</v>
      </c>
    </row>
    <row r="13" customFormat="false" ht="25.5" hidden="false" customHeight="true" outlineLevel="0" collapsed="false">
      <c r="A13" s="14" t="n">
        <v>6</v>
      </c>
      <c r="B13" s="14" t="n">
        <v>23</v>
      </c>
      <c r="C13" s="9" t="s">
        <v>38</v>
      </c>
      <c r="D13" s="15" t="n">
        <v>32</v>
      </c>
      <c r="E13" s="16" t="n">
        <f aca="false">D13*(1+$B$4)^5</f>
        <v>38.0059617807</v>
      </c>
      <c r="F13" s="17" t="n">
        <f aca="false">E13*$B$5</f>
        <v>79052.400503856</v>
      </c>
      <c r="G13" s="18" t="n">
        <f aca="false">F13-MAX(0,MIN(F13-16100,12400))*0.1-MAX(0,MIN(F13-16100-12400,38000))*0.12-MAX(0,F13-16100-50400)*0.22-F13*0.0765-MAX(0,F13-12500)*0.03</f>
        <v>62446.791739347</v>
      </c>
      <c r="H13" s="19" t="s">
        <v>39</v>
      </c>
      <c r="I13" s="20" t="s">
        <v>40</v>
      </c>
    </row>
    <row r="14" customFormat="false" ht="25.5" hidden="false" customHeight="true" outlineLevel="0" collapsed="false">
      <c r="A14" s="14" t="n">
        <v>7</v>
      </c>
      <c r="B14" s="14" t="n">
        <v>24</v>
      </c>
      <c r="C14" s="9" t="s">
        <v>41</v>
      </c>
      <c r="D14" s="15" t="n">
        <v>34</v>
      </c>
      <c r="E14" s="16" t="n">
        <f aca="false">D14*(1+$B$4)^6</f>
        <v>41.7946810957135</v>
      </c>
      <c r="F14" s="17" t="n">
        <f aca="false">E14*$B$5</f>
        <v>86932.9366790841</v>
      </c>
      <c r="G14" s="18" t="n">
        <f aca="false">F14-MAX(0,MIN(F14-16100,12400))*0.1-MAX(0,MIN(F14-16100-12400,38000))*0.12-MAX(0,F14-16100-50400)*0.22-F14*0.0765-MAX(0,F14-12500)*0.03</f>
        <v>67754.3328533631</v>
      </c>
      <c r="H14" s="19"/>
      <c r="I14" s="20" t="s">
        <v>42</v>
      </c>
    </row>
    <row r="15" customFormat="false" ht="39" hidden="false" customHeight="true" outlineLevel="0" collapsed="false">
      <c r="A15" s="14" t="n">
        <v>8</v>
      </c>
      <c r="B15" s="14" t="n">
        <v>25</v>
      </c>
      <c r="C15" s="9" t="s">
        <v>43</v>
      </c>
      <c r="D15" s="15" t="n">
        <v>36</v>
      </c>
      <c r="E15" s="16" t="n">
        <f aca="false">D15*(1+$B$4)^7</f>
        <v>45.8020534595966</v>
      </c>
      <c r="F15" s="17" t="n">
        <f aca="false">E15*$B$5</f>
        <v>95268.271195961</v>
      </c>
      <c r="G15" s="18" t="n">
        <f aca="false">F15-MAX(0,MIN(F15-16100,12400))*0.1-MAX(0,MIN(F15-16100-12400,38000))*0.12-MAX(0,F15-16100-50400)*0.22-F15*0.0765-MAX(0,F15-12500)*0.03</f>
        <v>73368.1806504797</v>
      </c>
      <c r="H15" s="19" t="s">
        <v>44</v>
      </c>
      <c r="I15" s="20" t="s">
        <v>45</v>
      </c>
    </row>
    <row r="16" customFormat="false" ht="25.5" hidden="false" customHeight="true" outlineLevel="0" collapsed="false">
      <c r="A16" s="14" t="n">
        <v>9</v>
      </c>
      <c r="B16" s="14" t="n">
        <v>26</v>
      </c>
      <c r="C16" s="9" t="s">
        <v>46</v>
      </c>
      <c r="D16" s="15" t="n">
        <v>38.51</v>
      </c>
      <c r="E16" s="16" t="n">
        <f aca="false">D16*(1+$B$4)^8</f>
        <v>50.7103160134606</v>
      </c>
      <c r="F16" s="17" t="n">
        <f aca="false">E16*$B$5</f>
        <v>105477.457307998</v>
      </c>
      <c r="G16" s="18" t="n">
        <f aca="false">F16-MAX(0,MIN(F16-16100,12400))*0.1-MAX(0,MIN(F16-16100-12400,38000))*0.12-MAX(0,F16-16100-50400)*0.22-F16*0.0765-MAX(0,F16-12500)*0.03</f>
        <v>80244.0674969368</v>
      </c>
      <c r="H16" s="19" t="s">
        <v>47</v>
      </c>
      <c r="I16" s="20" t="s">
        <v>48</v>
      </c>
    </row>
    <row r="17" customFormat="false" ht="25.5" hidden="false" customHeight="true" outlineLevel="0" collapsed="false">
      <c r="A17" s="14" t="n">
        <v>10</v>
      </c>
      <c r="B17" s="14" t="n">
        <v>27</v>
      </c>
      <c r="C17" s="9" t="s">
        <v>46</v>
      </c>
      <c r="D17" s="15" t="n">
        <v>40</v>
      </c>
      <c r="E17" s="16" t="n">
        <f aca="false">D17*(1+$B$4)^9</f>
        <v>54.5158941302849</v>
      </c>
      <c r="F17" s="17" t="n">
        <f aca="false">E17*$B$5</f>
        <v>113393.059790993</v>
      </c>
      <c r="G17" s="18" t="n">
        <f aca="false">F17-MAX(0,MIN(F17-16100,12400))*0.1-MAX(0,MIN(F17-16100-12400,38000))*0.12-MAX(0,F17-16100-50400)*0.22-F17*0.0765-MAX(0,F17-12500)*0.03</f>
        <v>85575.2257692335</v>
      </c>
      <c r="H17" s="19"/>
      <c r="I17" s="20" t="s">
        <v>49</v>
      </c>
    </row>
    <row r="18" customFormat="false" ht="25.5" hidden="false" customHeight="true" outlineLevel="0" collapsed="false">
      <c r="A18" s="14" t="n">
        <v>11</v>
      </c>
      <c r="B18" s="14" t="n">
        <v>28</v>
      </c>
      <c r="C18" s="9" t="s">
        <v>50</v>
      </c>
      <c r="D18" s="15" t="n">
        <v>44</v>
      </c>
      <c r="E18" s="16" t="n">
        <f aca="false">D18*(1+$B$4)^10</f>
        <v>62.0663454673293</v>
      </c>
      <c r="F18" s="17" t="n">
        <f aca="false">E18*$B$5</f>
        <v>129097.998572045</v>
      </c>
      <c r="G18" s="18" t="n">
        <f aca="false">F18-MAX(0,MIN(F18-16100,12400))*0.1-MAX(0,MIN(F18-16100-12400,38000))*0.12-MAX(0,F18-16100-50400)*0.22-F18*0.0765-MAX(0,F18-12500)*0.03</f>
        <v>96152.5020382723</v>
      </c>
      <c r="H18" s="19" t="s">
        <v>51</v>
      </c>
      <c r="I18" s="20" t="s">
        <v>52</v>
      </c>
    </row>
    <row r="19" customFormat="false" ht="25.5" hidden="false" customHeight="true" outlineLevel="0" collapsed="false">
      <c r="A19" s="14" t="n">
        <v>12</v>
      </c>
      <c r="B19" s="14" t="n">
        <v>29</v>
      </c>
      <c r="C19" s="9" t="s">
        <v>50</v>
      </c>
      <c r="D19" s="15" t="n">
        <v>47</v>
      </c>
      <c r="E19" s="16" t="n">
        <f aca="false">D19*(1+$B$4)^11</f>
        <v>68.6185767104144</v>
      </c>
      <c r="F19" s="17" t="n">
        <f aca="false">E19*$B$5</f>
        <v>142726.639557662</v>
      </c>
      <c r="G19" s="18" t="n">
        <f aca="false">F19-MAX(0,MIN(F19-16100,12400))*0.1-MAX(0,MIN(F19-16100-12400,38000))*0.12-MAX(0,F19-16100-50400)*0.22-F19*0.0765-MAX(0,F19-12500)*0.03</f>
        <v>105331.391742085</v>
      </c>
      <c r="H19" s="19"/>
      <c r="I19" s="20" t="s">
        <v>53</v>
      </c>
    </row>
    <row r="20" customFormat="false" ht="25.5" hidden="false" customHeight="true" outlineLevel="0" collapsed="false">
      <c r="A20" s="14" t="n">
        <v>13</v>
      </c>
      <c r="B20" s="14" t="n">
        <v>30</v>
      </c>
      <c r="C20" s="9" t="s">
        <v>54</v>
      </c>
      <c r="D20" s="15" t="n">
        <v>50</v>
      </c>
      <c r="E20" s="16" t="n">
        <f aca="false">D20*(1+$B$4)^12</f>
        <v>75.553432867318</v>
      </c>
      <c r="F20" s="17" t="n">
        <f aca="false">E20*$B$5</f>
        <v>157151.140364021</v>
      </c>
      <c r="G20" s="18" t="n">
        <f aca="false">F20-MAX(0,MIN(F20-16100,12400))*0.1-MAX(0,MIN(F20-16100-12400,38000))*0.12-MAX(0,F20-16100-50400)*0.22-F20*0.0765-MAX(0,F20-12500)*0.03</f>
        <v>115046.293035168</v>
      </c>
      <c r="H20" s="19" t="s">
        <v>55</v>
      </c>
      <c r="I20" s="20" t="s">
        <v>56</v>
      </c>
    </row>
    <row r="21" customFormat="false" ht="25.5" hidden="false" customHeight="true" outlineLevel="0" collapsed="false">
      <c r="A21" s="14" t="n">
        <v>14</v>
      </c>
      <c r="B21" s="14" t="n">
        <v>31</v>
      </c>
      <c r="C21" s="9" t="s">
        <v>57</v>
      </c>
      <c r="D21" s="15" t="n">
        <v>54</v>
      </c>
      <c r="E21" s="16" t="n">
        <f aca="false">D21*(1+$B$4)^13</f>
        <v>84.4536272590881</v>
      </c>
      <c r="F21" s="17" t="n">
        <f aca="false">E21*$B$5</f>
        <v>175663.544698903</v>
      </c>
      <c r="G21" s="18" t="n">
        <f aca="false">F21-MAX(0,MIN(F21-16100,12400))*0.1-MAX(0,MIN(F21-16100-12400,38000))*0.12-MAX(0,F21-16100-50400)*0.22-F21*0.0765-MAX(0,F21-12500)*0.03</f>
        <v>127514.397354711</v>
      </c>
      <c r="H21" s="19"/>
      <c r="I21" s="20" t="s">
        <v>58</v>
      </c>
    </row>
    <row r="22" customFormat="false" ht="25.5" hidden="false" customHeight="true" outlineLevel="0" collapsed="false">
      <c r="A22" s="14" t="n">
        <v>15</v>
      </c>
      <c r="B22" s="14" t="n">
        <v>32</v>
      </c>
      <c r="C22" s="9" t="s">
        <v>59</v>
      </c>
      <c r="D22" s="15" t="n">
        <v>58</v>
      </c>
      <c r="E22" s="16" t="n">
        <f aca="false">D22*(1+$B$4)^14</f>
        <v>93.8842823030196</v>
      </c>
      <c r="F22" s="17" t="n">
        <f aca="false">E22*$B$5</f>
        <v>195279.307190281</v>
      </c>
      <c r="G22" s="18" t="n">
        <f aca="false">F22-MAX(0,MIN(F22-16100,12400))*0.1-MAX(0,MIN(F22-16100-12400,38000))*0.12-MAX(0,F22-16100-50400)*0.22-F22*0.0765-MAX(0,F22-12500)*0.03</f>
        <v>140725.613392654</v>
      </c>
      <c r="H22" s="19" t="s">
        <v>60</v>
      </c>
      <c r="I22" s="20" t="s">
        <v>61</v>
      </c>
    </row>
    <row r="24" customFormat="false" ht="24" hidden="false" customHeight="true" outlineLevel="0" collapsed="false">
      <c r="A24" s="21" t="s">
        <v>62</v>
      </c>
      <c r="B24" s="21"/>
      <c r="C24" s="21"/>
      <c r="D24" s="21"/>
      <c r="E24" s="21"/>
      <c r="F24" s="21"/>
      <c r="G24" s="21"/>
      <c r="H24" s="21"/>
      <c r="I24" s="21"/>
    </row>
    <row r="25" customFormat="false" ht="24" hidden="false" customHeight="true" outlineLevel="0" collapsed="false">
      <c r="A25" s="21" t="s">
        <v>63</v>
      </c>
      <c r="B25" s="21"/>
      <c r="C25" s="21"/>
      <c r="D25" s="21"/>
      <c r="E25" s="21"/>
      <c r="F25" s="21"/>
      <c r="G25" s="21"/>
      <c r="H25" s="21"/>
      <c r="I25" s="21"/>
    </row>
    <row r="26" customFormat="false" ht="36" hidden="false" customHeight="true" outlineLevel="0" collapsed="false">
      <c r="A26" s="21" t="s">
        <v>64</v>
      </c>
      <c r="B26" s="21"/>
      <c r="C26" s="21"/>
      <c r="D26" s="21"/>
      <c r="E26" s="21"/>
      <c r="F26" s="21"/>
      <c r="G26" s="21"/>
      <c r="H26" s="21"/>
      <c r="I26" s="21"/>
    </row>
  </sheetData>
  <sheetProtection sheet="true" password="dede" formatCells="false" formatColumns="false" formatRows="false"/>
  <mergeCells count="3">
    <mergeCell ref="A24:I24"/>
    <mergeCell ref="A25:I25"/>
    <mergeCell ref="A26:I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9" topLeftCell="B10" activePane="bottomRight" state="frozen"/>
      <selection pane="topLeft" activeCell="A1" activeCellId="0" sqref="A1"/>
      <selection pane="topRight" activeCell="B1" activeCellId="0" sqref="B1"/>
      <selection pane="bottomLeft" activeCell="A10" activeCellId="0" sqref="A10"/>
      <selection pane="bottomRight" activeCell="A1" activeCellId="0" sqref="A1"/>
    </sheetView>
  </sheetViews>
  <sheetFormatPr defaultColWidth="8.6796875" defaultRowHeight="15" zeroHeight="false" outlineLevelRow="0" outlineLevelCol="0"/>
  <cols>
    <col collapsed="false" customWidth="true" hidden="false" outlineLevel="0" max="1" min="1" style="1" width="46"/>
    <col collapsed="false" customWidth="true" hidden="false" outlineLevel="0" max="16" min="2" style="1" width="12"/>
    <col collapsed="false" customWidth="true" hidden="false" outlineLevel="0" max="18" min="18" style="1" width="60"/>
  </cols>
  <sheetData>
    <row r="1" customFormat="false" ht="17.35" hidden="false" customHeight="false" outlineLevel="0" collapsed="false">
      <c r="A1" s="7" t="s">
        <v>65</v>
      </c>
    </row>
    <row r="2" customFormat="false" ht="15" hidden="false" customHeight="false" outlineLevel="0" collapsed="false">
      <c r="A2" s="8" t="s">
        <v>66</v>
      </c>
    </row>
    <row r="4" customFormat="false" ht="15" hidden="false" customHeight="false" outlineLevel="0" collapsed="false">
      <c r="A4" s="9" t="s">
        <v>67</v>
      </c>
      <c r="B4" s="22" t="n">
        <v>7000</v>
      </c>
      <c r="D4" s="11" t="s">
        <v>68</v>
      </c>
    </row>
    <row r="5" customFormat="false" ht="15" hidden="false" customHeight="false" outlineLevel="0" collapsed="false">
      <c r="A5" s="9" t="s">
        <v>69</v>
      </c>
      <c r="B5" s="10" t="n">
        <v>0.22</v>
      </c>
      <c r="D5" s="11" t="s">
        <v>70</v>
      </c>
    </row>
    <row r="6" customFormat="false" ht="15" hidden="false" customHeight="false" outlineLevel="0" collapsed="false">
      <c r="A6" s="9" t="s">
        <v>71</v>
      </c>
      <c r="B6" s="22" t="n">
        <v>7500</v>
      </c>
      <c r="D6" s="11" t="s">
        <v>72</v>
      </c>
    </row>
    <row r="7" customFormat="false" ht="15" hidden="false" customHeight="false" outlineLevel="0" collapsed="false">
      <c r="A7" s="9" t="s">
        <v>73</v>
      </c>
      <c r="B7" s="10" t="n">
        <v>0.07</v>
      </c>
      <c r="D7" s="11" t="s">
        <v>74</v>
      </c>
    </row>
    <row r="9" customFormat="false" ht="15" hidden="false" customHeight="false" outlineLevel="0" collapsed="false">
      <c r="A9" s="14" t="s">
        <v>15</v>
      </c>
      <c r="B9" s="23" t="n">
        <v>1</v>
      </c>
      <c r="C9" s="23" t="n">
        <v>2</v>
      </c>
      <c r="D9" s="23" t="n">
        <v>3</v>
      </c>
      <c r="E9" s="23" t="n">
        <v>4</v>
      </c>
      <c r="F9" s="23" t="n">
        <v>5</v>
      </c>
      <c r="G9" s="23" t="n">
        <v>6</v>
      </c>
      <c r="H9" s="23" t="n">
        <v>7</v>
      </c>
      <c r="I9" s="23" t="n">
        <v>8</v>
      </c>
      <c r="J9" s="23" t="n">
        <v>9</v>
      </c>
      <c r="K9" s="23" t="n">
        <v>10</v>
      </c>
      <c r="L9" s="23" t="n">
        <v>11</v>
      </c>
      <c r="M9" s="23" t="n">
        <v>12</v>
      </c>
      <c r="N9" s="23" t="n">
        <v>13</v>
      </c>
      <c r="O9" s="23" t="n">
        <v>14</v>
      </c>
      <c r="P9" s="23" t="n">
        <v>15</v>
      </c>
      <c r="R9" s="14" t="s">
        <v>75</v>
      </c>
    </row>
    <row r="10" customFormat="false" ht="15" hidden="false" customHeight="false" outlineLevel="0" collapsed="false">
      <c r="A10" s="9" t="s">
        <v>16</v>
      </c>
      <c r="B10" s="24" t="n">
        <v>18</v>
      </c>
      <c r="C10" s="24" t="n">
        <v>19</v>
      </c>
      <c r="D10" s="24" t="n">
        <v>20</v>
      </c>
      <c r="E10" s="24" t="n">
        <v>21</v>
      </c>
      <c r="F10" s="24" t="n">
        <v>22</v>
      </c>
      <c r="G10" s="24" t="n">
        <v>23</v>
      </c>
      <c r="H10" s="24" t="n">
        <v>24</v>
      </c>
      <c r="I10" s="24" t="n">
        <v>25</v>
      </c>
      <c r="J10" s="24" t="n">
        <v>26</v>
      </c>
      <c r="K10" s="24" t="n">
        <v>27</v>
      </c>
      <c r="L10" s="24" t="n">
        <v>28</v>
      </c>
      <c r="M10" s="24" t="n">
        <v>29</v>
      </c>
      <c r="N10" s="24" t="n">
        <v>30</v>
      </c>
      <c r="O10" s="24" t="n">
        <v>31</v>
      </c>
      <c r="P10" s="24" t="n">
        <v>32</v>
      </c>
    </row>
    <row r="11" customFormat="false" ht="15" hidden="false" customHeight="false" outlineLevel="0" collapsed="false">
      <c r="A11" s="14" t="s">
        <v>76</v>
      </c>
      <c r="B11" s="17" t="n">
        <f aca="false">'The ladder'!G8</f>
        <v>34732.6</v>
      </c>
      <c r="C11" s="17" t="n">
        <f aca="false">'The ladder'!G9</f>
        <v>40854.3884</v>
      </c>
      <c r="D11" s="17" t="n">
        <f aca="false">'The ladder'!G10</f>
        <v>47365.284428</v>
      </c>
      <c r="E11" s="17" t="n">
        <f aca="false">'The ladder'!G11</f>
        <v>53036.370616859</v>
      </c>
      <c r="F11" s="17" t="n">
        <f aca="false">'The ladder'!G12</f>
        <v>57431.2606334665</v>
      </c>
      <c r="G11" s="17" t="n">
        <f aca="false">'The ladder'!G13</f>
        <v>62446.791739347</v>
      </c>
      <c r="H11" s="17" t="n">
        <f aca="false">'The ladder'!G14</f>
        <v>67754.3328533631</v>
      </c>
      <c r="I11" s="17" t="n">
        <f aca="false">'The ladder'!G15</f>
        <v>73368.1806504797</v>
      </c>
      <c r="J11" s="17" t="n">
        <f aca="false">'The ladder'!G16</f>
        <v>80244.0674969368</v>
      </c>
      <c r="K11" s="17" t="n">
        <f aca="false">'The ladder'!G17</f>
        <v>85575.2257692335</v>
      </c>
      <c r="L11" s="17" t="n">
        <f aca="false">'The ladder'!G18</f>
        <v>96152.5020382723</v>
      </c>
      <c r="M11" s="17" t="n">
        <f aca="false">'The ladder'!G19</f>
        <v>105331.391742085</v>
      </c>
      <c r="N11" s="17" t="n">
        <f aca="false">'The ladder'!G20</f>
        <v>115046.293035168</v>
      </c>
      <c r="O11" s="17" t="n">
        <f aca="false">'The ladder'!G21</f>
        <v>127514.397354711</v>
      </c>
      <c r="P11" s="17" t="n">
        <f aca="false">'The ladder'!G22</f>
        <v>140725.613392654</v>
      </c>
    </row>
    <row r="12" customFormat="false" ht="15" hidden="false" customHeight="false" outlineLevel="0" collapsed="false">
      <c r="A12" s="9" t="s">
        <v>77</v>
      </c>
      <c r="B12" s="18" t="n">
        <f aca="false">B11*$B$5</f>
        <v>7641.172</v>
      </c>
      <c r="C12" s="18" t="n">
        <f aca="false">C11*$B$5</f>
        <v>8987.965448</v>
      </c>
      <c r="D12" s="18" t="n">
        <f aca="false">D11*$B$5</f>
        <v>10420.36257416</v>
      </c>
      <c r="E12" s="18" t="n">
        <f aca="false">E11*$B$5</f>
        <v>11668.001535709</v>
      </c>
      <c r="F12" s="18" t="n">
        <f aca="false">F11*$B$5</f>
        <v>12634.8773393626</v>
      </c>
      <c r="G12" s="18" t="n">
        <f aca="false">G11*$B$5</f>
        <v>13738.2941826563</v>
      </c>
      <c r="H12" s="18" t="n">
        <f aca="false">H11*$B$5</f>
        <v>14905.9532277399</v>
      </c>
      <c r="I12" s="18" t="n">
        <f aca="false">I11*$B$5</f>
        <v>16140.9997431055</v>
      </c>
      <c r="J12" s="18" t="n">
        <f aca="false">J11*$B$5</f>
        <v>17653.6948493261</v>
      </c>
      <c r="K12" s="18" t="n">
        <f aca="false">K11*$B$5</f>
        <v>18826.5496692314</v>
      </c>
      <c r="L12" s="18" t="n">
        <f aca="false">L11*$B$5</f>
        <v>21153.5504484199</v>
      </c>
      <c r="M12" s="18" t="n">
        <f aca="false">M11*$B$5</f>
        <v>23172.9061832588</v>
      </c>
      <c r="N12" s="18" t="n">
        <f aca="false">N11*$B$5</f>
        <v>25310.1844677371</v>
      </c>
      <c r="O12" s="18" t="n">
        <f aca="false">O11*$B$5</f>
        <v>28053.1674180365</v>
      </c>
      <c r="P12" s="18" t="n">
        <f aca="false">P11*$B$5</f>
        <v>30959.6349463839</v>
      </c>
    </row>
    <row r="13" customFormat="false" ht="15" hidden="false" customHeight="false" outlineLevel="0" collapsed="false">
      <c r="A13" s="9" t="s">
        <v>78</v>
      </c>
      <c r="B13" s="18" t="n">
        <f aca="false">MIN(B12,MAX(0,$B$4-0))</f>
        <v>7000</v>
      </c>
      <c r="C13" s="18" t="n">
        <f aca="false">MIN(C12,MAX(0,$B$4-B14))</f>
        <v>0</v>
      </c>
      <c r="D13" s="18" t="n">
        <f aca="false">MIN(D12,MAX(0,$B$4-C14))</f>
        <v>0</v>
      </c>
      <c r="E13" s="18" t="n">
        <f aca="false">MIN(E12,MAX(0,$B$4-D14))</f>
        <v>0</v>
      </c>
      <c r="F13" s="18" t="n">
        <f aca="false">MIN(F12,MAX(0,$B$4-E14))</f>
        <v>0</v>
      </c>
      <c r="G13" s="18" t="n">
        <f aca="false">MIN(G12,MAX(0,$B$4-F14))</f>
        <v>0</v>
      </c>
      <c r="H13" s="18" t="n">
        <f aca="false">MIN(H12,MAX(0,$B$4-G14))</f>
        <v>0</v>
      </c>
      <c r="I13" s="18" t="n">
        <f aca="false">MIN(I12,MAX(0,$B$4-H14))</f>
        <v>0</v>
      </c>
      <c r="J13" s="18" t="n">
        <f aca="false">MIN(J12,MAX(0,$B$4-I14))</f>
        <v>0</v>
      </c>
      <c r="K13" s="18" t="n">
        <f aca="false">MIN(K12,MAX(0,$B$4-J14))</f>
        <v>0</v>
      </c>
      <c r="L13" s="18" t="n">
        <f aca="false">MIN(L12,MAX(0,$B$4-K14))</f>
        <v>0</v>
      </c>
      <c r="M13" s="18" t="n">
        <f aca="false">MIN(M12,MAX(0,$B$4-L14))</f>
        <v>0</v>
      </c>
      <c r="N13" s="18" t="n">
        <f aca="false">MIN(N12,MAX(0,$B$4-M14))</f>
        <v>0</v>
      </c>
      <c r="O13" s="18" t="n">
        <f aca="false">MIN(O12,MAX(0,$B$4-N14))</f>
        <v>0</v>
      </c>
      <c r="P13" s="18" t="n">
        <f aca="false">MIN(P12,MAX(0,$B$4-O14))</f>
        <v>0</v>
      </c>
    </row>
    <row r="14" customFormat="false" ht="15" hidden="false" customHeight="false" outlineLevel="0" collapsed="false">
      <c r="A14" s="14" t="s">
        <v>79</v>
      </c>
      <c r="B14" s="17" t="n">
        <f aca="false">0+B13</f>
        <v>7000</v>
      </c>
      <c r="C14" s="17" t="n">
        <f aca="false">B14+C13</f>
        <v>7000</v>
      </c>
      <c r="D14" s="17" t="n">
        <f aca="false">C14+D13</f>
        <v>7000</v>
      </c>
      <c r="E14" s="17" t="n">
        <f aca="false">D14+E13</f>
        <v>7000</v>
      </c>
      <c r="F14" s="17" t="n">
        <f aca="false">E14+F13</f>
        <v>7000</v>
      </c>
      <c r="G14" s="17" t="n">
        <f aca="false">F14+G13</f>
        <v>7000</v>
      </c>
      <c r="H14" s="17" t="n">
        <f aca="false">G14+H13</f>
        <v>7000</v>
      </c>
      <c r="I14" s="17" t="n">
        <f aca="false">H14+I13</f>
        <v>7000</v>
      </c>
      <c r="J14" s="17" t="n">
        <f aca="false">I14+J13</f>
        <v>7000</v>
      </c>
      <c r="K14" s="17" t="n">
        <f aca="false">J14+K13</f>
        <v>7000</v>
      </c>
      <c r="L14" s="17" t="n">
        <f aca="false">K14+L13</f>
        <v>7000</v>
      </c>
      <c r="M14" s="17" t="n">
        <f aca="false">L14+M13</f>
        <v>7000</v>
      </c>
      <c r="N14" s="17" t="n">
        <f aca="false">M14+N13</f>
        <v>7000</v>
      </c>
      <c r="O14" s="17" t="n">
        <f aca="false">N14+O13</f>
        <v>7000</v>
      </c>
      <c r="P14" s="17" t="n">
        <f aca="false">O14+P13</f>
        <v>7000</v>
      </c>
    </row>
    <row r="15" customFormat="false" ht="15" hidden="false" customHeight="false" outlineLevel="0" collapsed="false">
      <c r="A15" s="9" t="s">
        <v>80</v>
      </c>
      <c r="B15" s="18" t="n">
        <f aca="false">MIN($B$6,MAX(0,B12-B13))</f>
        <v>641.172</v>
      </c>
      <c r="C15" s="18" t="n">
        <f aca="false">MIN($B$6,MAX(0,C12-C13))</f>
        <v>7500</v>
      </c>
      <c r="D15" s="18" t="n">
        <f aca="false">MIN($B$6,MAX(0,D12-D13))</f>
        <v>7500</v>
      </c>
      <c r="E15" s="18" t="n">
        <f aca="false">MIN($B$6,MAX(0,E12-E13))</f>
        <v>7500</v>
      </c>
      <c r="F15" s="18" t="n">
        <f aca="false">MIN($B$6,MAX(0,F12-F13))</f>
        <v>7500</v>
      </c>
      <c r="G15" s="18" t="n">
        <f aca="false">MIN($B$6,MAX(0,G12-G13))</f>
        <v>7500</v>
      </c>
      <c r="H15" s="18" t="n">
        <f aca="false">MIN($B$6,MAX(0,H12-H13))</f>
        <v>7500</v>
      </c>
      <c r="I15" s="18" t="n">
        <f aca="false">MIN($B$6,MAX(0,I12-I13))</f>
        <v>7500</v>
      </c>
      <c r="J15" s="18" t="n">
        <f aca="false">MIN($B$6,MAX(0,J12-J13))</f>
        <v>7500</v>
      </c>
      <c r="K15" s="18" t="n">
        <f aca="false">MIN($B$6,MAX(0,K12-K13))</f>
        <v>7500</v>
      </c>
      <c r="L15" s="18" t="n">
        <f aca="false">MIN($B$6,MAX(0,L12-L13))</f>
        <v>7500</v>
      </c>
      <c r="M15" s="18" t="n">
        <f aca="false">MIN($B$6,MAX(0,M12-M13))</f>
        <v>7500</v>
      </c>
      <c r="N15" s="18" t="n">
        <f aca="false">MIN($B$6,MAX(0,N12-N13))</f>
        <v>7500</v>
      </c>
      <c r="O15" s="18" t="n">
        <f aca="false">MIN($B$6,MAX(0,O12-O13))</f>
        <v>7500</v>
      </c>
      <c r="P15" s="18" t="n">
        <f aca="false">MIN($B$6,MAX(0,P12-P13))</f>
        <v>7500</v>
      </c>
    </row>
    <row r="16" customFormat="false" ht="15" hidden="false" customHeight="false" outlineLevel="0" collapsed="false">
      <c r="A16" s="14" t="s">
        <v>81</v>
      </c>
      <c r="B16" s="17" t="n">
        <f aca="false">(0)*(1+$B$7)+B15</f>
        <v>641.172</v>
      </c>
      <c r="C16" s="17" t="n">
        <f aca="false">(B16)*(1+$B$7)+C15</f>
        <v>8186.05404</v>
      </c>
      <c r="D16" s="17" t="n">
        <f aca="false">(C16)*(1+$B$7)+D15</f>
        <v>16259.0778228</v>
      </c>
      <c r="E16" s="17" t="n">
        <f aca="false">(D16)*(1+$B$7)+E15</f>
        <v>24897.213270396</v>
      </c>
      <c r="F16" s="17" t="n">
        <f aca="false">(E16)*(1+$B$7)+F15</f>
        <v>34140.0181993237</v>
      </c>
      <c r="G16" s="17" t="n">
        <f aca="false">(F16)*(1+$B$7)+G15</f>
        <v>44029.8194732764</v>
      </c>
      <c r="H16" s="17" t="n">
        <f aca="false">(G16)*(1+$B$7)+H15</f>
        <v>54611.9068364057</v>
      </c>
      <c r="I16" s="17" t="n">
        <f aca="false">(H16)*(1+$B$7)+I15</f>
        <v>65934.7403149541</v>
      </c>
      <c r="J16" s="17" t="n">
        <f aca="false">(I16)*(1+$B$7)+J15</f>
        <v>78050.1721370009</v>
      </c>
      <c r="K16" s="17" t="n">
        <f aca="false">(J16)*(1+$B$7)+K15</f>
        <v>91013.684186591</v>
      </c>
      <c r="L16" s="17" t="n">
        <f aca="false">(K16)*(1+$B$7)+L15</f>
        <v>104884.642079652</v>
      </c>
      <c r="M16" s="17" t="n">
        <f aca="false">(L16)*(1+$B$7)+M15</f>
        <v>119726.567025228</v>
      </c>
      <c r="N16" s="17" t="n">
        <f aca="false">(M16)*(1+$B$7)+N15</f>
        <v>135607.426716994</v>
      </c>
      <c r="O16" s="17" t="n">
        <f aca="false">(N16)*(1+$B$7)+O15</f>
        <v>152599.946587184</v>
      </c>
      <c r="P16" s="17" t="n">
        <f aca="false">(O16)*(1+$B$7)+P15</f>
        <v>170781.942848287</v>
      </c>
    </row>
    <row r="17" customFormat="false" ht="15" hidden="false" customHeight="false" outlineLevel="0" collapsed="false">
      <c r="A17" s="9" t="s">
        <v>82</v>
      </c>
      <c r="B17" s="18" t="n">
        <f aca="false">MAX(0,B12-B13-B15)</f>
        <v>0</v>
      </c>
      <c r="C17" s="18" t="n">
        <f aca="false">MAX(0,C12-C13-C15)</f>
        <v>1487.965448</v>
      </c>
      <c r="D17" s="18" t="n">
        <f aca="false">MAX(0,D12-D13-D15)</f>
        <v>2920.36257416</v>
      </c>
      <c r="E17" s="18" t="n">
        <f aca="false">MAX(0,E12-E13-E15)</f>
        <v>4168.00153570898</v>
      </c>
      <c r="F17" s="18" t="n">
        <f aca="false">MAX(0,F12-F13-F15)</f>
        <v>5134.87733936263</v>
      </c>
      <c r="G17" s="18" t="n">
        <f aca="false">MAX(0,G12-G13-G15)</f>
        <v>6238.29418265634</v>
      </c>
      <c r="H17" s="18" t="n">
        <f aca="false">MAX(0,H12-H13-H15)</f>
        <v>7405.95322773989</v>
      </c>
      <c r="I17" s="18" t="n">
        <f aca="false">MAX(0,I12-I13-I15)</f>
        <v>8640.99974310554</v>
      </c>
      <c r="J17" s="18" t="n">
        <f aca="false">MAX(0,J12-J13-J15)</f>
        <v>10153.6948493261</v>
      </c>
      <c r="K17" s="18" t="n">
        <f aca="false">MAX(0,K12-K13-K15)</f>
        <v>11326.5496692314</v>
      </c>
      <c r="L17" s="18" t="n">
        <f aca="false">MAX(0,L12-L13-L15)</f>
        <v>13653.5504484199</v>
      </c>
      <c r="M17" s="18" t="n">
        <f aca="false">MAX(0,M12-M13-M15)</f>
        <v>15672.9061832588</v>
      </c>
      <c r="N17" s="18" t="n">
        <f aca="false">MAX(0,N12-N13-N15)</f>
        <v>17810.1844677371</v>
      </c>
      <c r="O17" s="18" t="n">
        <f aca="false">MAX(0,O12-O13-O15)</f>
        <v>20553.1674180365</v>
      </c>
      <c r="P17" s="18" t="n">
        <f aca="false">MAX(0,P12-P13-P15)</f>
        <v>23459.6349463839</v>
      </c>
    </row>
    <row r="18" customFormat="false" ht="22.35" hidden="false" customHeight="false" outlineLevel="0" collapsed="false">
      <c r="A18" s="14" t="s">
        <v>83</v>
      </c>
      <c r="B18" s="17" t="n">
        <f aca="false">(0)*(1+$B$7*0.4)+B17</f>
        <v>0</v>
      </c>
      <c r="C18" s="17" t="n">
        <f aca="false">(B18)*(1+$B$7*0.4)+C17</f>
        <v>1487.965448</v>
      </c>
      <c r="D18" s="17" t="n">
        <f aca="false">(C18)*(1+$B$7*0.4)+D17</f>
        <v>4449.991054704</v>
      </c>
      <c r="E18" s="17" t="n">
        <f aca="false">(D18)*(1+$B$7*0.4)+E17</f>
        <v>8742.59233994469</v>
      </c>
      <c r="F18" s="17" t="n">
        <f aca="false">(E18)*(1+$B$7*0.4)+F17</f>
        <v>14122.2622648258</v>
      </c>
      <c r="G18" s="17" t="n">
        <f aca="false">(F18)*(1+$B$7*0.4)+G17</f>
        <v>20755.9797908972</v>
      </c>
      <c r="H18" s="17" t="n">
        <f aca="false">(G18)*(1+$B$7*0.4)+H17</f>
        <v>28743.1004527822</v>
      </c>
      <c r="I18" s="17" t="n">
        <f aca="false">(H18)*(1+$B$7*0.4)+I17</f>
        <v>38188.9070085657</v>
      </c>
      <c r="J18" s="17" t="n">
        <f aca="false">(I18)*(1+$B$7*0.4)+J17</f>
        <v>49411.8912541316</v>
      </c>
      <c r="K18" s="17" t="n">
        <f aca="false">(J18)*(1+$B$7*0.4)+K17</f>
        <v>62121.9738784786</v>
      </c>
      <c r="L18" s="17" t="n">
        <f aca="false">(K18)*(1+$B$7*0.4)+L17</f>
        <v>77514.939595496</v>
      </c>
      <c r="M18" s="17" t="n">
        <f aca="false">(L18)*(1+$B$7*0.4)+M17</f>
        <v>95358.2640874286</v>
      </c>
      <c r="N18" s="17" t="n">
        <f aca="false">(M18)*(1+$B$7*0.4)+N17</f>
        <v>115838.479949614</v>
      </c>
      <c r="O18" s="17" t="n">
        <f aca="false">(N18)*(1+$B$7*0.4)+O17</f>
        <v>139635.124806239</v>
      </c>
      <c r="P18" s="17" t="n">
        <f aca="false">(O18)*(1+$B$7*0.4)+P17</f>
        <v>167004.543247198</v>
      </c>
      <c r="R18" s="25" t="s">
        <v>84</v>
      </c>
    </row>
    <row r="19" customFormat="false" ht="45.75" hidden="false" customHeight="true" outlineLevel="0" collapsed="false">
      <c r="A19" s="9" t="s">
        <v>85</v>
      </c>
      <c r="B19" s="18" t="n">
        <f aca="false">0+B15</f>
        <v>641.172</v>
      </c>
      <c r="C19" s="18" t="n">
        <f aca="false">B19+C15</f>
        <v>8141.172</v>
      </c>
      <c r="D19" s="18" t="n">
        <f aca="false">C19+D15</f>
        <v>15641.172</v>
      </c>
      <c r="E19" s="18" t="n">
        <f aca="false">D19+E15</f>
        <v>23141.172</v>
      </c>
      <c r="F19" s="18" t="n">
        <f aca="false">E19+F15</f>
        <v>30641.172</v>
      </c>
      <c r="G19" s="18" t="n">
        <f aca="false">F19+G15</f>
        <v>38141.172</v>
      </c>
      <c r="H19" s="18" t="n">
        <f aca="false">G19+H15</f>
        <v>45641.172</v>
      </c>
      <c r="I19" s="18" t="n">
        <f aca="false">H19+I15</f>
        <v>53141.172</v>
      </c>
      <c r="J19" s="18" t="n">
        <f aca="false">I19+J15</f>
        <v>60641.172</v>
      </c>
      <c r="K19" s="18" t="n">
        <f aca="false">J19+K15</f>
        <v>68141.172</v>
      </c>
      <c r="L19" s="18" t="n">
        <f aca="false">K19+L15</f>
        <v>75641.172</v>
      </c>
      <c r="M19" s="18" t="n">
        <f aca="false">L19+M15</f>
        <v>83141.172</v>
      </c>
      <c r="N19" s="18" t="n">
        <f aca="false">M19+N15</f>
        <v>90641.172</v>
      </c>
      <c r="O19" s="18" t="n">
        <f aca="false">N19+O15</f>
        <v>98141.172</v>
      </c>
      <c r="P19" s="18" t="n">
        <f aca="false">O19+P15</f>
        <v>105641.172</v>
      </c>
      <c r="R19" s="25" t="s">
        <v>86</v>
      </c>
    </row>
    <row r="20" customFormat="false" ht="15" hidden="false" customHeight="false" outlineLevel="0" collapsed="false">
      <c r="A20" s="26" t="s">
        <v>87</v>
      </c>
      <c r="B20" s="27" t="n">
        <f aca="false">B18+B19</f>
        <v>641.172</v>
      </c>
      <c r="C20" s="27" t="n">
        <f aca="false">C18+C19</f>
        <v>9629.137448</v>
      </c>
      <c r="D20" s="27" t="n">
        <f aca="false">D18+D19</f>
        <v>20091.163054704</v>
      </c>
      <c r="E20" s="27" t="n">
        <f aca="false">E18+E19</f>
        <v>31883.7643399447</v>
      </c>
      <c r="F20" s="27" t="n">
        <f aca="false">F18+F19</f>
        <v>44763.4342648258</v>
      </c>
      <c r="G20" s="27" t="n">
        <f aca="false">G18+G19</f>
        <v>58897.1517908972</v>
      </c>
      <c r="H20" s="27" t="n">
        <f aca="false">H18+H19</f>
        <v>74384.2724527822</v>
      </c>
      <c r="I20" s="27" t="n">
        <f aca="false">I18+I19</f>
        <v>91330.0790085657</v>
      </c>
      <c r="J20" s="27" t="n">
        <f aca="false">J18+J19</f>
        <v>110053.063254132</v>
      </c>
      <c r="K20" s="27" t="n">
        <f aca="false">K18+K19</f>
        <v>130263.145878479</v>
      </c>
      <c r="L20" s="27" t="n">
        <f aca="false">L18+L19</f>
        <v>153156.111595496</v>
      </c>
      <c r="M20" s="27" t="n">
        <f aca="false">M18+M19</f>
        <v>178499.436087429</v>
      </c>
      <c r="N20" s="27" t="n">
        <f aca="false">N18+N19</f>
        <v>206479.651949614</v>
      </c>
      <c r="O20" s="27" t="n">
        <f aca="false">O18+O19</f>
        <v>237776.296806239</v>
      </c>
      <c r="P20" s="27" t="n">
        <f aca="false">P18+P19</f>
        <v>272645.715247198</v>
      </c>
      <c r="R20" s="11" t="s">
        <v>88</v>
      </c>
    </row>
    <row r="22" customFormat="false" ht="36" hidden="false" customHeight="true" outlineLevel="0" collapsed="false">
      <c r="A22" s="28" t="s">
        <v>89</v>
      </c>
      <c r="B22" s="28"/>
      <c r="C22" s="28"/>
      <c r="D22" s="28"/>
      <c r="E22" s="28"/>
      <c r="F22" s="28"/>
      <c r="G22" s="28"/>
      <c r="H22" s="28"/>
      <c r="I22" s="28"/>
      <c r="J22" s="28"/>
      <c r="K22" s="28"/>
      <c r="L22" s="28"/>
      <c r="M22" s="28"/>
      <c r="N22" s="28"/>
      <c r="O22" s="28"/>
      <c r="P22" s="28"/>
      <c r="Q22" s="28"/>
      <c r="R22" s="28"/>
    </row>
    <row r="23" customFormat="false" ht="36" hidden="false" customHeight="true" outlineLevel="0" collapsed="false">
      <c r="A23" s="28" t="s">
        <v>90</v>
      </c>
      <c r="B23" s="28"/>
      <c r="C23" s="28"/>
      <c r="D23" s="28"/>
      <c r="E23" s="28"/>
      <c r="F23" s="28"/>
      <c r="G23" s="28"/>
      <c r="H23" s="28"/>
      <c r="I23" s="28"/>
      <c r="J23" s="28"/>
      <c r="K23" s="28"/>
      <c r="L23" s="28"/>
      <c r="M23" s="28"/>
      <c r="N23" s="28"/>
      <c r="O23" s="28"/>
      <c r="P23" s="28"/>
      <c r="Q23" s="28"/>
      <c r="R23" s="28"/>
    </row>
    <row r="24" customFormat="false" ht="36" hidden="false" customHeight="true" outlineLevel="0" collapsed="false">
      <c r="A24" s="28" t="s">
        <v>91</v>
      </c>
      <c r="B24" s="28"/>
      <c r="C24" s="28"/>
      <c r="D24" s="28"/>
      <c r="E24" s="28"/>
      <c r="F24" s="28"/>
      <c r="G24" s="28"/>
      <c r="H24" s="28"/>
      <c r="I24" s="28"/>
      <c r="J24" s="28"/>
      <c r="K24" s="28"/>
      <c r="L24" s="28"/>
      <c r="M24" s="28"/>
      <c r="N24" s="28"/>
      <c r="O24" s="28"/>
      <c r="P24" s="28"/>
      <c r="Q24" s="28"/>
      <c r="R24" s="28"/>
    </row>
    <row r="25" customFormat="false" ht="36" hidden="false" customHeight="true" outlineLevel="0" collapsed="false">
      <c r="A25" s="28" t="s">
        <v>92</v>
      </c>
      <c r="B25" s="28"/>
      <c r="C25" s="28"/>
      <c r="D25" s="28"/>
      <c r="E25" s="28"/>
      <c r="F25" s="28"/>
      <c r="G25" s="28"/>
      <c r="H25" s="28"/>
      <c r="I25" s="28"/>
      <c r="J25" s="28"/>
      <c r="K25" s="28"/>
      <c r="L25" s="28"/>
      <c r="M25" s="28"/>
      <c r="N25" s="28"/>
      <c r="O25" s="28"/>
      <c r="P25" s="28"/>
      <c r="Q25" s="28"/>
      <c r="R25" s="28"/>
    </row>
    <row r="26" customFormat="false" ht="24" hidden="false" customHeight="true" outlineLevel="0" collapsed="false">
      <c r="A26" s="28" t="s">
        <v>93</v>
      </c>
      <c r="B26" s="28"/>
      <c r="C26" s="28"/>
      <c r="D26" s="28"/>
      <c r="E26" s="28"/>
      <c r="F26" s="28"/>
      <c r="G26" s="28"/>
      <c r="H26" s="28"/>
      <c r="I26" s="28"/>
      <c r="J26" s="28"/>
      <c r="K26" s="28"/>
      <c r="L26" s="28"/>
      <c r="M26" s="28"/>
      <c r="N26" s="28"/>
      <c r="O26" s="28"/>
      <c r="P26" s="28"/>
      <c r="Q26" s="28"/>
      <c r="R26" s="28"/>
    </row>
  </sheetData>
  <sheetProtection sheet="true" password="dede" formatCells="false" formatColumns="false" formatRows="false"/>
  <mergeCells count="5">
    <mergeCell ref="A22:R22"/>
    <mergeCell ref="A23:R23"/>
    <mergeCell ref="A24:R24"/>
    <mergeCell ref="A25:R25"/>
    <mergeCell ref="A26:R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15"/>
    <col collapsed="false" customWidth="true" hidden="false" outlineLevel="0" max="3" min="3" style="1" width="14"/>
    <col collapsed="false" customWidth="true" hidden="false" outlineLevel="0" max="7" min="4" style="1" width="13"/>
    <col collapsed="false" customWidth="true" hidden="false" outlineLevel="0" max="8" min="8" style="1" width="62"/>
  </cols>
  <sheetData>
    <row r="1" customFormat="false" ht="17.35" hidden="false" customHeight="false" outlineLevel="0" collapsed="false">
      <c r="A1" s="7" t="s">
        <v>94</v>
      </c>
    </row>
    <row r="2" customFormat="false" ht="15" hidden="false" customHeight="false" outlineLevel="0" collapsed="false">
      <c r="A2" s="8" t="s">
        <v>95</v>
      </c>
    </row>
    <row r="4" customFormat="false" ht="25.5" hidden="false" customHeight="true" outlineLevel="0" collapsed="false">
      <c r="A4" s="13" t="s">
        <v>96</v>
      </c>
      <c r="B4" s="13" t="s">
        <v>97</v>
      </c>
      <c r="C4" s="13" t="s">
        <v>98</v>
      </c>
      <c r="D4" s="13" t="s">
        <v>99</v>
      </c>
      <c r="E4" s="13" t="s">
        <v>100</v>
      </c>
      <c r="F4" s="13" t="s">
        <v>101</v>
      </c>
      <c r="G4" s="13" t="s">
        <v>102</v>
      </c>
      <c r="H4" s="13" t="s">
        <v>103</v>
      </c>
    </row>
    <row r="5" customFormat="false" ht="78" hidden="false" customHeight="true" outlineLevel="0" collapsed="false">
      <c r="A5" s="29" t="s">
        <v>104</v>
      </c>
      <c r="B5" s="30" t="s">
        <v>105</v>
      </c>
      <c r="C5" s="30" t="s">
        <v>106</v>
      </c>
      <c r="D5" s="30" t="s">
        <v>107</v>
      </c>
      <c r="E5" s="30" t="s">
        <v>108</v>
      </c>
      <c r="F5" s="30" t="s">
        <v>109</v>
      </c>
      <c r="G5" s="30" t="s">
        <v>110</v>
      </c>
      <c r="H5" s="31" t="s">
        <v>111</v>
      </c>
    </row>
    <row r="6" customFormat="false" ht="78" hidden="false" customHeight="true" outlineLevel="0" collapsed="false">
      <c r="A6" s="29" t="s">
        <v>112</v>
      </c>
      <c r="B6" s="30" t="s">
        <v>113</v>
      </c>
      <c r="C6" s="30" t="s">
        <v>114</v>
      </c>
      <c r="D6" s="30" t="s">
        <v>115</v>
      </c>
      <c r="E6" s="30" t="s">
        <v>116</v>
      </c>
      <c r="F6" s="30" t="s">
        <v>109</v>
      </c>
      <c r="G6" s="30" t="s">
        <v>117</v>
      </c>
      <c r="H6" s="31" t="s">
        <v>118</v>
      </c>
    </row>
    <row r="7" customFormat="false" ht="39" hidden="false" customHeight="true" outlineLevel="0" collapsed="false">
      <c r="A7" s="4" t="s">
        <v>119</v>
      </c>
      <c r="B7" s="32" t="s">
        <v>120</v>
      </c>
      <c r="C7" s="32" t="s">
        <v>121</v>
      </c>
      <c r="D7" s="32" t="s">
        <v>122</v>
      </c>
      <c r="E7" s="32" t="s">
        <v>121</v>
      </c>
      <c r="F7" s="32" t="s">
        <v>108</v>
      </c>
      <c r="G7" s="32" t="s">
        <v>123</v>
      </c>
      <c r="H7" s="20" t="s">
        <v>124</v>
      </c>
    </row>
    <row r="8" customFormat="false" ht="25.5" hidden="false" customHeight="true" outlineLevel="0" collapsed="false">
      <c r="A8" s="4" t="s">
        <v>125</v>
      </c>
      <c r="B8" s="32" t="s">
        <v>126</v>
      </c>
      <c r="C8" s="32" t="s">
        <v>127</v>
      </c>
      <c r="D8" s="32" t="s">
        <v>122</v>
      </c>
      <c r="E8" s="32" t="s">
        <v>121</v>
      </c>
      <c r="F8" s="32" t="s">
        <v>108</v>
      </c>
      <c r="G8" s="32" t="s">
        <v>123</v>
      </c>
      <c r="H8" s="20" t="s">
        <v>128</v>
      </c>
    </row>
    <row r="9" customFormat="false" ht="25.5" hidden="false" customHeight="true" outlineLevel="0" collapsed="false">
      <c r="A9" s="4" t="s">
        <v>129</v>
      </c>
      <c r="B9" s="32" t="s">
        <v>130</v>
      </c>
      <c r="C9" s="32" t="s">
        <v>131</v>
      </c>
      <c r="D9" s="32" t="s">
        <v>126</v>
      </c>
      <c r="E9" s="32" t="s">
        <v>121</v>
      </c>
      <c r="F9" s="32" t="s">
        <v>108</v>
      </c>
      <c r="G9" s="32" t="s">
        <v>123</v>
      </c>
      <c r="H9" s="20" t="s">
        <v>132</v>
      </c>
    </row>
    <row r="10" customFormat="false" ht="25.5" hidden="false" customHeight="true" outlineLevel="0" collapsed="false">
      <c r="A10" s="4" t="s">
        <v>133</v>
      </c>
      <c r="B10" s="32" t="s">
        <v>108</v>
      </c>
      <c r="C10" s="32" t="s">
        <v>134</v>
      </c>
      <c r="D10" s="32" t="s">
        <v>135</v>
      </c>
      <c r="E10" s="32" t="s">
        <v>130</v>
      </c>
      <c r="F10" s="32" t="s">
        <v>126</v>
      </c>
      <c r="G10" s="32" t="s">
        <v>123</v>
      </c>
      <c r="H10" s="20" t="s">
        <v>136</v>
      </c>
    </row>
    <row r="11" customFormat="false" ht="25.5" hidden="false" customHeight="true" outlineLevel="0" collapsed="false">
      <c r="A11" s="4" t="s">
        <v>137</v>
      </c>
      <c r="B11" s="32" t="s">
        <v>126</v>
      </c>
      <c r="C11" s="32" t="s">
        <v>138</v>
      </c>
      <c r="D11" s="32" t="s">
        <v>122</v>
      </c>
      <c r="E11" s="32" t="s">
        <v>108</v>
      </c>
      <c r="F11" s="32" t="s">
        <v>108</v>
      </c>
      <c r="G11" s="32" t="s">
        <v>123</v>
      </c>
      <c r="H11" s="20" t="s">
        <v>139</v>
      </c>
    </row>
    <row r="12" customFormat="false" ht="25.5" hidden="false" customHeight="true" outlineLevel="0" collapsed="false">
      <c r="A12" s="4" t="s">
        <v>140</v>
      </c>
      <c r="B12" s="32" t="s">
        <v>130</v>
      </c>
      <c r="C12" s="32" t="s">
        <v>141</v>
      </c>
      <c r="D12" s="32" t="s">
        <v>142</v>
      </c>
      <c r="E12" s="32" t="s">
        <v>143</v>
      </c>
      <c r="F12" s="32" t="s">
        <v>126</v>
      </c>
      <c r="G12" s="32" t="s">
        <v>123</v>
      </c>
      <c r="H12" s="20" t="s">
        <v>144</v>
      </c>
    </row>
    <row r="13" customFormat="false" ht="78" hidden="false" customHeight="true" outlineLevel="0" collapsed="false">
      <c r="A13" s="33" t="s">
        <v>145</v>
      </c>
      <c r="B13" s="34" t="s">
        <v>146</v>
      </c>
      <c r="C13" s="34" t="s">
        <v>147</v>
      </c>
      <c r="D13" s="34" t="s">
        <v>148</v>
      </c>
      <c r="E13" s="34" t="s">
        <v>130</v>
      </c>
      <c r="F13" s="34" t="s">
        <v>149</v>
      </c>
      <c r="G13" s="34" t="s">
        <v>150</v>
      </c>
      <c r="H13" s="35" t="s">
        <v>151</v>
      </c>
    </row>
    <row r="15" customFormat="false" ht="15" hidden="false" customHeight="false" outlineLevel="0" collapsed="false">
      <c r="A15" s="36" t="s">
        <v>152</v>
      </c>
      <c r="B15" s="37"/>
      <c r="C15" s="37"/>
      <c r="D15" s="37"/>
      <c r="E15" s="37"/>
      <c r="F15" s="37"/>
      <c r="G15" s="37"/>
      <c r="H15" s="37"/>
    </row>
    <row r="16" customFormat="false" ht="15" hidden="false" customHeight="false" outlineLevel="0" collapsed="false">
      <c r="A16" s="38" t="s">
        <v>153</v>
      </c>
      <c r="B16" s="38" t="s">
        <v>108</v>
      </c>
      <c r="C16" s="38" t="s">
        <v>130</v>
      </c>
    </row>
    <row r="17" customFormat="false" ht="15" hidden="false" customHeight="false" outlineLevel="0" collapsed="false">
      <c r="A17" s="9" t="s">
        <v>154</v>
      </c>
      <c r="B17" s="22" t="n">
        <v>18000</v>
      </c>
      <c r="C17" s="22" t="n">
        <v>30000</v>
      </c>
    </row>
    <row r="18" customFormat="false" ht="15" hidden="false" customHeight="false" outlineLevel="0" collapsed="false">
      <c r="A18" s="9" t="s">
        <v>155</v>
      </c>
      <c r="B18" s="22" t="n">
        <v>7000</v>
      </c>
      <c r="C18" s="22" t="n">
        <v>12000</v>
      </c>
    </row>
    <row r="19" customFormat="false" ht="15" hidden="false" customHeight="false" outlineLevel="0" collapsed="false">
      <c r="A19" s="9" t="s">
        <v>156</v>
      </c>
      <c r="B19" s="22" t="n">
        <v>28000</v>
      </c>
      <c r="C19" s="22" t="n">
        <v>38000</v>
      </c>
    </row>
    <row r="20" customFormat="false" ht="15" hidden="false" customHeight="false" outlineLevel="0" collapsed="false">
      <c r="A20" s="9" t="s">
        <v>157</v>
      </c>
      <c r="B20" s="22" t="n">
        <v>4000</v>
      </c>
      <c r="C20" s="22" t="n">
        <v>9000</v>
      </c>
    </row>
    <row r="21" customFormat="false" ht="15" hidden="false" customHeight="false" outlineLevel="0" collapsed="false">
      <c r="A21" s="9" t="s">
        <v>158</v>
      </c>
      <c r="B21" s="22" t="n">
        <v>4000</v>
      </c>
      <c r="C21" s="22" t="n">
        <v>7000</v>
      </c>
    </row>
    <row r="22" customFormat="false" ht="15" hidden="false" customHeight="false" outlineLevel="0" collapsed="false">
      <c r="A22" s="9" t="s">
        <v>159</v>
      </c>
      <c r="B22" s="22" t="n">
        <v>3000</v>
      </c>
      <c r="C22" s="22" t="n">
        <v>5000</v>
      </c>
    </row>
    <row r="23" customFormat="false" ht="15" hidden="false" customHeight="false" outlineLevel="0" collapsed="false">
      <c r="A23" s="9" t="s">
        <v>160</v>
      </c>
      <c r="B23" s="22" t="n">
        <v>10000</v>
      </c>
      <c r="C23" s="22" t="n">
        <v>20000</v>
      </c>
    </row>
    <row r="24" customFormat="false" ht="15" hidden="false" customHeight="false" outlineLevel="0" collapsed="false">
      <c r="A24" s="26" t="s">
        <v>161</v>
      </c>
      <c r="B24" s="27" t="n">
        <f aca="false">SUM(B17:B23)</f>
        <v>74000</v>
      </c>
      <c r="C24" s="27" t="n">
        <f aca="false">SUM(C17:C23)</f>
        <v>121000</v>
      </c>
      <c r="E24" s="11" t="s">
        <v>162</v>
      </c>
    </row>
    <row r="26" customFormat="false" ht="36" hidden="false" customHeight="true" outlineLevel="0" collapsed="false">
      <c r="A26" s="28" t="s">
        <v>163</v>
      </c>
      <c r="B26" s="28"/>
      <c r="C26" s="28"/>
      <c r="D26" s="28"/>
      <c r="E26" s="28"/>
      <c r="F26" s="28"/>
      <c r="G26" s="28"/>
      <c r="H26" s="28"/>
    </row>
    <row r="27" customFormat="false" ht="24" hidden="false" customHeight="true" outlineLevel="0" collapsed="false">
      <c r="A27" s="28" t="s">
        <v>164</v>
      </c>
      <c r="B27" s="28"/>
      <c r="C27" s="28"/>
      <c r="D27" s="28"/>
      <c r="E27" s="28"/>
      <c r="F27" s="28"/>
      <c r="G27" s="28"/>
      <c r="H27" s="28"/>
    </row>
    <row r="28" customFormat="false" ht="36" hidden="false" customHeight="true" outlineLevel="0" collapsed="false">
      <c r="A28" s="28" t="s">
        <v>165</v>
      </c>
      <c r="B28" s="28"/>
      <c r="C28" s="28"/>
      <c r="D28" s="28"/>
      <c r="E28" s="28"/>
      <c r="F28" s="28"/>
      <c r="G28" s="28"/>
      <c r="H28" s="28"/>
    </row>
    <row r="29" customFormat="false" ht="24" hidden="false" customHeight="true" outlineLevel="0" collapsed="false">
      <c r="A29" s="28" t="s">
        <v>166</v>
      </c>
      <c r="B29" s="28"/>
      <c r="C29" s="28"/>
      <c r="D29" s="28"/>
      <c r="E29" s="28"/>
      <c r="F29" s="28"/>
      <c r="G29" s="28"/>
      <c r="H29" s="28"/>
    </row>
  </sheetData>
  <sheetProtection sheet="true" password="dede" formatCells="false" formatColumns="false" formatRows="false"/>
  <mergeCells count="4">
    <mergeCell ref="A26:H26"/>
    <mergeCell ref="A27:H27"/>
    <mergeCell ref="A28:H28"/>
    <mergeCell ref="A29:H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2"/>
  </cols>
  <sheetData>
    <row r="1" customFormat="false" ht="17.35" hidden="false" customHeight="false" outlineLevel="0" collapsed="false">
      <c r="A1" s="7" t="s">
        <v>167</v>
      </c>
    </row>
    <row r="3" customFormat="false" ht="12.75" hidden="false" customHeight="true" outlineLevel="0" collapsed="false">
      <c r="A3" s="5" t="s">
        <v>168</v>
      </c>
    </row>
    <row r="4" customFormat="false" ht="90.75" hidden="false" customHeight="true" outlineLevel="0" collapsed="false">
      <c r="A4" s="3" t="s">
        <v>169</v>
      </c>
    </row>
    <row r="5" customFormat="false" ht="15" hidden="false" customHeight="false" outlineLevel="0" collapsed="false">
      <c r="A5" s="3"/>
    </row>
    <row r="6" customFormat="false" ht="12.75" hidden="false" customHeight="true" outlineLevel="0" collapsed="false">
      <c r="A6" s="5" t="s">
        <v>170</v>
      </c>
    </row>
    <row r="7" customFormat="false" ht="64.5" hidden="false" customHeight="true" outlineLevel="0" collapsed="false">
      <c r="A7" s="3" t="s">
        <v>171</v>
      </c>
    </row>
    <row r="8" customFormat="false" ht="15" hidden="false" customHeight="false" outlineLevel="0" collapsed="false">
      <c r="A8" s="3"/>
    </row>
    <row r="9" customFormat="false" ht="12.75" hidden="false" customHeight="true" outlineLevel="0" collapsed="false">
      <c r="A9" s="5" t="s">
        <v>172</v>
      </c>
    </row>
    <row r="10" customFormat="false" ht="51.75" hidden="false" customHeight="true" outlineLevel="0" collapsed="false">
      <c r="A10" s="3" t="s">
        <v>173</v>
      </c>
    </row>
    <row r="11" customFormat="false" ht="15" hidden="false" customHeight="false" outlineLevel="0" collapsed="false">
      <c r="A11" s="3"/>
    </row>
    <row r="12" customFormat="false" ht="12.75" hidden="false" customHeight="true" outlineLevel="0" collapsed="false">
      <c r="A12" s="5" t="s">
        <v>174</v>
      </c>
    </row>
    <row r="13" customFormat="false" ht="51.75" hidden="false" customHeight="true" outlineLevel="0" collapsed="false">
      <c r="A13" s="3" t="s">
        <v>175</v>
      </c>
    </row>
    <row r="14" customFormat="false" ht="15" hidden="false" customHeight="false" outlineLevel="0" collapsed="false">
      <c r="A14" s="3"/>
    </row>
    <row r="15" customFormat="false" ht="12.75" hidden="false" customHeight="true" outlineLevel="0" collapsed="false">
      <c r="A15" s="5" t="s">
        <v>176</v>
      </c>
    </row>
    <row r="16" customFormat="false" ht="25.5" hidden="false" customHeight="true" outlineLevel="0" collapsed="false">
      <c r="A16" s="3" t="s">
        <v>177</v>
      </c>
    </row>
    <row r="17" customFormat="false" ht="25.5" hidden="false" customHeight="true" outlineLevel="0" collapsed="false">
      <c r="A17" s="3" t="s">
        <v>178</v>
      </c>
    </row>
    <row r="18" customFormat="false" ht="25.5" hidden="false" customHeight="true" outlineLevel="0" collapsed="false">
      <c r="A18" s="3" t="s">
        <v>179</v>
      </c>
    </row>
    <row r="19" customFormat="false" ht="25.5" hidden="false" customHeight="true" outlineLevel="0" collapsed="false">
      <c r="A19" s="3" t="s">
        <v>180</v>
      </c>
    </row>
    <row r="20" customFormat="false" ht="15" hidden="false" customHeight="false" outlineLevel="0" collapsed="false">
      <c r="A20" s="3"/>
    </row>
    <row r="21" customFormat="false" ht="12.75" hidden="false" customHeight="true" outlineLevel="0" collapsed="false">
      <c r="A21" s="5" t="s">
        <v>181</v>
      </c>
    </row>
    <row r="22" customFormat="false" ht="51.75" hidden="false" customHeight="true" outlineLevel="0" collapsed="false">
      <c r="A22" s="3" t="s">
        <v>182</v>
      </c>
    </row>
    <row r="23" customFormat="false" ht="15" hidden="false" customHeight="false" outlineLevel="0" collapsed="false">
      <c r="A23" s="3"/>
    </row>
    <row r="24" customFormat="false" ht="12.75" hidden="false" customHeight="true" outlineLevel="0" collapsed="false">
      <c r="A24" s="5" t="s">
        <v>183</v>
      </c>
    </row>
    <row r="25" customFormat="false" ht="51.75" hidden="false" customHeight="true" outlineLevel="0" collapsed="false">
      <c r="A25" s="3" t="s">
        <v>184</v>
      </c>
    </row>
  </sheetData>
  <sheetProtection sheet="true" password="dede" formatCells="false" formatColumns="false" formatRows="false"/>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2026-09-17T03:56:00Z</dcterms:created>
  <dc:creator>openpyxl</dc:creator>
  <dc:description/>
  <dc:language>en-US</dc:language>
  <cp:lastModifiedBy/>
  <dcterms:modified xsi:type="dcterms:W3CDTF">2026-09-17T03:56:00Z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