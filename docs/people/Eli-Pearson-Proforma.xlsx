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The next 90 days" sheetId="2" state="visible" r:id="rId4"/>
    <sheet name="The ladder" sheetId="3" state="visible" r:id="rId5"/>
    <sheet name="Your truck" sheetId="4" state="visible" r:id="rId6"/>
    <sheet name="Money" sheetId="5" state="visible" r:id="rId7"/>
    <sheet name="Who to learn from" sheetId="6" state="visible" r:id="rId8"/>
    <sheet name="Your own company" sheetId="7" state="visible" r:id="rId9"/>
    <sheet name="AI and robot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<sst xmlns="http://schemas.openxmlformats.org/spreadsheetml/2006/main" count="322" uniqueCount="287">
  <si>
    <t xml:space="preserve">Eli - the next fifteen years</t>
  </si>
  <si>
    <t xml:space="preserve">This is yours. Nobody else's pay is in this file, and your numbers are not in anybody else's.</t>
  </si>
  <si>
    <t xml:space="preserve">You are 17, you turn 18 on 18 November 2026, you are homeschooled so you can work full time, and you already own a truck that can haul material and pull a trailer. That is a genuinely strong starting hand for someone your age, and it is worth saying plainly. This file is not a sales pitch. It shows what each step actually pays, what it costs to get there, and roughly when to take it.</t>
  </si>
  <si>
    <t xml:space="preserve">FIRST - the one thing that is time-sensitive:</t>
  </si>
  <si>
    <t xml:space="preserve">Until 18 November you are legally limited in what you can do on a jobsite, and it is not Charlie being careful. Federal law (29 CFR 570.68) bars anyone under 18 from excavating, working in, or backfilling trenches, with one narrow exception for HAND digging a trench under four feet. So running the mini-ex or the skid steer to cut or backfill a drain line is out, riding in either machine is out, and driving your truck for work or towing ANY trailer is out - towing under 18 is flatly prohibited with no exception. What you can do: hand-dig and hand-backfill under four feet, carry and lay pipe, shovel and wheelbarrow gravel, lay and repair sod, hand tools, setup and cleanup. That is still a full-time job at $20 an hour.</t>
  </si>
  <si>
    <t xml:space="preserve">On your birthday every one of those restrictions disappears at once. No waiting period, no paperwork. Machines, truck, trailer - all of it. That makes 18 November the single most valuable date in this file, and the tab called 'The next 90 days' is about being completely ready for it instead of starting to think about it that week.</t>
  </si>
  <si>
    <t xml:space="preserve">One piece of paperwork to sort now: Louisiana requires an employment certificate for every worker under 18, and the employer has to keep it on file. Because you are homeschooled there is no principal to sign it, so it comes from the East Baton Rouge Parish school superintendent's office. Get it done - it protects Charlie, and it costs an afternoon.</t>
  </si>
  <si>
    <t xml:space="preserve">Four things worth knowing before you read the rest:</t>
  </si>
  <si>
    <t xml:space="preserve">1.  The biggest single raise of your whole career is the next one. Laborer to equipment operator in Baton Rouge is $18.58 to $27.99 an hour at the medians - a 51% jump, about $9.41 an hour, near $19,600 a year - and it costs no money at all, only seat time and asking. Nothing else on the ladder has that ratio. Take it early. That is the single most useful sentence in this file.</t>
  </si>
  <si>
    <t xml:space="preserve">2.  Your truck is an asset, and assets get paid differently from labour. Right now it is being treated as a favour. It should not be. There is a whole tab on this - the short version is that the company can reimburse you at the IRS rate per business mile, that money is TAX-FREE to you if it is documented properly, and at 8,000 business miles a year it is close to $6,000 you keep entirely. Learning the difference between getting paid for your time and getting paid for what you own is the beginning of working IN a business rather than FOR one.</t>
  </si>
  <si>
    <t xml:space="preserve">3.  Contractors do not go broke because they cannot dig. They go broke because they bid the job wrong and find out too late. That is why there is a 'what you are learning' column on the ladder, and why job costing shows up at 21 rather than at 30.</t>
  </si>
  <si>
    <t xml:space="preserve">4.  On AI and robots: read that tab properly. The machines are coming for big flat repetitive ground first. Figuring out why a yard floods, and getting a trench between a fence, a pool and a tree root without hitting a gas line, is close to the last thing that gets automated. The office side - quoting, invoicing, scheduling - is being automated right now. So aim at the job that owns the customer and the licence, not the one that owns the shovel.</t>
  </si>
  <si>
    <t xml:space="preserve">None of this is a promise. It is arithmetic on today's numbers, and you can change every one of them.</t>
  </si>
  <si>
    <t xml:space="preserve">The next 90 days - be ready on 18 November, not thinking about it</t>
  </si>
  <si>
    <t xml:space="preserve">The restrictions end on your birthday. Whether that date is worth anything depends entirely on what you did in the nine weeks before it.</t>
  </si>
  <si>
    <t xml:space="preserve">When</t>
  </si>
  <si>
    <t xml:space="preserve">What you do</t>
  </si>
  <si>
    <t xml:space="preserve">Why it matters</t>
  </si>
  <si>
    <t xml:space="preserve">This week</t>
  </si>
  <si>
    <t xml:space="preserve">Get the Louisiana employment certificate from the EBR Parish superintendent's office and give Charlie a copy.</t>
  </si>
  <si>
    <t xml:space="preserve">It is legally required while you are 17 and it is the only thing that protects Charlie if anybody ever asks. Doing it without being chased is the first thing on this list for a reason - it is the kind of thing that gets you trusted.</t>
  </si>
  <si>
    <t xml:space="preserve">Start the job notebook. Every day: what job, what you did, how long it took, what materials went in, what went wrong.</t>
  </si>
  <si>
    <t xml:space="preserve">In three years this notebook is what lets you estimate. Nobody can teach you what a job should cost - you can only have written down what it did cost, over and over.</t>
  </si>
  <si>
    <t xml:space="preserve">Call your insurance company about the truck before you ever tow for work.</t>
  </si>
  <si>
    <t xml:space="preserve">See the truck tab. This is the one that can actually hurt you.</t>
  </si>
  <si>
    <t xml:space="preserve">Weeks 1-4</t>
  </si>
  <si>
    <t xml:space="preserve">Ask Charlie or Bryan to walk you through a Moasure survey and a quote on a real job. Just watch and write it down.</t>
  </si>
  <si>
    <t xml:space="preserve">The quote is where the money is decided. Everything you do with a shovel afterwards is executing a decision somebody already made.</t>
  </si>
  <si>
    <t xml:space="preserve">Do the OSHA 10 card online. About $60-90 and a few evenings.</t>
  </si>
  <si>
    <t xml:space="preserve">Cheap, permanent, and it makes you the obvious person to trust around a trench. At 18 it makes you structurally useful rather than just young and willing.</t>
  </si>
  <si>
    <t xml:space="preserve">Weeks 2-6</t>
  </si>
  <si>
    <t xml:space="preserve">Learn the machines with the engine OFF. Sit in the seat on the yard, learn every control, every service point, the grease points, the daily checks.</t>
  </si>
  <si>
    <t xml:space="preserve">You cannot legally operate yet, but nothing stops you from knowing the machine cold. On 18 November you want to be the guy who already knows where everything is, not the guy starting from zero.</t>
  </si>
  <si>
    <t xml:space="preserve">Weeks 4-8</t>
  </si>
  <si>
    <t xml:space="preserve">Get the trenching competent-person training. $49-200.</t>
  </si>
  <si>
    <t xml:space="preserve">OSHA requires a designated competent person on trenching work. Being one of the few people on the crew who holds it is the fastest way to stop being the youngest guy and start being necessary.</t>
  </si>
  <si>
    <t xml:space="preserve">Weeks 6-9</t>
  </si>
  <si>
    <t xml:space="preserve">Sort the truck out: know the tow rating, get the trailer wiring and brakes checked, sort the insurance answer, price a business-use endorsement.</t>
  </si>
  <si>
    <t xml:space="preserve">So that on the 18th the truck can start earning instead of waiting on a wiring harness.</t>
  </si>
  <si>
    <t xml:space="preserve">Have the conversation with Charlie about how the truck gets paid for - mileage at the IRS rate, in writing.</t>
  </si>
  <si>
    <t xml:space="preserve">Ask before you start, not after six months of doing it for free. Asking early is normal and businesslike; asking late feels like a complaint. That distinction matters more than the money.</t>
  </si>
  <si>
    <t xml:space="preserve">18 November</t>
  </si>
  <si>
    <t xml:space="preserve">Birthday. Every machine and the truck unlock the same day.</t>
  </si>
  <si>
    <t xml:space="preserve">Ask for the seat that week. Not in January.</t>
  </si>
  <si>
    <t xml:space="preserve">Weeks 1-4 after</t>
  </si>
  <si>
    <t xml:space="preserve">Get in the machine every single chance you get, including unpaid time on the yard if that is what it takes.</t>
  </si>
  <si>
    <t xml:space="preserve">The operator premium is $9.41 an hour over a labourer - about $19,600 a year - and it costs nothing but seat time. This is the highest-return thing you will ever do with your hours.</t>
  </si>
  <si>
    <t xml:space="preserve">First 90 days after</t>
  </si>
  <si>
    <t xml:space="preserve">Start tracking one number for Charlie without being asked: linear feet per crew day.</t>
  </si>
  <si>
    <t xml:space="preserve">Bringing a number to the owner that he did not ask for is how an 18-year-old becomes someone the business is built around. It is also the single cheapest way to show you think like an owner.</t>
  </si>
  <si>
    <t xml:space="preserve">The ladder - what each step pays and what it takes</t>
  </si>
  <si>
    <t xml:space="preserve">Blue = change it. Hourly rates are Baton Rouge averages for each role, grown 3.5% a year for wage inflation - which is what construction wages have actually done. Take-home is after federal tax, Social Security and Medicare, and Louisiana's 3% flat rate.</t>
  </si>
  <si>
    <t xml:space="preserve">Wage inflation per year</t>
  </si>
  <si>
    <t xml:space="preserve">Construction wages have run about 3.5%/yr nationally; Louisiana has run slower, near 2.45%.</t>
  </si>
  <si>
    <t xml:space="preserve">Paid hours per year</t>
  </si>
  <si>
    <t xml:space="preserve">40 hours x 52 weeks. Overtime is on top - and the federal deduction for overtime premium pay is worth tracking.</t>
  </si>
  <si>
    <t xml:space="preserve">Year</t>
  </si>
  <si>
    <t xml:space="preserve">Age</t>
  </si>
  <si>
    <t xml:space="preserve">What you are</t>
  </si>
  <si>
    <t xml:space="preserve">Rate/hr today</t>
  </si>
  <si>
    <t xml:space="preserve">Rate/hr then</t>
  </si>
  <si>
    <t xml:space="preserve">Gross a year</t>
  </si>
  <si>
    <t xml:space="preserve">Take-home</t>
  </si>
  <si>
    <t xml:space="preserve">What you get that year</t>
  </si>
  <si>
    <t xml:space="preserve">What you are learning</t>
  </si>
  <si>
    <t xml:space="preserve">Laborer -&gt; machines unlock 18 Nov</t>
  </si>
  <si>
    <t xml:space="preserve">Turning 18 unlocks every machine and the truck. OSHA 10. Trenching competent-person card. Louisiana employment certificate on file until then. FAA Part 107 drone licence.</t>
  </si>
  <si>
    <t xml:space="preserve">How the work actually goes together. Start a job notebook on day one: hours, machine time, materials, what went wrong. The notebook is the habit everything else on this page is built on.</t>
  </si>
  <si>
    <t xml:space="preserve">Laborer / operator trainee</t>
  </si>
  <si>
    <t xml:space="preserve">CDL Class A at BRCC - 6 weeks, $5,640.</t>
  </si>
  <si>
    <t xml:space="preserve">Get in the seat every chance you get. Hauling your own iron is the skill nobody can take off you.</t>
  </si>
  <si>
    <t xml:space="preserve">Equipment operator</t>
  </si>
  <si>
    <t xml:space="preserve">OSHA 30. Open the LLC and the business bank account.</t>
  </si>
  <si>
    <t xml:space="preserve">Reading grade and fall. Why water goes where it goes. Open the company now - lenders want two years of history before they will lend.</t>
  </si>
  <si>
    <t xml:space="preserve">M.J. Foster Promise money becomes available at 21.</t>
  </si>
  <si>
    <t xml:space="preserve">Job costing. Every job you work, write down what it should have cost and what it did. This is the single skill that separates owners from employees.</t>
  </si>
  <si>
    <t xml:space="preserve">Senior operator</t>
  </si>
  <si>
    <t xml:space="preserve">Build a clean credit file. Secured card, paid in full, every month.</t>
  </si>
  <si>
    <t xml:space="preserve">Estimating. Start pricing jobs in your notebook before the quote goes out, then check yourself against the real number.</t>
  </si>
  <si>
    <t xml:space="preserve">Senior operator / lead hand</t>
  </si>
  <si>
    <t xml:space="preserve">LDAF licences if the work calls for them.</t>
  </si>
  <si>
    <t xml:space="preserve">Running two or three men. Scheduling a day so nobody stands around.</t>
  </si>
  <si>
    <t xml:space="preserve">Lead hand</t>
  </si>
  <si>
    <t xml:space="preserve">Contracts, scope and change orders. Unpaid change orders are how contractors go broke while staying busy.</t>
  </si>
  <si>
    <t xml:space="preserve">Assistant foreman</t>
  </si>
  <si>
    <t xml:space="preserve">LSLBC Class 13 licence - minimum age 18, no experience requirement, $10,000 net worth or a bond in lieu.</t>
  </si>
  <si>
    <t xml:space="preserve">Talking to customers. Quoting inside 48 hours. In residential work, answering the phone is a competitive advantage and it is free.</t>
  </si>
  <si>
    <t xml:space="preserve">Foreman</t>
  </si>
  <si>
    <t xml:space="preserve">First machine, if the numbers work. Used mini-ex, 2-3.5 tonne.</t>
  </si>
  <si>
    <t xml:space="preserve">Equipment economics. What a machine costs per hour to own and run, and when to repair instead of replace.</t>
  </si>
  <si>
    <t xml:space="preserve">Bookkeeping and cash. Separate accounts, quarterly estimates, and never spending the tax money.</t>
  </si>
  <si>
    <t xml:space="preserve">Superintendent</t>
  </si>
  <si>
    <t xml:space="preserve">Second machine or a partner's stake.</t>
  </si>
  <si>
    <t xml:space="preserve">Bidding whole jobs. Knowing which ones to walk away from - that judgement is worth more than any machine.</t>
  </si>
  <si>
    <t xml:space="preserve">Managing people who are older than you. This is the part that surprises everybody.</t>
  </si>
  <si>
    <t xml:space="preserve">Operations lead / partner</t>
  </si>
  <si>
    <t xml:space="preserve">Either a real stake here, or your own company.</t>
  </si>
  <si>
    <t xml:space="preserve">Running a P&amp;L. Owning the outcome, not the task.</t>
  </si>
  <si>
    <t xml:space="preserve">Partner or owner</t>
  </si>
  <si>
    <t xml:space="preserve">Hiring. Building something that works when you are not standing there.</t>
  </si>
  <si>
    <t xml:space="preserve">Owner</t>
  </si>
  <si>
    <t xml:space="preserve">Consider adding LSLBC Class 62 - docks, piers, bulkheads. The water work.</t>
  </si>
  <si>
    <t xml:space="preserve">Being the person other people work for. A different job entirely from the one you started.</t>
  </si>
  <si>
    <t xml:space="preserve">The rates are Baton Rouge averages, not promises. BLS May 2025: construction laborer $20.48/hr, equipment operator $28.30/hr, first-line construction supervisor $38.51/hr. Baton Rouge has roughly double the national concentration of construction work, which is genuinely in your favour.</t>
  </si>
  <si>
    <t xml:space="preserve">Equipment operator jobs are only growing 4% over the next decade - but there are about 42,500 openings a year because the people doing it now are retiring. The opportunity is replacement, not growth. That is still an opportunity.</t>
  </si>
  <si>
    <t xml:space="preserve">Certifications that are worth the money: the trenching competent-person card ($49-200, a few hours) makes you structurally necessary on a drainage crew at 19. The CDL ($5,640, six weeks) means the company does not pay a hauler $400-800 every time a machine moves. Most equipment 'certifications' are not worth paying for in Louisiana private work - seat time is what counts.</t>
  </si>
  <si>
    <t xml:space="preserve">Your truck - what it is worth, and how to get paid for it properly</t>
  </si>
  <si>
    <t xml:space="preserve">Blue = change it. Right now your truck is a favour you do the company. It should be a line item. This tab shows what it is genuinely worth, how to be paid so the money is tax-free, and the one mistake that could cost you the truck.</t>
  </si>
  <si>
    <t xml:space="preserve">WHAT THE COMPANY SHOULD PAY YOU PER MILE</t>
  </si>
  <si>
    <t xml:space="preserve">Business miles you drive for the company in a year</t>
  </si>
  <si>
    <t xml:space="preserve">Only miles driven FOR work count - never your commute from home to the yard. Keep a log from the first day; an app is fine and a notebook is fine, but reconstructing it at the end of the year is not.</t>
  </si>
  <si>
    <t xml:space="preserve">IRS reimbursement rate ($/mile)</t>
  </si>
  <si>
    <t xml:space="preserve">The 2026 IRS business rate changed mid-year: 72.5 cents January to June, 76 cents July to December. 0.743 is the blend. This is the rate the government itself says covers fuel, tyres, repairs, insurance and wear.</t>
  </si>
  <si>
    <t xml:space="preserve">What you should be reimbursed</t>
  </si>
  <si>
    <t xml:space="preserve">And here is the part worth understanding: under an accountable plan this is NOT taxable income. It does not go on your W-2, no income tax, no Social Security or Medicare taken out. You keep all of it. The company still deducts every dollar. Both sides win, and it is completely legal - it just has to be documented.</t>
  </si>
  <si>
    <t xml:space="preserve">What a mile actually costs you (fuel, tyres, maintenance)</t>
  </si>
  <si>
    <t xml:space="preserve">AAA puts the all-in cost of a half-ton pickup at about $1.10 a mile - but most of that is depreciation and finance on a NEW truck. On an older paid-off truck your real out-of-pocket per mile is closer to 35 cents at 2026 fuel prices.</t>
  </si>
  <si>
    <t xml:space="preserve">Your actual running cost</t>
  </si>
  <si>
    <t xml:space="preserve">WHAT YOU ACTUALLY CLEAR ON THE TRUCK</t>
  </si>
  <si>
    <t xml:space="preserve">Tax-free, on top of your wages, for driving a truck you already own. Be honest with yourself though: you are also using the truck up. Some of this should go straight into a repair fund, which is on the Money tab.</t>
  </si>
  <si>
    <t xml:space="preserve">WHAT HAULING IS WORTH ON TOP OF THE MILES</t>
  </si>
  <si>
    <t xml:space="preserve">Equipment moves you do in a year (machine on a trailer)</t>
  </si>
  <si>
    <t xml:space="preserve">Every time you move a machine instead of the company paying somebody else to.</t>
  </si>
  <si>
    <t xml:space="preserve">What an outside hauler would charge per move</t>
  </si>
  <si>
    <t xml:space="preserve">Third-party equipment transport runs roughly $300-600 for a short cross-metro move, because short hauls are priced off a minimum rather than by the mile. A 24-foot equipment trailer alone rents for about $165 a day.</t>
  </si>
  <si>
    <t xml:space="preserve">What your hauling saves the company in a year</t>
  </si>
  <si>
    <t xml:space="preserve">This is NOT automatically your money - it is your negotiating position. It is the number to have in your head when you ask to be paid for the truck as well as for your time.</t>
  </si>
  <si>
    <t xml:space="preserve">THE MISTAKE THAT COULD COST YOU THE TRUCK - READ THIS TWICE</t>
  </si>
  <si>
    <t xml:space="preserve">Your personal auto insurance almost certainly does NOT cover using the truck for business. Nearly every personal policy has a business-use exclusion. Towing a trailer with a machine on it, or hauling gravel for a paying job, is squarely business use.</t>
  </si>
  <si>
    <t xml:space="preserve">If you wreck while hauling and the insurer finds out it was a work trip, the realistic outcome is that they deny the claim and then decline to renew you. You would be paying for a wrecked truck yourself, at 18, and then shopping for insurance as a young driver with a cancellation on your record.</t>
  </si>
  <si>
    <t xml:space="preserve">What to do instead, before you tow anything for work: (1) call your own insurer, tell them plainly what the truck will be used for, and ask in writing what is and is not covered; (2) ask Charlie to confirm the company carries hired and non-owned auto coverage, which protects the COMPANY when you drive your own truck on its business - note it does NOT repair your truck; (3) if your carrier will not cover business use, find out what a commercial policy or a business-use endorsement costs before you start, not after.</t>
  </si>
  <si>
    <t xml:space="preserve">This is the single most important page in this whole file. Everything else here is about making money. This one is about not losing what you already own.</t>
  </si>
  <si>
    <t xml:space="preserve">Also worth knowing: under Louisiana law the company can be liable for what happens while you are driving on its business - one 2024 case held that simply having a mileage reimbursement policy extended an employer's liability into an employee's commute. That is a reason for Charlie to want this properly insured too, not just you.</t>
  </si>
  <si>
    <t xml:space="preserve">BEFORE YOU HITCH ANYTHING - THE WEIGHT QUESTION</t>
  </si>
  <si>
    <t xml:space="preserve">You need a Class A CDL only if BOTH the combined rating is 26,001 lb or more AND the trailer is rated over 10,000 lb. A half-ton pulling a small trailer is nowhere near that. But a 3.5-tonne class mini excavator weighs about 7,900 lb and a trailer rated to carry it weighs about 4,300 lb empty - roughly 12,200 lb combined. That is beyond what a half-ton should be towing, even though it does not require a CDL.</t>
  </si>
  <si>
    <t xml:space="preserve">Know your truck's tow rating and your trailer's GVWR before you load a machine, not after. Louisiana requires trailer brakes over 3,000 lb gross, operable from the cab, and safety chains. If a haul ever crosses into Mississippi or Texas it becomes interstate commerce and needs a USDOT number and driver files - keep the work in-state unless somebody has sorted that out.</t>
  </si>
  <si>
    <t xml:space="preserve">What to do with it</t>
  </si>
  <si>
    <t xml:space="preserve">Blue = change it. The order matters: emergency fund first, then anything your employer matches, then the Roth, then the business fund. Saving is a percentage taken off the top the day the cheque lands - not whatever is left at the end of the month, because in a good month there is a lot left and in a bad month there is none.</t>
  </si>
  <si>
    <t xml:space="preserve">Emergency fund target ($)</t>
  </si>
  <si>
    <t xml:space="preserve">Not the generic 'three to six months'. Drainage work is weather-driven: size this to your own worst stretch. Ten wet weeks with no work is roughly $7,000 at today's pay.</t>
  </si>
  <si>
    <t xml:space="preserve">Share of take-home saved once the emergency fund is full</t>
  </si>
  <si>
    <t xml:space="preserve">Aggressive but doable at 20 with no mortgage. Drop it in a year you need to; never drop it quietly.</t>
  </si>
  <si>
    <t xml:space="preserve">Roth IRA limit ($/yr)</t>
  </si>
  <si>
    <t xml:space="preserve">The 2026 limit. It rises most years - check it each January.</t>
  </si>
  <si>
    <t xml:space="preserve">Return assumption on long-term savings</t>
  </si>
  <si>
    <t xml:space="preserve">A long-run stock-market average. Real markets do not deliver a constant 7% - some years are negative. This is arithmetic, not a forecast.</t>
  </si>
  <si>
    <t xml:space="preserve">Notes</t>
  </si>
  <si>
    <t xml:space="preserve">Take-home that year</t>
  </si>
  <si>
    <t xml:space="preserve">Saved that year (all buckets)</t>
  </si>
  <si>
    <t xml:space="preserve">  → into the emergency fund</t>
  </si>
  <si>
    <t xml:space="preserve">  Emergency fund balance</t>
  </si>
  <si>
    <t xml:space="preserve">  → into the Roth IRA</t>
  </si>
  <si>
    <t xml:space="preserve">  Roth balance (contributions + growth)</t>
  </si>
  <si>
    <t xml:space="preserve">  → into the business fund</t>
  </si>
  <si>
    <t xml:space="preserve">  BUSINESS FUND BALANCE</t>
  </si>
  <si>
    <t xml:space="preserve">Grown at a lower rate than the Roth on purpose - money you might need in three years should not sit in the stock market.</t>
  </si>
  <si>
    <t xml:space="preserve">Roth contributions you could take back out</t>
  </si>
  <si>
    <t xml:space="preserve">This is the detail almost nobody tells you. What you PUT IN to a Roth can be taken back out at any age, any time, with no tax and no penalty - only the growth is locked up. So the Roth doubles as your business capital. The catch: once taken out, that contribution room is gone for good.</t>
  </si>
  <si>
    <t xml:space="preserve">TOTAL LIQUID - what you could put into a business</t>
  </si>
  <si>
    <t xml:space="preserve">Emergency fund deliberately excluded - that money is not for buying an excavator.</t>
  </si>
  <si>
    <t xml:space="preserve">Why a Roth and not anything else, at your age: you pay tax at 12% federal right now, which is about as low as it ever gets. A Roth means paying that 12% today and never paying tax on that money again - not on the growth, not at 60. At 7%, $7,500 a year from 18 to 30 is $97,500 put in and roughly $1.15 million at 60, all of it tax-free. Stopping at 22 instead still leaves about $564,000. The first five years do more work than the next twenty.</t>
  </si>
  <si>
    <t xml:space="preserve">Before the Roth, take any match your employer offers. A 50% match is a 50% return before the money has done anything. Ask whether there is a 401(k) or a SIMPLE IRA, whether the health plan is a high-deductible one with an HSA, and whether there is any disability cover. Only about 59% of workers at small companies have access to a retirement plan at all, so the answer may be no - ask anyway.</t>
  </si>
  <si>
    <t xml:space="preserve">The truck is the trap. A $75,000 new diesel pickup at 9% over six years is about $1,350 a month - roughly half your take-home at today's pay - on something that loses a quarter of its value in year one. The same payment invested is about $120,000 after six years. A $25,000 used truck does every single job the new one does. This is the most predictable mistake in the trade and it looks like a business expense while you are making it.</t>
  </si>
  <si>
    <t xml:space="preserve">Disability insurance: your body is the whole asset. Long-term disability runs roughly 1-3% of income, more for a high-risk trade - call it $900-$1,600 a year at your pay. Workers comp covers you on the job. It covers nothing on a Saturday. Premiums are cheapest and underwriting easiest while you are young and healthy, and waiting costs you permanently.</t>
  </si>
  <si>
    <t xml:space="preserve">None of this is financial advice and nobody here is a licensed advisor. It is arithmetic on published 2026 figures. Check the numbers each January, because the limits change every year.</t>
  </si>
  <si>
    <t xml:space="preserve">Who to learn what from - and how to be someone people want to help</t>
  </si>
  <si>
    <t xml:space="preserve">You are standing next to three people who each know a completely different part of this business, plus a network you have not met yet. Most people your age never get that. Use it deliberately rather than by accident.</t>
  </si>
  <si>
    <t xml:space="preserve">Who</t>
  </si>
  <si>
    <t xml:space="preserve">What they know that you do not</t>
  </si>
  <si>
    <t xml:space="preserve">How to actually get it</t>
  </si>
  <si>
    <t xml:space="preserve">Charlie</t>
  </si>
  <si>
    <t xml:space="preserve">Selling and estimating. Why a homeowner picks one contractor over another, how to price a job, how to read what somebody actually wants. He has done every job in this company himself.</t>
  </si>
  <si>
    <t xml:space="preserve">Ride along on estimates and say nothing. Afterwards ask one question: why did you price it that way. Owners will teach almost anybody who is genuinely curious and not trying to look clever.</t>
  </si>
  <si>
    <t xml:space="preserve">Bryan</t>
  </si>
  <si>
    <t xml:space="preserve">Running people. Scheduling a day so nobody stands around, keeping crews, safety, job costing. Twenty-five years of it, plus running a bar - which is a harder people business than this one.</t>
  </si>
  <si>
    <t xml:space="preserve">Ask him how he decides who does what each morning. Then ask what he would do differently if he were starting over. People who have run something love that question and almost nobody asks it.</t>
  </si>
  <si>
    <t xml:space="preserve">Your dad</t>
  </si>
  <si>
    <t xml:space="preserve">The business side. Numbers, structure, how deals are put together, how software and systems make a small company punch above its size.</t>
  </si>
  <si>
    <t xml:space="preserve">The single most valuable thing here is learning to read a P&amp;L and understand where money actually goes. Ask him to walk you through this workbook line by line - the thing you are holding is the lesson.</t>
  </si>
  <si>
    <t xml:space="preserve">The suppliers</t>
  </si>
  <si>
    <t xml:space="preserve">Aggregate, pipe and fabric vendors know every contractor in the parish and who pays on time. Terms from a supplier are working capital you do not have to borrow.</t>
  </si>
  <si>
    <t xml:space="preserve">Learn their names, be at the counter early, never be the one who argues about an invoice. In five years the supplier who trusts you is worth more than a bank line - and they decide that now, watching how you behave at 18.</t>
  </si>
  <si>
    <t xml:space="preserve">Other trades</t>
  </si>
  <si>
    <t xml:space="preserve">Plumbers, roofers, gutter installers, landscapers, realtors. They stand in the same yards you do and they see the drainage problems first.</t>
  </si>
  <si>
    <t xml:space="preserve">Be useful to them with no expectation. Referrals in this business flow along relationships, not advertising - and the ones that matter get built years before they pay off.</t>
  </si>
  <si>
    <t xml:space="preserve">A banker</t>
  </si>
  <si>
    <t xml:space="preserve">What a lender wants to see before they will lend to a 25-year-old with a plan.</t>
  </si>
  <si>
    <t xml:space="preserve">Open a business account before you need one and introduce yourself to an actual person at the branch. Lenders back people they have watched for a while. Starting that clock at 18 costs nothing.</t>
  </si>
  <si>
    <t xml:space="preserve">THE UNGLAMOROUS PART - how to be a good business person</t>
  </si>
  <si>
    <t xml:space="preserve">Answer the phone. In residential work, being the one who picks up is a genuine competitive advantage and it is free. Most contractors do not.</t>
  </si>
  <si>
    <t xml:space="preserve">Do what you said, when you said. Nearly all of business reputation is this one thing, repeated for years.</t>
  </si>
  <si>
    <t xml:space="preserve">Write it down. Change orders, promises, prices, what the customer asked for. Contractors go broke doing unpaid extra work they agreed to verbally.</t>
  </si>
  <si>
    <t xml:space="preserve">Never spend the tax money. Set it aside the week it comes in. More small businesses die of this than of bad work.</t>
  </si>
  <si>
    <t xml:space="preserve">Be early. It is the cheapest possible way to signal that you are serious, and at your age it is noticed more than anything you say.</t>
  </si>
  <si>
    <t xml:space="preserve">Own mistakes fast and completely. The people who go furthest are not the ones who never break a sprinkler line - they are the ones who say so before the customer finds it.</t>
  </si>
  <si>
    <t xml:space="preserve">Be someone people want to help. Almost everything good that happens in a trade comes through somebody who decided to put your name forward. That decision is made on how you behave when nothing is at stake.</t>
  </si>
  <si>
    <t xml:space="preserve">If you start your own - which one, and what it costs</t>
  </si>
  <si>
    <t xml:space="preserve">Only if your future is not here. Ranked on what actually matters: can somebody with a trailer undercut you, what are the margins, and is a machine coming for it. The licence is not the wall - the capital is.</t>
  </si>
  <si>
    <t xml:space="preserve">The niche</t>
  </si>
  <si>
    <t xml:space="preserve">Startup capital</t>
  </si>
  <si>
    <t xml:space="preserve">Licence barrier</t>
  </si>
  <si>
    <t xml:space="preserve">Gross margin</t>
  </si>
  <si>
    <t xml:space="preserve">Recurring</t>
  </si>
  <si>
    <t xml:space="preserve">Robot risk</t>
  </si>
  <si>
    <t xml:space="preserve">Sells for</t>
  </si>
  <si>
    <t xml:space="preserve">Why it ranks here</t>
  </si>
  <si>
    <t xml:space="preserve">1. Drainage &amp; earthwork</t>
  </si>
  <si>
    <t xml:space="preserve">$80-250k</t>
  </si>
  <si>
    <t xml:space="preserve">LSLBC Class 13</t>
  </si>
  <si>
    <t xml:space="preserve">25-40%</t>
  </si>
  <si>
    <t xml:space="preserve">Low</t>
  </si>
  <si>
    <t xml:space="preserve">Very low</t>
  </si>
  <si>
    <t xml:space="preserve">2.65x SDE</t>
  </si>
  <si>
    <t xml:space="preserve">You already know it. Class 13 also covers land clearing and erosion control, so one licence buys three lines of work. Baton Rouge has about double the national concentration of this work, and $29.4M of watershed money is being spent in your own parish. A machine is not coming for a trench between a fence and a pool.</t>
  </si>
  <si>
    <t xml:space="preserve">2. Docks, piers &amp; bulkheads</t>
  </si>
  <si>
    <t xml:space="preserve">$150k+ (barge, pile rig)</t>
  </si>
  <si>
    <t xml:space="preserve">LSLBC Class 62 + federal permits</t>
  </si>
  <si>
    <t xml:space="preserve">35-50%</t>
  </si>
  <si>
    <t xml:space="preserve">Repair tail</t>
  </si>
  <si>
    <t xml:space="preserve">2.94x SDE</t>
  </si>
  <si>
    <t xml:space="preserve">The best margins and the highest resale multiple of anything on this list, and it is the water work you actually want to do. Docks run $20-40/sq ft, bulkheads $150-600 a linear foot. The permits - Army Corps Section 10 and 404 - are a pain, and that is exactly why it is a good business: they keep everybody else out. Add it around year 8-10, not year one.</t>
  </si>
  <si>
    <t xml:space="preserve">3. Land clearing / mulching</t>
  </si>
  <si>
    <t xml:space="preserve">$150-250k</t>
  </si>
  <si>
    <t xml:space="preserve">None</t>
  </si>
  <si>
    <t xml:space="preserve">40-55%</t>
  </si>
  <si>
    <t xml:space="preserve">-</t>
  </si>
  <si>
    <t xml:space="preserve">Fast money - $1,000-$2,500 a day - but no licence barrier means it commoditises. Best as a bolt-on under your Class 13, not a business of its own.</t>
  </si>
  <si>
    <t xml:space="preserve">4. Hardscape / outdoor living</t>
  </si>
  <si>
    <t xml:space="preserve">Medium</t>
  </si>
  <si>
    <t xml:space="preserve">Class 50 over threshold</t>
  </si>
  <si>
    <t xml:space="preserve">Good margins, but it is selling to homeowners on design. Different personality.</t>
  </si>
  <si>
    <t xml:space="preserve">5. Erosion control / shoreline</t>
  </si>
  <si>
    <t xml:space="preserve">High</t>
  </si>
  <si>
    <t xml:space="preserve">Class 5 / 10</t>
  </si>
  <si>
    <t xml:space="preserve">Real money, wrong timing. BP settlement money ends in 2031 and southeast Louisiana funding is already down two-thirds.</t>
  </si>
  <si>
    <t xml:space="preserve">6. Irrigation</t>
  </si>
  <si>
    <t xml:space="preserve">LDAF Irrigation Contractor</t>
  </si>
  <si>
    <t xml:space="preserve">40-50%</t>
  </si>
  <si>
    <t xml:space="preserve">Low barrier to entry cuts both ways - easy for you, easy for everyone else.</t>
  </si>
  <si>
    <t xml:space="preserve">7. Tree service</t>
  </si>
  <si>
    <t xml:space="preserve">LDAF Arborist</t>
  </si>
  <si>
    <t xml:space="preserve">Storm-driven. Feast and famine, and dangerous.</t>
  </si>
  <si>
    <t xml:space="preserve">8. Pool</t>
  </si>
  <si>
    <t xml:space="preserve">Class 51 over $7,500</t>
  </si>
  <si>
    <t xml:space="preserve">25-35%</t>
  </si>
  <si>
    <t xml:space="preserve">Chem service</t>
  </si>
  <si>
    <t xml:space="preserve">Thin margins for the capital involved.</t>
  </si>
  <si>
    <t xml:space="preserve">9. Lawn maintenance</t>
  </si>
  <si>
    <t xml:space="preserve">$8-15k</t>
  </si>
  <si>
    <t xml:space="preserve">NONE</t>
  </si>
  <si>
    <t xml:space="preserve">Net only 10-20%</t>
  </si>
  <si>
    <t xml:space="preserve">HIGHEST</t>
  </si>
  <si>
    <t xml:space="preserve">2.49x SDE - lowest</t>
  </si>
  <si>
    <t xml:space="preserve">The worst option, and it is the one everybody starts with. Zero licence barrier means you compete on price forever against anybody with a trailer. It is also the single category autonomous mowers are actively shipping into. Recurring revenue is its only virtue and buyers pay the lowest multiple of any category for it.</t>
  </si>
  <si>
    <t xml:space="preserve">WHAT IT ACTUALLY COSTS TO START</t>
  </si>
  <si>
    <t xml:space="preserve">Item</t>
  </si>
  <si>
    <t xml:space="preserve">Used truck, 3/4 or 1 ton, with a gooseneck hitch</t>
  </si>
  <si>
    <t xml:space="preserve">Used dump or equipment trailer</t>
  </si>
  <si>
    <t xml:space="preserve">Used mini excavator, 2-3.5 tonne, mid hours</t>
  </si>
  <si>
    <t xml:space="preserve">Attachments - thumb, grading bucket, auger</t>
  </si>
  <si>
    <t xml:space="preserve">Hand tools, laser level, plate compactor, stock</t>
  </si>
  <si>
    <t xml:space="preserve">Licence, exams, entity, first insurance payment</t>
  </si>
  <si>
    <t xml:space="preserve">Working capital before the first cheque lands</t>
  </si>
  <si>
    <t xml:space="preserve">MINIMUM TO START TAKING JOBS</t>
  </si>
  <si>
    <t xml:space="preserve">Rent the skid steer at the start. Own the truck, the trailer and the one machine you use every week.</t>
  </si>
  <si>
    <t xml:space="preserve">The on-ramp nobody mentions: in Louisiana you need no contractor licence at all for jobs under $7,500, and a home-improvement registration up to $50,000. So the first jobs - small yard drains, culverts, grading - can be done legally with a rented machine while you build a bank statement and a reputation. That is how this starts, not with $100,000 of iron.</t>
  </si>
  <si>
    <t xml:space="preserve">Open the LLC and the business bank account about two years before you want to borrow. Equipment lenders want two years of business history. If you want to finance a machine at 25, the company exists at 23. Nobody tells people this and it costs them a year.</t>
  </si>
  <si>
    <t xml:space="preserve">Credit is the cheapest thing you own. A surety bond costs 0.5-3% of face value if your credit is above 675 and 5-10% if it is below 599 - on the same bond. The $10,000 net-worth requirement for a Louisiana licence can be met with a bond instead of cash, which is the door for a young contractor. Good credit makes that door cost $50 a year instead of $1,000.</t>
  </si>
  <si>
    <t xml:space="preserve">Insurance is not optional and it is not cheap: a small excavation contractor runs $12,000-$35,000 a year all in - general liability, workers comp, commercial auto, and inland marine on the machines. An uninsured stolen excavator ends the business in one night.</t>
  </si>
  <si>
    <t xml:space="preserve">What actually changes, and when</t>
  </si>
  <si>
    <t xml:space="preserve">The honest version, in one paragraph</t>
  </si>
  <si>
    <t xml:space="preserve">Machines are coming for repetitive work on big, flat, open, mapped ground first - mowing a hundred acres, moving a million yards of dirt on a highway job. They are nowhere near the work you do. As of right now you cannot buy an autonomous compact excavator for residential drainage; that product does not exist. What is already here is machine control and GPS grade, which makes one operator faster - a tool, not a replacement. Meanwhile the office side is automating fast: over half of home-service owners already use AI for quoting and invoicing. So the safe place to stand is the one that owns the licence, the customer and the judgement - not the one that owns the shovel, and not the one that just does the paperwork.</t>
  </si>
  <si>
    <t xml:space="preserve">When you are 25 - we can be fairly confident</t>
  </si>
  <si>
    <t xml:space="preserve">Very little changes for a Baton Rouge drainage crew. Drone survey and machine control are standard. Quoting and scheduling are AI-assisted end to end. Autonomous mowers have taken real share of big commercial turf and essentially none of complicated residential work. Every relevant job category is projected to GROW through 2035, and there are tens of thousands of openings a year because the people doing it now are retiring. Your problem at 25 will be finding good people, not being replaced.</t>
  </si>
  <si>
    <t xml:space="preserve">When you are 35 - directionally, not precisely</t>
  </si>
  <si>
    <t xml:space="preserve">Autonomous earthmoving is plausibly routine on large open civil sites. Companies are already running excavators with empty cabs on big jobs. Residential retrofit work - tight, unmapped, full of tree roots and gas lines and liability - is likely still human-led with robot help. By then you should own machines rather than compete with them. That is the whole hedge: be the person who buys the robot.</t>
  </si>
  <si>
    <t xml:space="preserve">When you are 45 - nobody knows, and anyone who says otherwise is guessing</t>
  </si>
  <si>
    <t xml:space="preserve">The hard part of robotics is hands - force, touch, and working in places nobody mapped first. That problem is not solved and the people working on it do not have a timeline. It might break open in ten years; it has also been ten years away for forty years. The right response to that is not to pick a side. It is to build a position that survives either outcome.</t>
  </si>
  <si>
    <t xml:space="preserve">What survives either outcome</t>
  </si>
  <si>
    <t xml:space="preserve">•  Owning the company. About 38% of construction managers are self-employed and the median is around $115,000. Automation moves money to whoever owns the machine and the customer.</t>
  </si>
  <si>
    <t xml:space="preserve">•  Licences. Louisiana licences are a legal barrier to entry. Software cannot hold one - a person has to. They are the cheapest durable protection you can buy and you can start collecting them before you are 20.</t>
  </si>
  <si>
    <t xml:space="preserve">•  Customers who ask for you by name. Referrals drive around 59% of leads in this trade, and more than half of customers expect an answer within an hour. Local reputation compounds and cannot be copied.</t>
  </si>
  <si>
    <t xml:space="preserve">•  Working out WHY a yard floods. Diagnosis in a messy, unmapped situation is exactly the thing the research keeps identifying as unsolved. Mowing a field is not that. Figuring out where the water goes is.</t>
  </si>
  <si>
    <t xml:space="preserve">What does not survive</t>
  </si>
  <si>
    <t xml:space="preserve">Being the fastest man with a shovel. Grounds maintenance pays a median of about $19.27 an hour - roughly what you earn now, at 18. That is the ceiling on hands-only work, and it does not move. The gap between that and $115,000 is the entire point of this file, and it gets crossed by ownership, licences and judgement. Not by getting faster.</t>
  </si>
  <si>
    <t xml:space="preserve">One more thing, and it matters more than the robots</t>
  </si>
  <si>
    <t xml:space="preserve">The biggest risk to your next ten years is not a machine taking your job. It is your back. Construction kills about 9.2 workers per 100,000 against 3.3 across all jobs, and trench work is among the most dangerous in it. Moving off the shovel and onto the truck, the estimate and the ownership side by about 30 is the same plan as the robot hedge. They are not two plans. They are one.</t>
  </si>
</sst>
</file>

<file path=xl/styles.xml><?xml version="1.0" encoding="utf-8"?>
<styleSheet xmlns="http://schemas.openxmlformats.org/spreadsheetml/2006/main">
  <numFmts count="6">
    <numFmt numFmtId="164" formatCode="General"/>
    <numFmt numFmtId="165" formatCode="0.0%"/>
    <numFmt numFmtId="166" formatCode="#,##0;\(#,##0\);\-"/>
    <numFmt numFmtId="167" formatCode="\$#,##0.00"/>
    <numFmt numFmtId="168" formatCode="\$#,##0;&quot;($&quot;#,##0\);\-"/>
    <numFmt numFmtId="169" formatCode="\$0.000"/>
  </numFmts>
  <fonts count="16">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5"/>
      <name val="Arial"/>
      <family val="0"/>
      <charset val="1"/>
    </font>
    <font>
      <b val="true"/>
      <sz val="10"/>
      <name val="Arial"/>
      <family val="0"/>
      <charset val="1"/>
    </font>
    <font>
      <b val="true"/>
      <sz val="11"/>
      <color rgb="FF1F5A6E"/>
      <name val="Arial"/>
      <family val="0"/>
      <charset val="1"/>
    </font>
    <font>
      <i val="true"/>
      <sz val="9"/>
      <name val="Arial"/>
      <family val="0"/>
      <charset val="1"/>
    </font>
    <font>
      <b val="true"/>
      <sz val="14"/>
      <name val="Arial"/>
      <family val="0"/>
      <charset val="1"/>
    </font>
    <font>
      <sz val="10"/>
      <name val="Arial"/>
      <family val="0"/>
      <charset val="1"/>
    </font>
    <font>
      <sz val="9"/>
      <color rgb="FF46524E"/>
      <name val="Arial"/>
      <family val="0"/>
      <charset val="1"/>
    </font>
    <font>
      <sz val="10"/>
      <color rgb="FF0000FF"/>
      <name val="Arial"/>
      <family val="0"/>
      <charset val="1"/>
    </font>
    <font>
      <sz val="9.5"/>
      <name val="Arial"/>
      <family val="0"/>
      <charset val="1"/>
    </font>
    <font>
      <sz val="9.5"/>
      <color rgb="FF46524E"/>
      <name val="Arial"/>
      <family val="0"/>
      <charset val="1"/>
    </font>
    <font>
      <i val="true"/>
      <sz val="9.5"/>
      <name val="Arial"/>
      <family val="0"/>
      <charset val="1"/>
    </font>
  </fonts>
  <fills count="7">
    <fill>
      <patternFill patternType="none"/>
    </fill>
    <fill>
      <patternFill patternType="gray125"/>
    </fill>
    <fill>
      <patternFill patternType="solid">
        <fgColor rgb="FFEEF1EF"/>
        <bgColor rgb="FFDCEEE1"/>
      </patternFill>
    </fill>
    <fill>
      <patternFill patternType="solid">
        <fgColor rgb="FFDCEEE1"/>
        <bgColor rgb="FFD8E7EC"/>
      </patternFill>
    </fill>
    <fill>
      <patternFill patternType="solid">
        <fgColor rgb="FFFFFF00"/>
        <bgColor rgb="FFFFFF00"/>
      </patternFill>
    </fill>
    <fill>
      <patternFill patternType="solid">
        <fgColor rgb="FFD8E7EC"/>
        <bgColor rgb="FFDCEEE1"/>
      </patternFill>
    </fill>
    <fill>
      <patternFill patternType="solid">
        <fgColor rgb="FFF6E9CF"/>
        <bgColor rgb="FFEEF1E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2" fillId="4" borderId="0" xfId="0" applyFont="true" applyBorder="false" applyAlignment="false" applyProtection="true">
      <alignment horizontal="general" vertical="bottom" textRotation="0" wrapText="false" indent="0" shrinkToFit="false"/>
      <protection locked="fals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2" fillId="4" borderId="0" xfId="0" applyFont="true" applyBorder="false" applyAlignment="false" applyProtection="true">
      <alignment horizontal="general" vertical="bottom" textRotation="0" wrapText="false" indent="0" shrinkToFit="false"/>
      <protection locked="fals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12" fillId="4" borderId="0" xfId="0" applyFont="true" applyBorder="false" applyAlignment="false" applyProtection="true">
      <alignment horizontal="general" vertical="bottom" textRotation="0" wrapText="false" indent="0" shrinkToFit="false"/>
      <protection locked="fals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9" fontId="12" fillId="4" borderId="0" xfId="0" applyFont="true" applyBorder="false" applyAlignment="false" applyProtection="true">
      <alignment horizontal="general" vertical="bottom" textRotation="0" wrapText="false" indent="0" shrinkToFit="false"/>
      <protection locked="false" hidden="false"/>
    </xf>
    <xf numFmtId="168" fontId="12" fillId="4" borderId="0" xfId="0" applyFont="true" applyBorder="false" applyAlignment="false" applyProtection="true">
      <alignment horizontal="general" vertical="bottom" textRotation="0" wrapText="false" indent="0" shrinkToFit="false"/>
      <protection locked="false" hidden="false"/>
    </xf>
    <xf numFmtId="164" fontId="10" fillId="6"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8" fontId="6" fillId="3"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4" fillId="3" borderId="0" xfId="0" applyFont="true" applyBorder="false" applyAlignment="true" applyProtection="false">
      <alignment horizontal="general" vertical="top" textRotation="0" wrapText="true" indent="0" shrinkToFit="false"/>
      <protection locked="true" hidden="false"/>
    </xf>
    <xf numFmtId="164" fontId="6" fillId="6" borderId="0" xfId="0" applyFont="true" applyBorder="false" applyAlignment="true" applyProtection="false">
      <alignment horizontal="general" vertical="top" textRotation="0" wrapText="true" indent="0" shrinkToFit="false"/>
      <protection locked="true" hidden="false"/>
    </xf>
    <xf numFmtId="164" fontId="10" fillId="6" borderId="0" xfId="0" applyFont="true" applyBorder="false" applyAlignment="true" applyProtection="false">
      <alignment horizontal="general" vertical="top" textRotation="0" wrapText="true" indent="0" shrinkToFit="false"/>
      <protection locked="true" hidden="false"/>
    </xf>
    <xf numFmtId="164" fontId="14" fillId="6"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F1EF"/>
      <rgbColor rgb="FFFF0000"/>
      <rgbColor rgb="FF00FF00"/>
      <rgbColor rgb="FF0000FF"/>
      <rgbColor rgb="FFFFFF00"/>
      <rgbColor rgb="FFFF00FF"/>
      <rgbColor rgb="FF00FFFF"/>
      <rgbColor rgb="FF800000"/>
      <rgbColor rgb="FF008000"/>
      <rgbColor rgb="FF000080"/>
      <rgbColor rgb="FF808000"/>
      <rgbColor rgb="FF800080"/>
      <rgbColor rgb="FF1F5A6E"/>
      <rgbColor rgb="FFC0C0C0"/>
      <rgbColor rgb="FF808080"/>
      <rgbColor rgb="FF9999FF"/>
      <rgbColor rgb="FF993366"/>
      <rgbColor rgb="FFF6E9CF"/>
      <rgbColor rgb="FFD8E7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CEEE1"/>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652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2"/>
  </cols>
  <sheetData>
    <row r="1" customFormat="false" ht="19.7" hidden="false" customHeight="false" outlineLevel="0" collapsed="false">
      <c r="A1" s="1" t="s">
        <v>0</v>
      </c>
    </row>
    <row r="3" customFormat="false" ht="15" hidden="false" customHeight="false" outlineLevel="0" collapsed="false">
      <c r="A3" s="2"/>
    </row>
    <row r="4" customFormat="false" ht="12.75" hidden="false" customHeight="true" outlineLevel="0" collapsed="false">
      <c r="A4" s="3" t="s">
        <v>1</v>
      </c>
    </row>
    <row r="5" customFormat="false" ht="15" hidden="false" customHeight="false" outlineLevel="0" collapsed="false">
      <c r="A5" s="2"/>
    </row>
    <row r="6" customFormat="false" ht="51.75" hidden="false" customHeight="true" outlineLevel="0" collapsed="false">
      <c r="A6" s="2" t="s">
        <v>2</v>
      </c>
    </row>
    <row r="7" customFormat="false" ht="15" hidden="false" customHeight="false" outlineLevel="0" collapsed="false">
      <c r="A7" s="2"/>
    </row>
    <row r="8" customFormat="false" ht="12.75" hidden="false" customHeight="true" outlineLevel="0" collapsed="false">
      <c r="A8" s="4" t="s">
        <v>3</v>
      </c>
    </row>
    <row r="9" customFormat="false" ht="15" hidden="false" customHeight="false" outlineLevel="0" collapsed="false">
      <c r="A9" s="2"/>
    </row>
    <row r="10" customFormat="false" ht="90.75" hidden="false" customHeight="true" outlineLevel="0" collapsed="false">
      <c r="A10" s="2" t="s">
        <v>4</v>
      </c>
    </row>
    <row r="11" customFormat="false" ht="15" hidden="false" customHeight="false" outlineLevel="0" collapsed="false">
      <c r="A11" s="2"/>
    </row>
    <row r="12" customFormat="false" ht="51.75" hidden="false" customHeight="true" outlineLevel="0" collapsed="false">
      <c r="A12" s="3" t="s">
        <v>5</v>
      </c>
    </row>
    <row r="13" customFormat="false" ht="15" hidden="false" customHeight="false" outlineLevel="0" collapsed="false">
      <c r="A13" s="2"/>
    </row>
    <row r="14" customFormat="false" ht="51.75" hidden="false" customHeight="true" outlineLevel="0" collapsed="false">
      <c r="A14" s="2" t="s">
        <v>6</v>
      </c>
    </row>
    <row r="15" customFormat="false" ht="15" hidden="false" customHeight="false" outlineLevel="0" collapsed="false">
      <c r="A15" s="2"/>
    </row>
    <row r="16" customFormat="false" ht="12.75" hidden="false" customHeight="true" outlineLevel="0" collapsed="false">
      <c r="A16" s="4" t="s">
        <v>7</v>
      </c>
    </row>
    <row r="17" customFormat="false" ht="15" hidden="false" customHeight="false" outlineLevel="0" collapsed="false">
      <c r="A17" s="2"/>
    </row>
    <row r="18" customFormat="false" ht="51.75" hidden="false" customHeight="true" outlineLevel="0" collapsed="false">
      <c r="A18" s="2" t="s">
        <v>8</v>
      </c>
    </row>
    <row r="19" customFormat="false" ht="15" hidden="false" customHeight="false" outlineLevel="0" collapsed="false">
      <c r="A19" s="2"/>
    </row>
    <row r="20" customFormat="false" ht="78" hidden="false" customHeight="true" outlineLevel="0" collapsed="false">
      <c r="A20" s="2" t="s">
        <v>9</v>
      </c>
    </row>
    <row r="21" customFormat="false" ht="15" hidden="false" customHeight="false" outlineLevel="0" collapsed="false">
      <c r="A21" s="2"/>
    </row>
    <row r="22" customFormat="false" ht="39" hidden="false" customHeight="true" outlineLevel="0" collapsed="false">
      <c r="A22" s="2" t="s">
        <v>10</v>
      </c>
    </row>
    <row r="23" customFormat="false" ht="15" hidden="false" customHeight="false" outlineLevel="0" collapsed="false">
      <c r="A23" s="2"/>
    </row>
    <row r="24" customFormat="false" ht="64.5" hidden="false" customHeight="true" outlineLevel="0" collapsed="false">
      <c r="A24" s="2" t="s">
        <v>11</v>
      </c>
    </row>
    <row r="25" customFormat="false" ht="15" hidden="false" customHeight="false" outlineLevel="0" collapsed="false">
      <c r="A25" s="2"/>
    </row>
    <row r="26" customFormat="false" ht="12.75" hidden="false" customHeight="true" outlineLevel="0" collapsed="false">
      <c r="A26" s="5" t="s">
        <v>12</v>
      </c>
    </row>
  </sheetData>
  <sheetProtection sheet="true" password="dede"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8"/>
    <col collapsed="false" customWidth="true" hidden="false" outlineLevel="0" max="3" min="3" style="0" width="78"/>
  </cols>
  <sheetData>
    <row r="1" customFormat="false" ht="17.35" hidden="false" customHeight="false" outlineLevel="0" collapsed="false">
      <c r="A1" s="6" t="s">
        <v>13</v>
      </c>
    </row>
    <row r="2" customFormat="false" ht="15" hidden="false" customHeight="false" outlineLevel="0" collapsed="false">
      <c r="A2" s="7" t="s">
        <v>14</v>
      </c>
    </row>
    <row r="4" customFormat="false" ht="15" hidden="false" customHeight="false" outlineLevel="0" collapsed="false">
      <c r="A4" s="8" t="s">
        <v>15</v>
      </c>
      <c r="B4" s="8" t="s">
        <v>16</v>
      </c>
      <c r="C4" s="8" t="s">
        <v>17</v>
      </c>
    </row>
    <row r="5" customFormat="false" ht="39" hidden="false" customHeight="true" outlineLevel="0" collapsed="false">
      <c r="A5" s="3" t="s">
        <v>18</v>
      </c>
      <c r="B5" s="9" t="s">
        <v>19</v>
      </c>
      <c r="C5" s="10" t="s">
        <v>20</v>
      </c>
    </row>
    <row r="6" customFormat="false" ht="39" hidden="false" customHeight="true" outlineLevel="0" collapsed="false">
      <c r="A6" s="3" t="s">
        <v>18</v>
      </c>
      <c r="B6" s="9" t="s">
        <v>21</v>
      </c>
      <c r="C6" s="10" t="s">
        <v>22</v>
      </c>
    </row>
    <row r="7" customFormat="false" ht="25.5" hidden="false" customHeight="true" outlineLevel="0" collapsed="false">
      <c r="A7" s="3" t="s">
        <v>18</v>
      </c>
      <c r="B7" s="9" t="s">
        <v>23</v>
      </c>
      <c r="C7" s="10" t="s">
        <v>24</v>
      </c>
    </row>
    <row r="8" customFormat="false" ht="25.5" hidden="false" customHeight="true" outlineLevel="0" collapsed="false">
      <c r="A8" s="3" t="s">
        <v>25</v>
      </c>
      <c r="B8" s="9" t="s">
        <v>26</v>
      </c>
      <c r="C8" s="10" t="s">
        <v>27</v>
      </c>
    </row>
    <row r="9" customFormat="false" ht="25.5" hidden="false" customHeight="true" outlineLevel="0" collapsed="false">
      <c r="A9" s="3" t="s">
        <v>25</v>
      </c>
      <c r="B9" s="9" t="s">
        <v>28</v>
      </c>
      <c r="C9" s="10" t="s">
        <v>29</v>
      </c>
    </row>
    <row r="10" customFormat="false" ht="39" hidden="false" customHeight="true" outlineLevel="0" collapsed="false">
      <c r="A10" s="3" t="s">
        <v>30</v>
      </c>
      <c r="B10" s="9" t="s">
        <v>31</v>
      </c>
      <c r="C10" s="10" t="s">
        <v>32</v>
      </c>
    </row>
    <row r="11" customFormat="false" ht="39" hidden="false" customHeight="true" outlineLevel="0" collapsed="false">
      <c r="A11" s="3" t="s">
        <v>33</v>
      </c>
      <c r="B11" s="9" t="s">
        <v>34</v>
      </c>
      <c r="C11" s="10" t="s">
        <v>35</v>
      </c>
    </row>
    <row r="12" customFormat="false" ht="25.5" hidden="false" customHeight="true" outlineLevel="0" collapsed="false">
      <c r="A12" s="3" t="s">
        <v>36</v>
      </c>
      <c r="B12" s="9" t="s">
        <v>37</v>
      </c>
      <c r="C12" s="10" t="s">
        <v>38</v>
      </c>
    </row>
    <row r="13" customFormat="false" ht="39" hidden="false" customHeight="true" outlineLevel="0" collapsed="false">
      <c r="A13" s="3" t="s">
        <v>36</v>
      </c>
      <c r="B13" s="9" t="s">
        <v>39</v>
      </c>
      <c r="C13" s="10" t="s">
        <v>40</v>
      </c>
    </row>
    <row r="14" customFormat="false" ht="25.5" hidden="false" customHeight="true" outlineLevel="0" collapsed="false">
      <c r="A14" s="11" t="s">
        <v>41</v>
      </c>
      <c r="B14" s="12" t="s">
        <v>42</v>
      </c>
      <c r="C14" s="13" t="s">
        <v>43</v>
      </c>
    </row>
    <row r="15" customFormat="false" ht="39" hidden="false" customHeight="true" outlineLevel="0" collapsed="false">
      <c r="A15" s="3" t="s">
        <v>44</v>
      </c>
      <c r="B15" s="9" t="s">
        <v>45</v>
      </c>
      <c r="C15" s="10" t="s">
        <v>46</v>
      </c>
    </row>
    <row r="16" customFormat="false" ht="39" hidden="false" customHeight="true" outlineLevel="0" collapsed="false">
      <c r="A16" s="3" t="s">
        <v>47</v>
      </c>
      <c r="B16" s="9" t="s">
        <v>48</v>
      </c>
      <c r="C16" s="10" t="s">
        <v>49</v>
      </c>
    </row>
  </sheetData>
  <sheetProtection sheet="true" password="dede"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26"/>
    <col collapsed="false" customWidth="true" hidden="false" outlineLevel="0" max="4" min="4" style="0" width="11"/>
    <col collapsed="false" customWidth="true" hidden="false" outlineLevel="0" max="7" min="5" style="0" width="13"/>
    <col collapsed="false" customWidth="true" hidden="false" outlineLevel="0" max="8" min="8" style="0" width="54"/>
    <col collapsed="false" customWidth="true" hidden="false" outlineLevel="0" max="9" min="9" style="0" width="62"/>
  </cols>
  <sheetData>
    <row r="1" customFormat="false" ht="17.35" hidden="false" customHeight="false" outlineLevel="0" collapsed="false">
      <c r="A1" s="6" t="s">
        <v>50</v>
      </c>
    </row>
    <row r="2" customFormat="false" ht="15" hidden="false" customHeight="false" outlineLevel="0" collapsed="false">
      <c r="A2" s="7" t="s">
        <v>51</v>
      </c>
    </row>
    <row r="4" customFormat="false" ht="15" hidden="false" customHeight="false" outlineLevel="0" collapsed="false">
      <c r="A4" s="14" t="s">
        <v>52</v>
      </c>
      <c r="B4" s="15" t="n">
        <v>0.035</v>
      </c>
      <c r="D4" s="16" t="s">
        <v>53</v>
      </c>
    </row>
    <row r="5" customFormat="false" ht="15" hidden="false" customHeight="false" outlineLevel="0" collapsed="false">
      <c r="A5" s="14" t="s">
        <v>54</v>
      </c>
      <c r="B5" s="17" t="n">
        <v>2080</v>
      </c>
      <c r="D5" s="16" t="s">
        <v>55</v>
      </c>
    </row>
    <row r="7" customFormat="false" ht="27.75" hidden="false" customHeight="true" outlineLevel="0" collapsed="false">
      <c r="A7" s="18" t="s">
        <v>56</v>
      </c>
      <c r="B7" s="18" t="s">
        <v>57</v>
      </c>
      <c r="C7" s="18" t="s">
        <v>58</v>
      </c>
      <c r="D7" s="18" t="s">
        <v>59</v>
      </c>
      <c r="E7" s="18" t="s">
        <v>60</v>
      </c>
      <c r="F7" s="18" t="s">
        <v>61</v>
      </c>
      <c r="G7" s="18" t="s">
        <v>62</v>
      </c>
      <c r="H7" s="18" t="s">
        <v>63</v>
      </c>
      <c r="I7" s="18" t="s">
        <v>64</v>
      </c>
    </row>
    <row r="8" customFormat="false" ht="51.75" hidden="false" customHeight="true" outlineLevel="0" collapsed="false">
      <c r="A8" s="19" t="n">
        <v>1</v>
      </c>
      <c r="B8" s="19" t="n">
        <v>18</v>
      </c>
      <c r="C8" s="14" t="s">
        <v>65</v>
      </c>
      <c r="D8" s="20" t="n">
        <v>20</v>
      </c>
      <c r="E8" s="21" t="n">
        <f aca="false">D8*(1+$B$4)^0</f>
        <v>20</v>
      </c>
      <c r="F8" s="22" t="n">
        <f aca="false">E8*$B$5</f>
        <v>41600</v>
      </c>
      <c r="G8" s="23" t="n">
        <f aca="false">F8-MAX(0,MIN(F8-16100,12400))*0.1-MAX(0,MIN(F8-16100-12400,38000))*0.12-MAX(0,F8-16100-50400)*0.22-F8*0.0765-MAX(0,F8-12500)*0.03</f>
        <v>34732.6</v>
      </c>
      <c r="H8" s="24" t="s">
        <v>66</v>
      </c>
      <c r="I8" s="25" t="s">
        <v>67</v>
      </c>
    </row>
    <row r="9" customFormat="false" ht="25.5" hidden="false" customHeight="true" outlineLevel="0" collapsed="false">
      <c r="A9" s="19" t="n">
        <v>2</v>
      </c>
      <c r="B9" s="19" t="n">
        <v>19</v>
      </c>
      <c r="C9" s="14" t="s">
        <v>68</v>
      </c>
      <c r="D9" s="20" t="n">
        <v>23</v>
      </c>
      <c r="E9" s="21" t="n">
        <f aca="false">D9*(1+$B$4)^1</f>
        <v>23.805</v>
      </c>
      <c r="F9" s="22" t="n">
        <f aca="false">E9*$B$5</f>
        <v>49514.4</v>
      </c>
      <c r="G9" s="23" t="n">
        <f aca="false">F9-MAX(0,MIN(F9-16100,12400))*0.1-MAX(0,MIN(F9-16100-12400,38000))*0.12-MAX(0,F9-16100-50400)*0.22-F9*0.0765-MAX(0,F9-12500)*0.03</f>
        <v>40854.3884</v>
      </c>
      <c r="H9" s="24" t="s">
        <v>69</v>
      </c>
      <c r="I9" s="25" t="s">
        <v>70</v>
      </c>
    </row>
    <row r="10" customFormat="false" ht="39" hidden="false" customHeight="true" outlineLevel="0" collapsed="false">
      <c r="A10" s="19" t="n">
        <v>3</v>
      </c>
      <c r="B10" s="19" t="n">
        <v>20</v>
      </c>
      <c r="C10" s="14" t="s">
        <v>71</v>
      </c>
      <c r="D10" s="20" t="n">
        <v>26</v>
      </c>
      <c r="E10" s="21" t="n">
        <f aca="false">D10*(1+$B$4)^2</f>
        <v>27.85185</v>
      </c>
      <c r="F10" s="22" t="n">
        <f aca="false">E10*$B$5</f>
        <v>57931.848</v>
      </c>
      <c r="G10" s="23" t="n">
        <f aca="false">F10-MAX(0,MIN(F10-16100,12400))*0.1-MAX(0,MIN(F10-16100-12400,38000))*0.12-MAX(0,F10-16100-50400)*0.22-F10*0.0765-MAX(0,F10-12500)*0.03</f>
        <v>47365.284428</v>
      </c>
      <c r="H10" s="24" t="s">
        <v>72</v>
      </c>
      <c r="I10" s="25" t="s">
        <v>73</v>
      </c>
    </row>
    <row r="11" customFormat="false" ht="39" hidden="false" customHeight="true" outlineLevel="0" collapsed="false">
      <c r="A11" s="19" t="n">
        <v>4</v>
      </c>
      <c r="B11" s="19" t="n">
        <v>21</v>
      </c>
      <c r="C11" s="14" t="s">
        <v>71</v>
      </c>
      <c r="D11" s="20" t="n">
        <v>28.3</v>
      </c>
      <c r="E11" s="21" t="n">
        <f aca="false">D11*(1+$B$4)^3</f>
        <v>31.3767158625</v>
      </c>
      <c r="F11" s="22" t="n">
        <f aca="false">E11*$B$5</f>
        <v>65263.568994</v>
      </c>
      <c r="G11" s="23" t="n">
        <f aca="false">F11-MAX(0,MIN(F11-16100,12400))*0.1-MAX(0,MIN(F11-16100-12400,38000))*0.12-MAX(0,F11-16100-50400)*0.22-F11*0.0765-MAX(0,F11-12500)*0.03</f>
        <v>53036.370616859</v>
      </c>
      <c r="H11" s="24" t="s">
        <v>74</v>
      </c>
      <c r="I11" s="25" t="s">
        <v>75</v>
      </c>
    </row>
    <row r="12" customFormat="false" ht="39" hidden="false" customHeight="true" outlineLevel="0" collapsed="false">
      <c r="A12" s="19" t="n">
        <v>5</v>
      </c>
      <c r="B12" s="19" t="n">
        <v>22</v>
      </c>
      <c r="C12" s="14" t="s">
        <v>76</v>
      </c>
      <c r="D12" s="20" t="n">
        <v>30</v>
      </c>
      <c r="E12" s="21" t="n">
        <f aca="false">D12*(1+$B$4)^4</f>
        <v>34.42569001875</v>
      </c>
      <c r="F12" s="22" t="n">
        <f aca="false">E12*$B$5</f>
        <v>71605.435239</v>
      </c>
      <c r="G12" s="23" t="n">
        <f aca="false">F12-MAX(0,MIN(F12-16100,12400))*0.1-MAX(0,MIN(F12-16100-12400,38000))*0.12-MAX(0,F12-16100-50400)*0.22-F12*0.0765-MAX(0,F12-12500)*0.03</f>
        <v>57431.2606334665</v>
      </c>
      <c r="H12" s="24" t="s">
        <v>77</v>
      </c>
      <c r="I12" s="25" t="s">
        <v>78</v>
      </c>
    </row>
    <row r="13" customFormat="false" ht="25.5" hidden="false" customHeight="true" outlineLevel="0" collapsed="false">
      <c r="A13" s="19" t="n">
        <v>6</v>
      </c>
      <c r="B13" s="19" t="n">
        <v>23</v>
      </c>
      <c r="C13" s="14" t="s">
        <v>79</v>
      </c>
      <c r="D13" s="20" t="n">
        <v>32</v>
      </c>
      <c r="E13" s="21" t="n">
        <f aca="false">D13*(1+$B$4)^5</f>
        <v>38.0059617807</v>
      </c>
      <c r="F13" s="22" t="n">
        <f aca="false">E13*$B$5</f>
        <v>79052.400503856</v>
      </c>
      <c r="G13" s="23" t="n">
        <f aca="false">F13-MAX(0,MIN(F13-16100,12400))*0.1-MAX(0,MIN(F13-16100-12400,38000))*0.12-MAX(0,F13-16100-50400)*0.22-F13*0.0765-MAX(0,F13-12500)*0.03</f>
        <v>62446.791739347</v>
      </c>
      <c r="H13" s="24" t="s">
        <v>80</v>
      </c>
      <c r="I13" s="25" t="s">
        <v>81</v>
      </c>
    </row>
    <row r="14" customFormat="false" ht="25.5" hidden="false" customHeight="true" outlineLevel="0" collapsed="false">
      <c r="A14" s="19" t="n">
        <v>7</v>
      </c>
      <c r="B14" s="19" t="n">
        <v>24</v>
      </c>
      <c r="C14" s="14" t="s">
        <v>82</v>
      </c>
      <c r="D14" s="20" t="n">
        <v>34</v>
      </c>
      <c r="E14" s="21" t="n">
        <f aca="false">D14*(1+$B$4)^6</f>
        <v>41.7946810957135</v>
      </c>
      <c r="F14" s="22" t="n">
        <f aca="false">E14*$B$5</f>
        <v>86932.9366790841</v>
      </c>
      <c r="G14" s="23" t="n">
        <f aca="false">F14-MAX(0,MIN(F14-16100,12400))*0.1-MAX(0,MIN(F14-16100-12400,38000))*0.12-MAX(0,F14-16100-50400)*0.22-F14*0.0765-MAX(0,F14-12500)*0.03</f>
        <v>67754.3328533631</v>
      </c>
      <c r="H14" s="24"/>
      <c r="I14" s="25" t="s">
        <v>83</v>
      </c>
    </row>
    <row r="15" customFormat="false" ht="39" hidden="false" customHeight="true" outlineLevel="0" collapsed="false">
      <c r="A15" s="19" t="n">
        <v>8</v>
      </c>
      <c r="B15" s="19" t="n">
        <v>25</v>
      </c>
      <c r="C15" s="14" t="s">
        <v>84</v>
      </c>
      <c r="D15" s="20" t="n">
        <v>36</v>
      </c>
      <c r="E15" s="21" t="n">
        <f aca="false">D15*(1+$B$4)^7</f>
        <v>45.8020534595966</v>
      </c>
      <c r="F15" s="22" t="n">
        <f aca="false">E15*$B$5</f>
        <v>95268.271195961</v>
      </c>
      <c r="G15" s="23" t="n">
        <f aca="false">F15-MAX(0,MIN(F15-16100,12400))*0.1-MAX(0,MIN(F15-16100-12400,38000))*0.12-MAX(0,F15-16100-50400)*0.22-F15*0.0765-MAX(0,F15-12500)*0.03</f>
        <v>73368.1806504797</v>
      </c>
      <c r="H15" s="24" t="s">
        <v>85</v>
      </c>
      <c r="I15" s="25" t="s">
        <v>86</v>
      </c>
    </row>
    <row r="16" customFormat="false" ht="25.5" hidden="false" customHeight="true" outlineLevel="0" collapsed="false">
      <c r="A16" s="19" t="n">
        <v>9</v>
      </c>
      <c r="B16" s="19" t="n">
        <v>26</v>
      </c>
      <c r="C16" s="14" t="s">
        <v>87</v>
      </c>
      <c r="D16" s="20" t="n">
        <v>38.51</v>
      </c>
      <c r="E16" s="21" t="n">
        <f aca="false">D16*(1+$B$4)^8</f>
        <v>50.7103160134606</v>
      </c>
      <c r="F16" s="22" t="n">
        <f aca="false">E16*$B$5</f>
        <v>105477.457307998</v>
      </c>
      <c r="G16" s="23" t="n">
        <f aca="false">F16-MAX(0,MIN(F16-16100,12400))*0.1-MAX(0,MIN(F16-16100-12400,38000))*0.12-MAX(0,F16-16100-50400)*0.22-F16*0.0765-MAX(0,F16-12500)*0.03</f>
        <v>80244.0674969368</v>
      </c>
      <c r="H16" s="24" t="s">
        <v>88</v>
      </c>
      <c r="I16" s="25" t="s">
        <v>89</v>
      </c>
    </row>
    <row r="17" customFormat="false" ht="25.5" hidden="false" customHeight="true" outlineLevel="0" collapsed="false">
      <c r="A17" s="19" t="n">
        <v>10</v>
      </c>
      <c r="B17" s="19" t="n">
        <v>27</v>
      </c>
      <c r="C17" s="14" t="s">
        <v>87</v>
      </c>
      <c r="D17" s="20" t="n">
        <v>40</v>
      </c>
      <c r="E17" s="21" t="n">
        <f aca="false">D17*(1+$B$4)^9</f>
        <v>54.5158941302849</v>
      </c>
      <c r="F17" s="22" t="n">
        <f aca="false">E17*$B$5</f>
        <v>113393.059790993</v>
      </c>
      <c r="G17" s="23" t="n">
        <f aca="false">F17-MAX(0,MIN(F17-16100,12400))*0.1-MAX(0,MIN(F17-16100-12400,38000))*0.12-MAX(0,F17-16100-50400)*0.22-F17*0.0765-MAX(0,F17-12500)*0.03</f>
        <v>85575.2257692335</v>
      </c>
      <c r="H17" s="24"/>
      <c r="I17" s="25" t="s">
        <v>90</v>
      </c>
    </row>
    <row r="18" customFormat="false" ht="25.5" hidden="false" customHeight="true" outlineLevel="0" collapsed="false">
      <c r="A18" s="19" t="n">
        <v>11</v>
      </c>
      <c r="B18" s="19" t="n">
        <v>28</v>
      </c>
      <c r="C18" s="14" t="s">
        <v>91</v>
      </c>
      <c r="D18" s="20" t="n">
        <v>44</v>
      </c>
      <c r="E18" s="21" t="n">
        <f aca="false">D18*(1+$B$4)^10</f>
        <v>62.0663454673293</v>
      </c>
      <c r="F18" s="22" t="n">
        <f aca="false">E18*$B$5</f>
        <v>129097.998572045</v>
      </c>
      <c r="G18" s="23" t="n">
        <f aca="false">F18-MAX(0,MIN(F18-16100,12400))*0.1-MAX(0,MIN(F18-16100-12400,38000))*0.12-MAX(0,F18-16100-50400)*0.22-F18*0.0765-MAX(0,F18-12500)*0.03</f>
        <v>96152.5020382723</v>
      </c>
      <c r="H18" s="24" t="s">
        <v>92</v>
      </c>
      <c r="I18" s="25" t="s">
        <v>93</v>
      </c>
    </row>
    <row r="19" customFormat="false" ht="25.5" hidden="false" customHeight="true" outlineLevel="0" collapsed="false">
      <c r="A19" s="19" t="n">
        <v>12</v>
      </c>
      <c r="B19" s="19" t="n">
        <v>29</v>
      </c>
      <c r="C19" s="14" t="s">
        <v>91</v>
      </c>
      <c r="D19" s="20" t="n">
        <v>47</v>
      </c>
      <c r="E19" s="21" t="n">
        <f aca="false">D19*(1+$B$4)^11</f>
        <v>68.6185767104144</v>
      </c>
      <c r="F19" s="22" t="n">
        <f aca="false">E19*$B$5</f>
        <v>142726.639557662</v>
      </c>
      <c r="G19" s="23" t="n">
        <f aca="false">F19-MAX(0,MIN(F19-16100,12400))*0.1-MAX(0,MIN(F19-16100-12400,38000))*0.12-MAX(0,F19-16100-50400)*0.22-F19*0.0765-MAX(0,F19-12500)*0.03</f>
        <v>105331.391742085</v>
      </c>
      <c r="H19" s="24"/>
      <c r="I19" s="25" t="s">
        <v>94</v>
      </c>
    </row>
    <row r="20" customFormat="false" ht="25.5" hidden="false" customHeight="true" outlineLevel="0" collapsed="false">
      <c r="A20" s="19" t="n">
        <v>13</v>
      </c>
      <c r="B20" s="19" t="n">
        <v>30</v>
      </c>
      <c r="C20" s="14" t="s">
        <v>95</v>
      </c>
      <c r="D20" s="20" t="n">
        <v>50</v>
      </c>
      <c r="E20" s="21" t="n">
        <f aca="false">D20*(1+$B$4)^12</f>
        <v>75.553432867318</v>
      </c>
      <c r="F20" s="22" t="n">
        <f aca="false">E20*$B$5</f>
        <v>157151.140364021</v>
      </c>
      <c r="G20" s="23" t="n">
        <f aca="false">F20-MAX(0,MIN(F20-16100,12400))*0.1-MAX(0,MIN(F20-16100-12400,38000))*0.12-MAX(0,F20-16100-50400)*0.22-F20*0.0765-MAX(0,F20-12500)*0.03</f>
        <v>115046.293035168</v>
      </c>
      <c r="H20" s="24" t="s">
        <v>96</v>
      </c>
      <c r="I20" s="25" t="s">
        <v>97</v>
      </c>
    </row>
    <row r="21" customFormat="false" ht="25.5" hidden="false" customHeight="true" outlineLevel="0" collapsed="false">
      <c r="A21" s="19" t="n">
        <v>14</v>
      </c>
      <c r="B21" s="19" t="n">
        <v>31</v>
      </c>
      <c r="C21" s="14" t="s">
        <v>98</v>
      </c>
      <c r="D21" s="20" t="n">
        <v>54</v>
      </c>
      <c r="E21" s="21" t="n">
        <f aca="false">D21*(1+$B$4)^13</f>
        <v>84.4536272590881</v>
      </c>
      <c r="F21" s="22" t="n">
        <f aca="false">E21*$B$5</f>
        <v>175663.544698903</v>
      </c>
      <c r="G21" s="23" t="n">
        <f aca="false">F21-MAX(0,MIN(F21-16100,12400))*0.1-MAX(0,MIN(F21-16100-12400,38000))*0.12-MAX(0,F21-16100-50400)*0.22-F21*0.0765-MAX(0,F21-12500)*0.03</f>
        <v>127514.397354711</v>
      </c>
      <c r="H21" s="24"/>
      <c r="I21" s="25" t="s">
        <v>99</v>
      </c>
    </row>
    <row r="22" customFormat="false" ht="25.5" hidden="false" customHeight="true" outlineLevel="0" collapsed="false">
      <c r="A22" s="19" t="n">
        <v>15</v>
      </c>
      <c r="B22" s="19" t="n">
        <v>32</v>
      </c>
      <c r="C22" s="14" t="s">
        <v>100</v>
      </c>
      <c r="D22" s="20" t="n">
        <v>58</v>
      </c>
      <c r="E22" s="21" t="n">
        <f aca="false">D22*(1+$B$4)^14</f>
        <v>93.8842823030196</v>
      </c>
      <c r="F22" s="22" t="n">
        <f aca="false">E22*$B$5</f>
        <v>195279.307190281</v>
      </c>
      <c r="G22" s="23" t="n">
        <f aca="false">F22-MAX(0,MIN(F22-16100,12400))*0.1-MAX(0,MIN(F22-16100-12400,38000))*0.12-MAX(0,F22-16100-50400)*0.22-F22*0.0765-MAX(0,F22-12500)*0.03</f>
        <v>140725.613392654</v>
      </c>
      <c r="H22" s="24" t="s">
        <v>101</v>
      </c>
      <c r="I22" s="25" t="s">
        <v>102</v>
      </c>
    </row>
    <row r="24" customFormat="false" ht="24" hidden="false" customHeight="true" outlineLevel="0" collapsed="false">
      <c r="A24" s="26" t="s">
        <v>103</v>
      </c>
      <c r="B24" s="26"/>
      <c r="C24" s="26"/>
      <c r="D24" s="26"/>
      <c r="E24" s="26"/>
      <c r="F24" s="26"/>
      <c r="G24" s="26"/>
      <c r="H24" s="26"/>
      <c r="I24" s="26"/>
    </row>
    <row r="25" customFormat="false" ht="24" hidden="false" customHeight="true" outlineLevel="0" collapsed="false">
      <c r="A25" s="26" t="s">
        <v>104</v>
      </c>
      <c r="B25" s="26"/>
      <c r="C25" s="26"/>
      <c r="D25" s="26"/>
      <c r="E25" s="26"/>
      <c r="F25" s="26"/>
      <c r="G25" s="26"/>
      <c r="H25" s="26"/>
      <c r="I25" s="26"/>
    </row>
    <row r="26" customFormat="false" ht="36" hidden="false" customHeight="true" outlineLevel="0" collapsed="false">
      <c r="A26" s="26" t="s">
        <v>105</v>
      </c>
      <c r="B26" s="26"/>
      <c r="C26" s="26"/>
      <c r="D26" s="26"/>
      <c r="E26" s="26"/>
      <c r="F26" s="26"/>
      <c r="G26" s="26"/>
      <c r="H26" s="26"/>
      <c r="I26" s="26"/>
    </row>
  </sheetData>
  <sheetProtection sheet="true" password="dede" formatCells="false" formatColumns="false" formatRows="false"/>
  <mergeCells count="3">
    <mergeCell ref="A24:I24"/>
    <mergeCell ref="A25:I25"/>
    <mergeCell ref="A26:I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15"/>
    <col collapsed="false" customWidth="true" hidden="false" outlineLevel="0" max="3" min="3" style="0" width="92"/>
  </cols>
  <sheetData>
    <row r="1" customFormat="false" ht="17.35" hidden="false" customHeight="false" outlineLevel="0" collapsed="false">
      <c r="A1" s="6" t="s">
        <v>106</v>
      </c>
    </row>
    <row r="2" customFormat="false" ht="15" hidden="false" customHeight="false" outlineLevel="0" collapsed="false">
      <c r="A2" s="7" t="s">
        <v>107</v>
      </c>
    </row>
    <row r="4" customFormat="false" ht="15" hidden="false" customHeight="false" outlineLevel="0" collapsed="false">
      <c r="A4" s="27" t="s">
        <v>108</v>
      </c>
      <c r="B4" s="28"/>
      <c r="C4" s="28"/>
    </row>
    <row r="5" customFormat="false" ht="39" hidden="false" customHeight="true" outlineLevel="0" collapsed="false">
      <c r="A5" s="14" t="s">
        <v>109</v>
      </c>
      <c r="B5" s="17" t="n">
        <v>8000</v>
      </c>
      <c r="C5" s="10" t="s">
        <v>110</v>
      </c>
    </row>
    <row r="6" customFormat="false" ht="39" hidden="false" customHeight="true" outlineLevel="0" collapsed="false">
      <c r="A6" s="14" t="s">
        <v>111</v>
      </c>
      <c r="B6" s="29" t="n">
        <v>0.743</v>
      </c>
      <c r="C6" s="10" t="s">
        <v>112</v>
      </c>
    </row>
    <row r="7" customFormat="false" ht="51.75" hidden="false" customHeight="true" outlineLevel="0" collapsed="false">
      <c r="A7" s="14" t="s">
        <v>113</v>
      </c>
      <c r="B7" s="22" t="n">
        <f aca="false">B5*B6</f>
        <v>5944</v>
      </c>
      <c r="C7" s="10" t="s">
        <v>114</v>
      </c>
    </row>
    <row r="8" customFormat="false" ht="39" hidden="false" customHeight="true" outlineLevel="0" collapsed="false">
      <c r="A8" s="14" t="s">
        <v>115</v>
      </c>
      <c r="B8" s="29" t="n">
        <v>0.35</v>
      </c>
      <c r="C8" s="10" t="s">
        <v>116</v>
      </c>
    </row>
    <row r="9" customFormat="false" ht="12.75" hidden="false" customHeight="true" outlineLevel="0" collapsed="false">
      <c r="A9" s="14" t="s">
        <v>117</v>
      </c>
      <c r="B9" s="22" t="n">
        <f aca="false">B5*B8</f>
        <v>2800</v>
      </c>
      <c r="C9" s="10"/>
    </row>
    <row r="10" customFormat="false" ht="39" hidden="false" customHeight="true" outlineLevel="0" collapsed="false">
      <c r="A10" s="14" t="s">
        <v>118</v>
      </c>
      <c r="B10" s="22" t="n">
        <f aca="false">B7-B9</f>
        <v>3144</v>
      </c>
      <c r="C10" s="10" t="s">
        <v>119</v>
      </c>
    </row>
    <row r="11" customFormat="false" ht="15" hidden="false" customHeight="false" outlineLevel="0" collapsed="false">
      <c r="A11" s="27" t="s">
        <v>120</v>
      </c>
      <c r="B11" s="28"/>
      <c r="C11" s="28"/>
    </row>
    <row r="12" customFormat="false" ht="12.75" hidden="false" customHeight="true" outlineLevel="0" collapsed="false">
      <c r="A12" s="14" t="s">
        <v>121</v>
      </c>
      <c r="B12" s="17" t="n">
        <v>60</v>
      </c>
      <c r="C12" s="10" t="s">
        <v>122</v>
      </c>
    </row>
    <row r="13" customFormat="false" ht="39" hidden="false" customHeight="true" outlineLevel="0" collapsed="false">
      <c r="A13" s="14" t="s">
        <v>123</v>
      </c>
      <c r="B13" s="30" t="n">
        <v>400</v>
      </c>
      <c r="C13" s="10" t="s">
        <v>124</v>
      </c>
    </row>
    <row r="14" customFormat="false" ht="25.5" hidden="false" customHeight="true" outlineLevel="0" collapsed="false">
      <c r="A14" s="14" t="s">
        <v>125</v>
      </c>
      <c r="B14" s="22" t="n">
        <f aca="false">B12*B13</f>
        <v>24000</v>
      </c>
      <c r="C14" s="10" t="s">
        <v>126</v>
      </c>
    </row>
    <row r="15" customFormat="false" ht="15" hidden="false" customHeight="false" outlineLevel="0" collapsed="false">
      <c r="A15" s="27" t="s">
        <v>127</v>
      </c>
      <c r="B15" s="28"/>
      <c r="C15" s="28"/>
    </row>
    <row r="16" customFormat="false" ht="25.5" hidden="false" customHeight="true" outlineLevel="0" collapsed="false">
      <c r="A16" s="31" t="s">
        <v>128</v>
      </c>
      <c r="B16" s="31"/>
      <c r="C16" s="31"/>
    </row>
    <row r="17" customFormat="false" ht="25.5" hidden="false" customHeight="true" outlineLevel="0" collapsed="false">
      <c r="A17" s="31" t="s">
        <v>129</v>
      </c>
      <c r="B17" s="31"/>
      <c r="C17" s="31"/>
    </row>
    <row r="18" customFormat="false" ht="51.75" hidden="false" customHeight="true" outlineLevel="0" collapsed="false">
      <c r="A18" s="31" t="s">
        <v>130</v>
      </c>
      <c r="B18" s="31"/>
      <c r="C18" s="31"/>
    </row>
    <row r="19" customFormat="false" ht="25.5" hidden="false" customHeight="true" outlineLevel="0" collapsed="false">
      <c r="A19" s="31" t="s">
        <v>131</v>
      </c>
      <c r="B19" s="31"/>
      <c r="C19" s="31"/>
    </row>
    <row r="20" customFormat="false" ht="39" hidden="false" customHeight="true" outlineLevel="0" collapsed="false">
      <c r="A20" s="31" t="s">
        <v>132</v>
      </c>
      <c r="B20" s="31"/>
      <c r="C20" s="31"/>
    </row>
    <row r="21" customFormat="false" ht="15" hidden="false" customHeight="false" outlineLevel="0" collapsed="false">
      <c r="A21" s="27" t="s">
        <v>133</v>
      </c>
      <c r="B21" s="28"/>
      <c r="C21" s="28"/>
    </row>
    <row r="22" customFormat="false" ht="39" hidden="false" customHeight="true" outlineLevel="0" collapsed="false">
      <c r="A22" s="32" t="s">
        <v>134</v>
      </c>
      <c r="B22" s="32"/>
      <c r="C22" s="32"/>
    </row>
    <row r="23" customFormat="false" ht="39" hidden="false" customHeight="true" outlineLevel="0" collapsed="false">
      <c r="A23" s="32" t="s">
        <v>135</v>
      </c>
      <c r="B23" s="32"/>
      <c r="C23" s="32"/>
    </row>
  </sheetData>
  <sheetProtection sheet="true" password="dede" formatCells="false" formatColumns="false" formatRows="false"/>
  <mergeCells count="7">
    <mergeCell ref="A16:C16"/>
    <mergeCell ref="A17:C17"/>
    <mergeCell ref="A18:C18"/>
    <mergeCell ref="A19:C19"/>
    <mergeCell ref="A20:C20"/>
    <mergeCell ref="A22:C22"/>
    <mergeCell ref="A23:C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16" min="2" style="0" width="12"/>
    <col collapsed="false" customWidth="true" hidden="false" outlineLevel="0" max="18" min="18" style="0" width="60"/>
  </cols>
  <sheetData>
    <row r="1" customFormat="false" ht="17.35" hidden="false" customHeight="false" outlineLevel="0" collapsed="false">
      <c r="A1" s="6" t="s">
        <v>136</v>
      </c>
    </row>
    <row r="2" customFormat="false" ht="15" hidden="false" customHeight="false" outlineLevel="0" collapsed="false">
      <c r="A2" s="7" t="s">
        <v>137</v>
      </c>
    </row>
    <row r="4" customFormat="false" ht="15" hidden="false" customHeight="false" outlineLevel="0" collapsed="false">
      <c r="A4" s="14" t="s">
        <v>138</v>
      </c>
      <c r="B4" s="30" t="n">
        <v>7000</v>
      </c>
      <c r="D4" s="16" t="s">
        <v>139</v>
      </c>
    </row>
    <row r="5" customFormat="false" ht="15" hidden="false" customHeight="false" outlineLevel="0" collapsed="false">
      <c r="A5" s="14" t="s">
        <v>140</v>
      </c>
      <c r="B5" s="15" t="n">
        <v>0.22</v>
      </c>
      <c r="D5" s="16" t="s">
        <v>141</v>
      </c>
    </row>
    <row r="6" customFormat="false" ht="15" hidden="false" customHeight="false" outlineLevel="0" collapsed="false">
      <c r="A6" s="14" t="s">
        <v>142</v>
      </c>
      <c r="B6" s="30" t="n">
        <v>7500</v>
      </c>
      <c r="D6" s="16" t="s">
        <v>143</v>
      </c>
    </row>
    <row r="7" customFormat="false" ht="15" hidden="false" customHeight="false" outlineLevel="0" collapsed="false">
      <c r="A7" s="14" t="s">
        <v>144</v>
      </c>
      <c r="B7" s="15" t="n">
        <v>0.07</v>
      </c>
      <c r="D7" s="16" t="s">
        <v>145</v>
      </c>
    </row>
    <row r="9" customFormat="false" ht="15" hidden="false" customHeight="false" outlineLevel="0" collapsed="false">
      <c r="A9" s="19" t="s">
        <v>56</v>
      </c>
      <c r="B9" s="33" t="n">
        <v>1</v>
      </c>
      <c r="C9" s="33" t="n">
        <v>2</v>
      </c>
      <c r="D9" s="33" t="n">
        <v>3</v>
      </c>
      <c r="E9" s="33" t="n">
        <v>4</v>
      </c>
      <c r="F9" s="33" t="n">
        <v>5</v>
      </c>
      <c r="G9" s="33" t="n">
        <v>6</v>
      </c>
      <c r="H9" s="33" t="n">
        <v>7</v>
      </c>
      <c r="I9" s="33" t="n">
        <v>8</v>
      </c>
      <c r="J9" s="33" t="n">
        <v>9</v>
      </c>
      <c r="K9" s="33" t="n">
        <v>10</v>
      </c>
      <c r="L9" s="33" t="n">
        <v>11</v>
      </c>
      <c r="M9" s="33" t="n">
        <v>12</v>
      </c>
      <c r="N9" s="33" t="n">
        <v>13</v>
      </c>
      <c r="O9" s="33" t="n">
        <v>14</v>
      </c>
      <c r="P9" s="33" t="n">
        <v>15</v>
      </c>
      <c r="R9" s="19" t="s">
        <v>146</v>
      </c>
    </row>
    <row r="10" customFormat="false" ht="15" hidden="false" customHeight="false" outlineLevel="0" collapsed="false">
      <c r="A10" s="14" t="s">
        <v>57</v>
      </c>
      <c r="B10" s="34" t="n">
        <v>18</v>
      </c>
      <c r="C10" s="34" t="n">
        <v>19</v>
      </c>
      <c r="D10" s="34" t="n">
        <v>20</v>
      </c>
      <c r="E10" s="34" t="n">
        <v>21</v>
      </c>
      <c r="F10" s="34" t="n">
        <v>22</v>
      </c>
      <c r="G10" s="34" t="n">
        <v>23</v>
      </c>
      <c r="H10" s="34" t="n">
        <v>24</v>
      </c>
      <c r="I10" s="34" t="n">
        <v>25</v>
      </c>
      <c r="J10" s="34" t="n">
        <v>26</v>
      </c>
      <c r="K10" s="34" t="n">
        <v>27</v>
      </c>
      <c r="L10" s="34" t="n">
        <v>28</v>
      </c>
      <c r="M10" s="34" t="n">
        <v>29</v>
      </c>
      <c r="N10" s="34" t="n">
        <v>30</v>
      </c>
      <c r="O10" s="34" t="n">
        <v>31</v>
      </c>
      <c r="P10" s="34" t="n">
        <v>32</v>
      </c>
    </row>
    <row r="11" customFormat="false" ht="15" hidden="false" customHeight="false" outlineLevel="0" collapsed="false">
      <c r="A11" s="19" t="s">
        <v>147</v>
      </c>
      <c r="B11" s="22" t="n">
        <f aca="false">'The ladder'!G8</f>
        <v>34732.6</v>
      </c>
      <c r="C11" s="22" t="n">
        <f aca="false">'The ladder'!G9</f>
        <v>40854.3884</v>
      </c>
      <c r="D11" s="22" t="n">
        <f aca="false">'The ladder'!G10</f>
        <v>47365.284428</v>
      </c>
      <c r="E11" s="22" t="n">
        <f aca="false">'The ladder'!G11</f>
        <v>53036.370616859</v>
      </c>
      <c r="F11" s="22" t="n">
        <f aca="false">'The ladder'!G12</f>
        <v>57431.2606334665</v>
      </c>
      <c r="G11" s="22" t="n">
        <f aca="false">'The ladder'!G13</f>
        <v>62446.791739347</v>
      </c>
      <c r="H11" s="22" t="n">
        <f aca="false">'The ladder'!G14</f>
        <v>67754.3328533631</v>
      </c>
      <c r="I11" s="22" t="n">
        <f aca="false">'The ladder'!G15</f>
        <v>73368.1806504797</v>
      </c>
      <c r="J11" s="22" t="n">
        <f aca="false">'The ladder'!G16</f>
        <v>80244.0674969368</v>
      </c>
      <c r="K11" s="22" t="n">
        <f aca="false">'The ladder'!G17</f>
        <v>85575.2257692335</v>
      </c>
      <c r="L11" s="22" t="n">
        <f aca="false">'The ladder'!G18</f>
        <v>96152.5020382723</v>
      </c>
      <c r="M11" s="22" t="n">
        <f aca="false">'The ladder'!G19</f>
        <v>105331.391742085</v>
      </c>
      <c r="N11" s="22" t="n">
        <f aca="false">'The ladder'!G20</f>
        <v>115046.293035168</v>
      </c>
      <c r="O11" s="22" t="n">
        <f aca="false">'The ladder'!G21</f>
        <v>127514.397354711</v>
      </c>
      <c r="P11" s="22" t="n">
        <f aca="false">'The ladder'!G22</f>
        <v>140725.613392654</v>
      </c>
    </row>
    <row r="12" customFormat="false" ht="15" hidden="false" customHeight="false" outlineLevel="0" collapsed="false">
      <c r="A12" s="14" t="s">
        <v>148</v>
      </c>
      <c r="B12" s="23" t="n">
        <f aca="false">B11*$B$5</f>
        <v>7641.172</v>
      </c>
      <c r="C12" s="23" t="n">
        <f aca="false">C11*$B$5</f>
        <v>8987.965448</v>
      </c>
      <c r="D12" s="23" t="n">
        <f aca="false">D11*$B$5</f>
        <v>10420.36257416</v>
      </c>
      <c r="E12" s="23" t="n">
        <f aca="false">E11*$B$5</f>
        <v>11668.001535709</v>
      </c>
      <c r="F12" s="23" t="n">
        <f aca="false">F11*$B$5</f>
        <v>12634.8773393626</v>
      </c>
      <c r="G12" s="23" t="n">
        <f aca="false">G11*$B$5</f>
        <v>13738.2941826563</v>
      </c>
      <c r="H12" s="23" t="n">
        <f aca="false">H11*$B$5</f>
        <v>14905.9532277399</v>
      </c>
      <c r="I12" s="23" t="n">
        <f aca="false">I11*$B$5</f>
        <v>16140.9997431055</v>
      </c>
      <c r="J12" s="23" t="n">
        <f aca="false">J11*$B$5</f>
        <v>17653.6948493261</v>
      </c>
      <c r="K12" s="23" t="n">
        <f aca="false">K11*$B$5</f>
        <v>18826.5496692314</v>
      </c>
      <c r="L12" s="23" t="n">
        <f aca="false">L11*$B$5</f>
        <v>21153.5504484199</v>
      </c>
      <c r="M12" s="23" t="n">
        <f aca="false">M11*$B$5</f>
        <v>23172.9061832588</v>
      </c>
      <c r="N12" s="23" t="n">
        <f aca="false">N11*$B$5</f>
        <v>25310.1844677371</v>
      </c>
      <c r="O12" s="23" t="n">
        <f aca="false">O11*$B$5</f>
        <v>28053.1674180365</v>
      </c>
      <c r="P12" s="23" t="n">
        <f aca="false">P11*$B$5</f>
        <v>30959.6349463839</v>
      </c>
    </row>
    <row r="13" customFormat="false" ht="15" hidden="false" customHeight="false" outlineLevel="0" collapsed="false">
      <c r="A13" s="14" t="s">
        <v>149</v>
      </c>
      <c r="B13" s="23" t="n">
        <f aca="false">MIN(B12,MAX(0,$B$4-0))</f>
        <v>7000</v>
      </c>
      <c r="C13" s="23" t="n">
        <f aca="false">MIN(C12,MAX(0,$B$4-B14))</f>
        <v>0</v>
      </c>
      <c r="D13" s="23" t="n">
        <f aca="false">MIN(D12,MAX(0,$B$4-C14))</f>
        <v>0</v>
      </c>
      <c r="E13" s="23" t="n">
        <f aca="false">MIN(E12,MAX(0,$B$4-D14))</f>
        <v>0</v>
      </c>
      <c r="F13" s="23" t="n">
        <f aca="false">MIN(F12,MAX(0,$B$4-E14))</f>
        <v>0</v>
      </c>
      <c r="G13" s="23" t="n">
        <f aca="false">MIN(G12,MAX(0,$B$4-F14))</f>
        <v>0</v>
      </c>
      <c r="H13" s="23" t="n">
        <f aca="false">MIN(H12,MAX(0,$B$4-G14))</f>
        <v>0</v>
      </c>
      <c r="I13" s="23" t="n">
        <f aca="false">MIN(I12,MAX(0,$B$4-H14))</f>
        <v>0</v>
      </c>
      <c r="J13" s="23" t="n">
        <f aca="false">MIN(J12,MAX(0,$B$4-I14))</f>
        <v>0</v>
      </c>
      <c r="K13" s="23" t="n">
        <f aca="false">MIN(K12,MAX(0,$B$4-J14))</f>
        <v>0</v>
      </c>
      <c r="L13" s="23" t="n">
        <f aca="false">MIN(L12,MAX(0,$B$4-K14))</f>
        <v>0</v>
      </c>
      <c r="M13" s="23" t="n">
        <f aca="false">MIN(M12,MAX(0,$B$4-L14))</f>
        <v>0</v>
      </c>
      <c r="N13" s="23" t="n">
        <f aca="false">MIN(N12,MAX(0,$B$4-M14))</f>
        <v>0</v>
      </c>
      <c r="O13" s="23" t="n">
        <f aca="false">MIN(O12,MAX(0,$B$4-N14))</f>
        <v>0</v>
      </c>
      <c r="P13" s="23" t="n">
        <f aca="false">MIN(P12,MAX(0,$B$4-O14))</f>
        <v>0</v>
      </c>
    </row>
    <row r="14" customFormat="false" ht="15" hidden="false" customHeight="false" outlineLevel="0" collapsed="false">
      <c r="A14" s="19" t="s">
        <v>150</v>
      </c>
      <c r="B14" s="22" t="n">
        <f aca="false">0+B13</f>
        <v>7000</v>
      </c>
      <c r="C14" s="22" t="n">
        <f aca="false">B14+C13</f>
        <v>7000</v>
      </c>
      <c r="D14" s="22" t="n">
        <f aca="false">C14+D13</f>
        <v>7000</v>
      </c>
      <c r="E14" s="22" t="n">
        <f aca="false">D14+E13</f>
        <v>7000</v>
      </c>
      <c r="F14" s="22" t="n">
        <f aca="false">E14+F13</f>
        <v>7000</v>
      </c>
      <c r="G14" s="22" t="n">
        <f aca="false">F14+G13</f>
        <v>7000</v>
      </c>
      <c r="H14" s="22" t="n">
        <f aca="false">G14+H13</f>
        <v>7000</v>
      </c>
      <c r="I14" s="22" t="n">
        <f aca="false">H14+I13</f>
        <v>7000</v>
      </c>
      <c r="J14" s="22" t="n">
        <f aca="false">I14+J13</f>
        <v>7000</v>
      </c>
      <c r="K14" s="22" t="n">
        <f aca="false">J14+K13</f>
        <v>7000</v>
      </c>
      <c r="L14" s="22" t="n">
        <f aca="false">K14+L13</f>
        <v>7000</v>
      </c>
      <c r="M14" s="22" t="n">
        <f aca="false">L14+M13</f>
        <v>7000</v>
      </c>
      <c r="N14" s="22" t="n">
        <f aca="false">M14+N13</f>
        <v>7000</v>
      </c>
      <c r="O14" s="22" t="n">
        <f aca="false">N14+O13</f>
        <v>7000</v>
      </c>
      <c r="P14" s="22" t="n">
        <f aca="false">O14+P13</f>
        <v>7000</v>
      </c>
    </row>
    <row r="15" customFormat="false" ht="15" hidden="false" customHeight="false" outlineLevel="0" collapsed="false">
      <c r="A15" s="14" t="s">
        <v>151</v>
      </c>
      <c r="B15" s="23" t="n">
        <f aca="false">MIN($B$6,MAX(0,B12-B13))</f>
        <v>641.172</v>
      </c>
      <c r="C15" s="23" t="n">
        <f aca="false">MIN($B$6,MAX(0,C12-C13))</f>
        <v>7500</v>
      </c>
      <c r="D15" s="23" t="n">
        <f aca="false">MIN($B$6,MAX(0,D12-D13))</f>
        <v>7500</v>
      </c>
      <c r="E15" s="23" t="n">
        <f aca="false">MIN($B$6,MAX(0,E12-E13))</f>
        <v>7500</v>
      </c>
      <c r="F15" s="23" t="n">
        <f aca="false">MIN($B$6,MAX(0,F12-F13))</f>
        <v>7500</v>
      </c>
      <c r="G15" s="23" t="n">
        <f aca="false">MIN($B$6,MAX(0,G12-G13))</f>
        <v>7500</v>
      </c>
      <c r="H15" s="23" t="n">
        <f aca="false">MIN($B$6,MAX(0,H12-H13))</f>
        <v>7500</v>
      </c>
      <c r="I15" s="23" t="n">
        <f aca="false">MIN($B$6,MAX(0,I12-I13))</f>
        <v>7500</v>
      </c>
      <c r="J15" s="23" t="n">
        <f aca="false">MIN($B$6,MAX(0,J12-J13))</f>
        <v>7500</v>
      </c>
      <c r="K15" s="23" t="n">
        <f aca="false">MIN($B$6,MAX(0,K12-K13))</f>
        <v>7500</v>
      </c>
      <c r="L15" s="23" t="n">
        <f aca="false">MIN($B$6,MAX(0,L12-L13))</f>
        <v>7500</v>
      </c>
      <c r="M15" s="23" t="n">
        <f aca="false">MIN($B$6,MAX(0,M12-M13))</f>
        <v>7500</v>
      </c>
      <c r="N15" s="23" t="n">
        <f aca="false">MIN($B$6,MAX(0,N12-N13))</f>
        <v>7500</v>
      </c>
      <c r="O15" s="23" t="n">
        <f aca="false">MIN($B$6,MAX(0,O12-O13))</f>
        <v>7500</v>
      </c>
      <c r="P15" s="23" t="n">
        <f aca="false">MIN($B$6,MAX(0,P12-P13))</f>
        <v>7500</v>
      </c>
    </row>
    <row r="16" customFormat="false" ht="15" hidden="false" customHeight="false" outlineLevel="0" collapsed="false">
      <c r="A16" s="19" t="s">
        <v>152</v>
      </c>
      <c r="B16" s="22" t="n">
        <f aca="false">(0)*(1+$B$7)+B15</f>
        <v>641.172</v>
      </c>
      <c r="C16" s="22" t="n">
        <f aca="false">(B16)*(1+$B$7)+C15</f>
        <v>8186.05404</v>
      </c>
      <c r="D16" s="22" t="n">
        <f aca="false">(C16)*(1+$B$7)+D15</f>
        <v>16259.0778228</v>
      </c>
      <c r="E16" s="22" t="n">
        <f aca="false">(D16)*(1+$B$7)+E15</f>
        <v>24897.213270396</v>
      </c>
      <c r="F16" s="22" t="n">
        <f aca="false">(E16)*(1+$B$7)+F15</f>
        <v>34140.0181993237</v>
      </c>
      <c r="G16" s="22" t="n">
        <f aca="false">(F16)*(1+$B$7)+G15</f>
        <v>44029.8194732764</v>
      </c>
      <c r="H16" s="22" t="n">
        <f aca="false">(G16)*(1+$B$7)+H15</f>
        <v>54611.9068364057</v>
      </c>
      <c r="I16" s="22" t="n">
        <f aca="false">(H16)*(1+$B$7)+I15</f>
        <v>65934.7403149541</v>
      </c>
      <c r="J16" s="22" t="n">
        <f aca="false">(I16)*(1+$B$7)+J15</f>
        <v>78050.1721370009</v>
      </c>
      <c r="K16" s="22" t="n">
        <f aca="false">(J16)*(1+$B$7)+K15</f>
        <v>91013.684186591</v>
      </c>
      <c r="L16" s="22" t="n">
        <f aca="false">(K16)*(1+$B$7)+L15</f>
        <v>104884.642079652</v>
      </c>
      <c r="M16" s="22" t="n">
        <f aca="false">(L16)*(1+$B$7)+M15</f>
        <v>119726.567025228</v>
      </c>
      <c r="N16" s="22" t="n">
        <f aca="false">(M16)*(1+$B$7)+N15</f>
        <v>135607.426716994</v>
      </c>
      <c r="O16" s="22" t="n">
        <f aca="false">(N16)*(1+$B$7)+O15</f>
        <v>152599.946587184</v>
      </c>
      <c r="P16" s="22" t="n">
        <f aca="false">(O16)*(1+$B$7)+P15</f>
        <v>170781.942848287</v>
      </c>
    </row>
    <row r="17" customFormat="false" ht="15" hidden="false" customHeight="false" outlineLevel="0" collapsed="false">
      <c r="A17" s="14" t="s">
        <v>153</v>
      </c>
      <c r="B17" s="23" t="n">
        <f aca="false">MAX(0,B12-B13-B15)</f>
        <v>0</v>
      </c>
      <c r="C17" s="23" t="n">
        <f aca="false">MAX(0,C12-C13-C15)</f>
        <v>1487.965448</v>
      </c>
      <c r="D17" s="23" t="n">
        <f aca="false">MAX(0,D12-D13-D15)</f>
        <v>2920.36257416</v>
      </c>
      <c r="E17" s="23" t="n">
        <f aca="false">MAX(0,E12-E13-E15)</f>
        <v>4168.00153570898</v>
      </c>
      <c r="F17" s="23" t="n">
        <f aca="false">MAX(0,F12-F13-F15)</f>
        <v>5134.87733936263</v>
      </c>
      <c r="G17" s="23" t="n">
        <f aca="false">MAX(0,G12-G13-G15)</f>
        <v>6238.29418265634</v>
      </c>
      <c r="H17" s="23" t="n">
        <f aca="false">MAX(0,H12-H13-H15)</f>
        <v>7405.95322773989</v>
      </c>
      <c r="I17" s="23" t="n">
        <f aca="false">MAX(0,I12-I13-I15)</f>
        <v>8640.99974310554</v>
      </c>
      <c r="J17" s="23" t="n">
        <f aca="false">MAX(0,J12-J13-J15)</f>
        <v>10153.6948493261</v>
      </c>
      <c r="K17" s="23" t="n">
        <f aca="false">MAX(0,K12-K13-K15)</f>
        <v>11326.5496692314</v>
      </c>
      <c r="L17" s="23" t="n">
        <f aca="false">MAX(0,L12-L13-L15)</f>
        <v>13653.5504484199</v>
      </c>
      <c r="M17" s="23" t="n">
        <f aca="false">MAX(0,M12-M13-M15)</f>
        <v>15672.9061832588</v>
      </c>
      <c r="N17" s="23" t="n">
        <f aca="false">MAX(0,N12-N13-N15)</f>
        <v>17810.1844677371</v>
      </c>
      <c r="O17" s="23" t="n">
        <f aca="false">MAX(0,O12-O13-O15)</f>
        <v>20553.1674180365</v>
      </c>
      <c r="P17" s="23" t="n">
        <f aca="false">MAX(0,P12-P13-P15)</f>
        <v>23459.6349463839</v>
      </c>
    </row>
    <row r="18" customFormat="false" ht="22.35" hidden="false" customHeight="false" outlineLevel="0" collapsed="false">
      <c r="A18" s="19" t="s">
        <v>154</v>
      </c>
      <c r="B18" s="22" t="n">
        <f aca="false">(0)*(1+$B$7*0.4)+B17</f>
        <v>0</v>
      </c>
      <c r="C18" s="22" t="n">
        <f aca="false">(B18)*(1+$B$7*0.4)+C17</f>
        <v>1487.965448</v>
      </c>
      <c r="D18" s="22" t="n">
        <f aca="false">(C18)*(1+$B$7*0.4)+D17</f>
        <v>4449.991054704</v>
      </c>
      <c r="E18" s="22" t="n">
        <f aca="false">(D18)*(1+$B$7*0.4)+E17</f>
        <v>8742.59233994469</v>
      </c>
      <c r="F18" s="22" t="n">
        <f aca="false">(E18)*(1+$B$7*0.4)+F17</f>
        <v>14122.2622648258</v>
      </c>
      <c r="G18" s="22" t="n">
        <f aca="false">(F18)*(1+$B$7*0.4)+G17</f>
        <v>20755.9797908972</v>
      </c>
      <c r="H18" s="22" t="n">
        <f aca="false">(G18)*(1+$B$7*0.4)+H17</f>
        <v>28743.1004527822</v>
      </c>
      <c r="I18" s="22" t="n">
        <f aca="false">(H18)*(1+$B$7*0.4)+I17</f>
        <v>38188.9070085657</v>
      </c>
      <c r="J18" s="22" t="n">
        <f aca="false">(I18)*(1+$B$7*0.4)+J17</f>
        <v>49411.8912541316</v>
      </c>
      <c r="K18" s="22" t="n">
        <f aca="false">(J18)*(1+$B$7*0.4)+K17</f>
        <v>62121.9738784786</v>
      </c>
      <c r="L18" s="22" t="n">
        <f aca="false">(K18)*(1+$B$7*0.4)+L17</f>
        <v>77514.939595496</v>
      </c>
      <c r="M18" s="22" t="n">
        <f aca="false">(L18)*(1+$B$7*0.4)+M17</f>
        <v>95358.2640874286</v>
      </c>
      <c r="N18" s="22" t="n">
        <f aca="false">(M18)*(1+$B$7*0.4)+N17</f>
        <v>115838.479949614</v>
      </c>
      <c r="O18" s="22" t="n">
        <f aca="false">(N18)*(1+$B$7*0.4)+O17</f>
        <v>139635.124806239</v>
      </c>
      <c r="P18" s="22" t="n">
        <f aca="false">(O18)*(1+$B$7*0.4)+P17</f>
        <v>167004.543247198</v>
      </c>
      <c r="R18" s="10" t="s">
        <v>155</v>
      </c>
    </row>
    <row r="19" customFormat="false" ht="45.75" hidden="false" customHeight="true" outlineLevel="0" collapsed="false">
      <c r="A19" s="14" t="s">
        <v>156</v>
      </c>
      <c r="B19" s="23" t="n">
        <f aca="false">0+B15</f>
        <v>641.172</v>
      </c>
      <c r="C19" s="23" t="n">
        <f aca="false">B19+C15</f>
        <v>8141.172</v>
      </c>
      <c r="D19" s="23" t="n">
        <f aca="false">C19+D15</f>
        <v>15641.172</v>
      </c>
      <c r="E19" s="23" t="n">
        <f aca="false">D19+E15</f>
        <v>23141.172</v>
      </c>
      <c r="F19" s="23" t="n">
        <f aca="false">E19+F15</f>
        <v>30641.172</v>
      </c>
      <c r="G19" s="23" t="n">
        <f aca="false">F19+G15</f>
        <v>38141.172</v>
      </c>
      <c r="H19" s="23" t="n">
        <f aca="false">G19+H15</f>
        <v>45641.172</v>
      </c>
      <c r="I19" s="23" t="n">
        <f aca="false">H19+I15</f>
        <v>53141.172</v>
      </c>
      <c r="J19" s="23" t="n">
        <f aca="false">I19+J15</f>
        <v>60641.172</v>
      </c>
      <c r="K19" s="23" t="n">
        <f aca="false">J19+K15</f>
        <v>68141.172</v>
      </c>
      <c r="L19" s="23" t="n">
        <f aca="false">K19+L15</f>
        <v>75641.172</v>
      </c>
      <c r="M19" s="23" t="n">
        <f aca="false">L19+M15</f>
        <v>83141.172</v>
      </c>
      <c r="N19" s="23" t="n">
        <f aca="false">M19+N15</f>
        <v>90641.172</v>
      </c>
      <c r="O19" s="23" t="n">
        <f aca="false">N19+O15</f>
        <v>98141.172</v>
      </c>
      <c r="P19" s="23" t="n">
        <f aca="false">O19+P15</f>
        <v>105641.172</v>
      </c>
      <c r="R19" s="10" t="s">
        <v>157</v>
      </c>
    </row>
    <row r="20" customFormat="false" ht="15" hidden="false" customHeight="false" outlineLevel="0" collapsed="false">
      <c r="A20" s="35" t="s">
        <v>158</v>
      </c>
      <c r="B20" s="36" t="n">
        <f aca="false">B18+B19</f>
        <v>641.172</v>
      </c>
      <c r="C20" s="36" t="n">
        <f aca="false">C18+C19</f>
        <v>9629.137448</v>
      </c>
      <c r="D20" s="36" t="n">
        <f aca="false">D18+D19</f>
        <v>20091.163054704</v>
      </c>
      <c r="E20" s="36" t="n">
        <f aca="false">E18+E19</f>
        <v>31883.7643399447</v>
      </c>
      <c r="F20" s="36" t="n">
        <f aca="false">F18+F19</f>
        <v>44763.4342648258</v>
      </c>
      <c r="G20" s="36" t="n">
        <f aca="false">G18+G19</f>
        <v>58897.1517908972</v>
      </c>
      <c r="H20" s="36" t="n">
        <f aca="false">H18+H19</f>
        <v>74384.2724527822</v>
      </c>
      <c r="I20" s="36" t="n">
        <f aca="false">I18+I19</f>
        <v>91330.0790085657</v>
      </c>
      <c r="J20" s="36" t="n">
        <f aca="false">J18+J19</f>
        <v>110053.063254132</v>
      </c>
      <c r="K20" s="36" t="n">
        <f aca="false">K18+K19</f>
        <v>130263.145878479</v>
      </c>
      <c r="L20" s="36" t="n">
        <f aca="false">L18+L19</f>
        <v>153156.111595496</v>
      </c>
      <c r="M20" s="36" t="n">
        <f aca="false">M18+M19</f>
        <v>178499.436087429</v>
      </c>
      <c r="N20" s="36" t="n">
        <f aca="false">N18+N19</f>
        <v>206479.651949614</v>
      </c>
      <c r="O20" s="36" t="n">
        <f aca="false">O18+O19</f>
        <v>237776.296806239</v>
      </c>
      <c r="P20" s="36" t="n">
        <f aca="false">P18+P19</f>
        <v>272645.715247198</v>
      </c>
      <c r="R20" s="16" t="s">
        <v>159</v>
      </c>
    </row>
    <row r="22" customFormat="false" ht="36" hidden="false" customHeight="true" outlineLevel="0" collapsed="false">
      <c r="A22" s="37" t="s">
        <v>160</v>
      </c>
      <c r="B22" s="37"/>
      <c r="C22" s="37"/>
      <c r="D22" s="37"/>
      <c r="E22" s="37"/>
      <c r="F22" s="37"/>
      <c r="G22" s="37"/>
      <c r="H22" s="37"/>
      <c r="I22" s="37"/>
      <c r="J22" s="37"/>
      <c r="K22" s="37"/>
      <c r="L22" s="37"/>
      <c r="M22" s="37"/>
      <c r="N22" s="37"/>
      <c r="O22" s="37"/>
      <c r="P22" s="37"/>
      <c r="Q22" s="37"/>
      <c r="R22" s="37"/>
    </row>
    <row r="23" customFormat="false" ht="36" hidden="false" customHeight="true" outlineLevel="0" collapsed="false">
      <c r="A23" s="37" t="s">
        <v>161</v>
      </c>
      <c r="B23" s="37"/>
      <c r="C23" s="37"/>
      <c r="D23" s="37"/>
      <c r="E23" s="37"/>
      <c r="F23" s="37"/>
      <c r="G23" s="37"/>
      <c r="H23" s="37"/>
      <c r="I23" s="37"/>
      <c r="J23" s="37"/>
      <c r="K23" s="37"/>
      <c r="L23" s="37"/>
      <c r="M23" s="37"/>
      <c r="N23" s="37"/>
      <c r="O23" s="37"/>
      <c r="P23" s="37"/>
      <c r="Q23" s="37"/>
      <c r="R23" s="37"/>
    </row>
    <row r="24" customFormat="false" ht="36" hidden="false" customHeight="true" outlineLevel="0" collapsed="false">
      <c r="A24" s="37" t="s">
        <v>162</v>
      </c>
      <c r="B24" s="37"/>
      <c r="C24" s="37"/>
      <c r="D24" s="37"/>
      <c r="E24" s="37"/>
      <c r="F24" s="37"/>
      <c r="G24" s="37"/>
      <c r="H24" s="37"/>
      <c r="I24" s="37"/>
      <c r="J24" s="37"/>
      <c r="K24" s="37"/>
      <c r="L24" s="37"/>
      <c r="M24" s="37"/>
      <c r="N24" s="37"/>
      <c r="O24" s="37"/>
      <c r="P24" s="37"/>
      <c r="Q24" s="37"/>
      <c r="R24" s="37"/>
    </row>
    <row r="25" customFormat="false" ht="36" hidden="false" customHeight="true" outlineLevel="0" collapsed="false">
      <c r="A25" s="37" t="s">
        <v>163</v>
      </c>
      <c r="B25" s="37"/>
      <c r="C25" s="37"/>
      <c r="D25" s="37"/>
      <c r="E25" s="37"/>
      <c r="F25" s="37"/>
      <c r="G25" s="37"/>
      <c r="H25" s="37"/>
      <c r="I25" s="37"/>
      <c r="J25" s="37"/>
      <c r="K25" s="37"/>
      <c r="L25" s="37"/>
      <c r="M25" s="37"/>
      <c r="N25" s="37"/>
      <c r="O25" s="37"/>
      <c r="P25" s="37"/>
      <c r="Q25" s="37"/>
      <c r="R25" s="37"/>
    </row>
    <row r="26" customFormat="false" ht="24" hidden="false" customHeight="true" outlineLevel="0" collapsed="false">
      <c r="A26" s="37" t="s">
        <v>164</v>
      </c>
      <c r="B26" s="37"/>
      <c r="C26" s="37"/>
      <c r="D26" s="37"/>
      <c r="E26" s="37"/>
      <c r="F26" s="37"/>
      <c r="G26" s="37"/>
      <c r="H26" s="37"/>
      <c r="I26" s="37"/>
      <c r="J26" s="37"/>
      <c r="K26" s="37"/>
      <c r="L26" s="37"/>
      <c r="M26" s="37"/>
      <c r="N26" s="37"/>
      <c r="O26" s="37"/>
      <c r="P26" s="37"/>
      <c r="Q26" s="37"/>
      <c r="R26" s="37"/>
    </row>
  </sheetData>
  <sheetProtection sheet="true" password="dede" formatCells="false" formatColumns="false" formatRows="false"/>
  <mergeCells count="5">
    <mergeCell ref="A22:R22"/>
    <mergeCell ref="A23:R23"/>
    <mergeCell ref="A24:R24"/>
    <mergeCell ref="A25:R25"/>
    <mergeCell ref="A26:R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6"/>
    <col collapsed="false" customWidth="true" hidden="false" outlineLevel="0" max="3" min="3" style="0" width="78"/>
  </cols>
  <sheetData>
    <row r="1" customFormat="false" ht="17.35" hidden="false" customHeight="false" outlineLevel="0" collapsed="false">
      <c r="A1" s="6" t="s">
        <v>165</v>
      </c>
    </row>
    <row r="2" customFormat="false" ht="15" hidden="false" customHeight="false" outlineLevel="0" collapsed="false">
      <c r="A2" s="7" t="s">
        <v>166</v>
      </c>
    </row>
    <row r="4" customFormat="false" ht="15" hidden="false" customHeight="false" outlineLevel="0" collapsed="false">
      <c r="A4" s="8" t="s">
        <v>167</v>
      </c>
      <c r="B4" s="8" t="s">
        <v>168</v>
      </c>
      <c r="C4" s="8" t="s">
        <v>169</v>
      </c>
    </row>
    <row r="5" customFormat="false" ht="39" hidden="false" customHeight="true" outlineLevel="0" collapsed="false">
      <c r="A5" s="3" t="s">
        <v>170</v>
      </c>
      <c r="B5" s="9" t="s">
        <v>171</v>
      </c>
      <c r="C5" s="10" t="s">
        <v>172</v>
      </c>
    </row>
    <row r="6" customFormat="false" ht="39" hidden="false" customHeight="true" outlineLevel="0" collapsed="false">
      <c r="A6" s="3" t="s">
        <v>173</v>
      </c>
      <c r="B6" s="9" t="s">
        <v>174</v>
      </c>
      <c r="C6" s="10" t="s">
        <v>175</v>
      </c>
    </row>
    <row r="7" customFormat="false" ht="39" hidden="false" customHeight="true" outlineLevel="0" collapsed="false">
      <c r="A7" s="3" t="s">
        <v>176</v>
      </c>
      <c r="B7" s="9" t="s">
        <v>177</v>
      </c>
      <c r="C7" s="10" t="s">
        <v>178</v>
      </c>
    </row>
    <row r="8" customFormat="false" ht="39" hidden="false" customHeight="true" outlineLevel="0" collapsed="false">
      <c r="A8" s="3" t="s">
        <v>179</v>
      </c>
      <c r="B8" s="9" t="s">
        <v>180</v>
      </c>
      <c r="C8" s="10" t="s">
        <v>181</v>
      </c>
    </row>
    <row r="9" customFormat="false" ht="39" hidden="false" customHeight="true" outlineLevel="0" collapsed="false">
      <c r="A9" s="3" t="s">
        <v>182</v>
      </c>
      <c r="B9" s="9" t="s">
        <v>183</v>
      </c>
      <c r="C9" s="10" t="s">
        <v>184</v>
      </c>
    </row>
    <row r="10" customFormat="false" ht="39" hidden="false" customHeight="true" outlineLevel="0" collapsed="false">
      <c r="A10" s="3" t="s">
        <v>185</v>
      </c>
      <c r="B10" s="9" t="s">
        <v>186</v>
      </c>
      <c r="C10" s="10" t="s">
        <v>187</v>
      </c>
    </row>
    <row r="12" customFormat="false" ht="15" hidden="false" customHeight="false" outlineLevel="0" collapsed="false">
      <c r="A12" s="27" t="s">
        <v>188</v>
      </c>
      <c r="B12" s="28"/>
      <c r="C12" s="28"/>
    </row>
    <row r="13" customFormat="false" ht="12.75" hidden="false" customHeight="true" outlineLevel="0" collapsed="false">
      <c r="A13" s="38" t="s">
        <v>189</v>
      </c>
      <c r="B13" s="38"/>
      <c r="C13" s="38"/>
    </row>
    <row r="14" customFormat="false" ht="12.75" hidden="false" customHeight="true" outlineLevel="0" collapsed="false">
      <c r="A14" s="38" t="s">
        <v>190</v>
      </c>
      <c r="B14" s="38"/>
      <c r="C14" s="38"/>
    </row>
    <row r="15" customFormat="false" ht="12.75" hidden="false" customHeight="true" outlineLevel="0" collapsed="false">
      <c r="A15" s="38" t="s">
        <v>191</v>
      </c>
      <c r="B15" s="38"/>
      <c r="C15" s="38"/>
    </row>
    <row r="16" customFormat="false" ht="12.75" hidden="false" customHeight="true" outlineLevel="0" collapsed="false">
      <c r="A16" s="38" t="s">
        <v>192</v>
      </c>
      <c r="B16" s="38"/>
      <c r="C16" s="38"/>
    </row>
    <row r="17" customFormat="false" ht="12.75" hidden="false" customHeight="true" outlineLevel="0" collapsed="false">
      <c r="A17" s="38" t="s">
        <v>193</v>
      </c>
      <c r="B17" s="38"/>
      <c r="C17" s="38"/>
    </row>
    <row r="18" customFormat="false" ht="25.5" hidden="false" customHeight="true" outlineLevel="0" collapsed="false">
      <c r="A18" s="38" t="s">
        <v>194</v>
      </c>
      <c r="B18" s="38"/>
      <c r="C18" s="38"/>
    </row>
    <row r="19" customFormat="false" ht="25.5" hidden="false" customHeight="true" outlineLevel="0" collapsed="false">
      <c r="A19" s="38" t="s">
        <v>195</v>
      </c>
      <c r="B19" s="38"/>
      <c r="C19" s="38"/>
    </row>
  </sheetData>
  <sheetProtection sheet="true" password="dede" formatCells="false" formatColumns="false" formatRows="false"/>
  <mergeCells count="7">
    <mergeCell ref="A13:C13"/>
    <mergeCell ref="A14:C14"/>
    <mergeCell ref="A15:C15"/>
    <mergeCell ref="A16:C16"/>
    <mergeCell ref="A17:C17"/>
    <mergeCell ref="A18:C18"/>
    <mergeCell ref="A19:C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4"/>
    <col collapsed="false" customWidth="true" hidden="false" outlineLevel="0" max="7" min="4" style="0" width="13"/>
    <col collapsed="false" customWidth="true" hidden="false" outlineLevel="0" max="8" min="8" style="0" width="62"/>
  </cols>
  <sheetData>
    <row r="1" customFormat="false" ht="17.35" hidden="false" customHeight="false" outlineLevel="0" collapsed="false">
      <c r="A1" s="6" t="s">
        <v>196</v>
      </c>
    </row>
    <row r="2" customFormat="false" ht="15" hidden="false" customHeight="false" outlineLevel="0" collapsed="false">
      <c r="A2" s="7" t="s">
        <v>197</v>
      </c>
    </row>
    <row r="4" customFormat="false" ht="25.5" hidden="false" customHeight="true" outlineLevel="0" collapsed="false">
      <c r="A4" s="18" t="s">
        <v>198</v>
      </c>
      <c r="B4" s="18" t="s">
        <v>199</v>
      </c>
      <c r="C4" s="18" t="s">
        <v>200</v>
      </c>
      <c r="D4" s="18" t="s">
        <v>201</v>
      </c>
      <c r="E4" s="18" t="s">
        <v>202</v>
      </c>
      <c r="F4" s="18" t="s">
        <v>203</v>
      </c>
      <c r="G4" s="18" t="s">
        <v>204</v>
      </c>
      <c r="H4" s="18" t="s">
        <v>205</v>
      </c>
    </row>
    <row r="5" customFormat="false" ht="78" hidden="false" customHeight="true" outlineLevel="0" collapsed="false">
      <c r="A5" s="11" t="s">
        <v>206</v>
      </c>
      <c r="B5" s="12" t="s">
        <v>207</v>
      </c>
      <c r="C5" s="12" t="s">
        <v>208</v>
      </c>
      <c r="D5" s="12" t="s">
        <v>209</v>
      </c>
      <c r="E5" s="12" t="s">
        <v>210</v>
      </c>
      <c r="F5" s="12" t="s">
        <v>211</v>
      </c>
      <c r="G5" s="12" t="s">
        <v>212</v>
      </c>
      <c r="H5" s="39" t="s">
        <v>213</v>
      </c>
    </row>
    <row r="6" customFormat="false" ht="78" hidden="false" customHeight="true" outlineLevel="0" collapsed="false">
      <c r="A6" s="11" t="s">
        <v>214</v>
      </c>
      <c r="B6" s="12" t="s">
        <v>215</v>
      </c>
      <c r="C6" s="12" t="s">
        <v>216</v>
      </c>
      <c r="D6" s="12" t="s">
        <v>217</v>
      </c>
      <c r="E6" s="12" t="s">
        <v>218</v>
      </c>
      <c r="F6" s="12" t="s">
        <v>211</v>
      </c>
      <c r="G6" s="12" t="s">
        <v>219</v>
      </c>
      <c r="H6" s="39" t="s">
        <v>220</v>
      </c>
    </row>
    <row r="7" customFormat="false" ht="39" hidden="false" customHeight="true" outlineLevel="0" collapsed="false">
      <c r="A7" s="3" t="s">
        <v>221</v>
      </c>
      <c r="B7" s="9" t="s">
        <v>222</v>
      </c>
      <c r="C7" s="9" t="s">
        <v>223</v>
      </c>
      <c r="D7" s="9" t="s">
        <v>224</v>
      </c>
      <c r="E7" s="9" t="s">
        <v>223</v>
      </c>
      <c r="F7" s="9" t="s">
        <v>210</v>
      </c>
      <c r="G7" s="9" t="s">
        <v>225</v>
      </c>
      <c r="H7" s="25" t="s">
        <v>226</v>
      </c>
    </row>
    <row r="8" customFormat="false" ht="25.5" hidden="false" customHeight="true" outlineLevel="0" collapsed="false">
      <c r="A8" s="3" t="s">
        <v>227</v>
      </c>
      <c r="B8" s="9" t="s">
        <v>228</v>
      </c>
      <c r="C8" s="9" t="s">
        <v>229</v>
      </c>
      <c r="D8" s="9" t="s">
        <v>224</v>
      </c>
      <c r="E8" s="9" t="s">
        <v>223</v>
      </c>
      <c r="F8" s="9" t="s">
        <v>210</v>
      </c>
      <c r="G8" s="9" t="s">
        <v>225</v>
      </c>
      <c r="H8" s="25" t="s">
        <v>230</v>
      </c>
    </row>
    <row r="9" customFormat="false" ht="25.5" hidden="false" customHeight="true" outlineLevel="0" collapsed="false">
      <c r="A9" s="3" t="s">
        <v>231</v>
      </c>
      <c r="B9" s="9" t="s">
        <v>232</v>
      </c>
      <c r="C9" s="9" t="s">
        <v>233</v>
      </c>
      <c r="D9" s="9" t="s">
        <v>228</v>
      </c>
      <c r="E9" s="9" t="s">
        <v>223</v>
      </c>
      <c r="F9" s="9" t="s">
        <v>210</v>
      </c>
      <c r="G9" s="9" t="s">
        <v>225</v>
      </c>
      <c r="H9" s="25" t="s">
        <v>234</v>
      </c>
    </row>
    <row r="10" customFormat="false" ht="25.5" hidden="false" customHeight="true" outlineLevel="0" collapsed="false">
      <c r="A10" s="3" t="s">
        <v>235</v>
      </c>
      <c r="B10" s="9" t="s">
        <v>210</v>
      </c>
      <c r="C10" s="9" t="s">
        <v>236</v>
      </c>
      <c r="D10" s="9" t="s">
        <v>237</v>
      </c>
      <c r="E10" s="9" t="s">
        <v>232</v>
      </c>
      <c r="F10" s="9" t="s">
        <v>228</v>
      </c>
      <c r="G10" s="9" t="s">
        <v>225</v>
      </c>
      <c r="H10" s="25" t="s">
        <v>238</v>
      </c>
    </row>
    <row r="11" customFormat="false" ht="25.5" hidden="false" customHeight="true" outlineLevel="0" collapsed="false">
      <c r="A11" s="3" t="s">
        <v>239</v>
      </c>
      <c r="B11" s="9" t="s">
        <v>228</v>
      </c>
      <c r="C11" s="9" t="s">
        <v>240</v>
      </c>
      <c r="D11" s="9" t="s">
        <v>224</v>
      </c>
      <c r="E11" s="9" t="s">
        <v>210</v>
      </c>
      <c r="F11" s="9" t="s">
        <v>210</v>
      </c>
      <c r="G11" s="9" t="s">
        <v>225</v>
      </c>
      <c r="H11" s="25" t="s">
        <v>241</v>
      </c>
    </row>
    <row r="12" customFormat="false" ht="25.5" hidden="false" customHeight="true" outlineLevel="0" collapsed="false">
      <c r="A12" s="3" t="s">
        <v>242</v>
      </c>
      <c r="B12" s="9" t="s">
        <v>232</v>
      </c>
      <c r="C12" s="9" t="s">
        <v>243</v>
      </c>
      <c r="D12" s="9" t="s">
        <v>244</v>
      </c>
      <c r="E12" s="9" t="s">
        <v>245</v>
      </c>
      <c r="F12" s="9" t="s">
        <v>228</v>
      </c>
      <c r="G12" s="9" t="s">
        <v>225</v>
      </c>
      <c r="H12" s="25" t="s">
        <v>246</v>
      </c>
    </row>
    <row r="13" customFormat="false" ht="78" hidden="false" customHeight="true" outlineLevel="0" collapsed="false">
      <c r="A13" s="40" t="s">
        <v>247</v>
      </c>
      <c r="B13" s="41" t="s">
        <v>248</v>
      </c>
      <c r="C13" s="41" t="s">
        <v>249</v>
      </c>
      <c r="D13" s="41" t="s">
        <v>250</v>
      </c>
      <c r="E13" s="41" t="s">
        <v>232</v>
      </c>
      <c r="F13" s="41" t="s">
        <v>251</v>
      </c>
      <c r="G13" s="41" t="s">
        <v>252</v>
      </c>
      <c r="H13" s="42" t="s">
        <v>253</v>
      </c>
    </row>
    <row r="15" customFormat="false" ht="15" hidden="false" customHeight="false" outlineLevel="0" collapsed="false">
      <c r="A15" s="27" t="s">
        <v>254</v>
      </c>
      <c r="B15" s="28"/>
      <c r="C15" s="28"/>
      <c r="D15" s="28"/>
      <c r="E15" s="28"/>
      <c r="F15" s="28"/>
      <c r="G15" s="28"/>
      <c r="H15" s="28"/>
    </row>
    <row r="16" customFormat="false" ht="15" hidden="false" customHeight="false" outlineLevel="0" collapsed="false">
      <c r="A16" s="8" t="s">
        <v>255</v>
      </c>
      <c r="B16" s="8" t="s">
        <v>210</v>
      </c>
      <c r="C16" s="8" t="s">
        <v>232</v>
      </c>
    </row>
    <row r="17" customFormat="false" ht="15" hidden="false" customHeight="false" outlineLevel="0" collapsed="false">
      <c r="A17" s="14" t="s">
        <v>256</v>
      </c>
      <c r="B17" s="30" t="n">
        <v>18000</v>
      </c>
      <c r="C17" s="30" t="n">
        <v>30000</v>
      </c>
    </row>
    <row r="18" customFormat="false" ht="15" hidden="false" customHeight="false" outlineLevel="0" collapsed="false">
      <c r="A18" s="14" t="s">
        <v>257</v>
      </c>
      <c r="B18" s="30" t="n">
        <v>7000</v>
      </c>
      <c r="C18" s="30" t="n">
        <v>12000</v>
      </c>
    </row>
    <row r="19" customFormat="false" ht="15" hidden="false" customHeight="false" outlineLevel="0" collapsed="false">
      <c r="A19" s="14" t="s">
        <v>258</v>
      </c>
      <c r="B19" s="30" t="n">
        <v>28000</v>
      </c>
      <c r="C19" s="30" t="n">
        <v>38000</v>
      </c>
    </row>
    <row r="20" customFormat="false" ht="15" hidden="false" customHeight="false" outlineLevel="0" collapsed="false">
      <c r="A20" s="14" t="s">
        <v>259</v>
      </c>
      <c r="B20" s="30" t="n">
        <v>4000</v>
      </c>
      <c r="C20" s="30" t="n">
        <v>9000</v>
      </c>
    </row>
    <row r="21" customFormat="false" ht="15" hidden="false" customHeight="false" outlineLevel="0" collapsed="false">
      <c r="A21" s="14" t="s">
        <v>260</v>
      </c>
      <c r="B21" s="30" t="n">
        <v>4000</v>
      </c>
      <c r="C21" s="30" t="n">
        <v>7000</v>
      </c>
    </row>
    <row r="22" customFormat="false" ht="15" hidden="false" customHeight="false" outlineLevel="0" collapsed="false">
      <c r="A22" s="14" t="s">
        <v>261</v>
      </c>
      <c r="B22" s="30" t="n">
        <v>3000</v>
      </c>
      <c r="C22" s="30" t="n">
        <v>5000</v>
      </c>
    </row>
    <row r="23" customFormat="false" ht="15" hidden="false" customHeight="false" outlineLevel="0" collapsed="false">
      <c r="A23" s="14" t="s">
        <v>262</v>
      </c>
      <c r="B23" s="30" t="n">
        <v>10000</v>
      </c>
      <c r="C23" s="30" t="n">
        <v>20000</v>
      </c>
    </row>
    <row r="24" customFormat="false" ht="15" hidden="false" customHeight="false" outlineLevel="0" collapsed="false">
      <c r="A24" s="35" t="s">
        <v>263</v>
      </c>
      <c r="B24" s="36" t="n">
        <f aca="false">SUM(B17:B23)</f>
        <v>74000</v>
      </c>
      <c r="C24" s="36" t="n">
        <f aca="false">SUM(C17:C23)</f>
        <v>121000</v>
      </c>
      <c r="E24" s="16" t="s">
        <v>264</v>
      </c>
    </row>
    <row r="26" customFormat="false" ht="36" hidden="false" customHeight="true" outlineLevel="0" collapsed="false">
      <c r="A26" s="37" t="s">
        <v>265</v>
      </c>
      <c r="B26" s="37"/>
      <c r="C26" s="37"/>
      <c r="D26" s="37"/>
      <c r="E26" s="37"/>
      <c r="F26" s="37"/>
      <c r="G26" s="37"/>
      <c r="H26" s="37"/>
    </row>
    <row r="27" customFormat="false" ht="24" hidden="false" customHeight="true" outlineLevel="0" collapsed="false">
      <c r="A27" s="37" t="s">
        <v>266</v>
      </c>
      <c r="B27" s="37"/>
      <c r="C27" s="37"/>
      <c r="D27" s="37"/>
      <c r="E27" s="37"/>
      <c r="F27" s="37"/>
      <c r="G27" s="37"/>
      <c r="H27" s="37"/>
    </row>
    <row r="28" customFormat="false" ht="36" hidden="false" customHeight="true" outlineLevel="0" collapsed="false">
      <c r="A28" s="37" t="s">
        <v>267</v>
      </c>
      <c r="B28" s="37"/>
      <c r="C28" s="37"/>
      <c r="D28" s="37"/>
      <c r="E28" s="37"/>
      <c r="F28" s="37"/>
      <c r="G28" s="37"/>
      <c r="H28" s="37"/>
    </row>
    <row r="29" customFormat="false" ht="24" hidden="false" customHeight="true" outlineLevel="0" collapsed="false">
      <c r="A29" s="37" t="s">
        <v>268</v>
      </c>
      <c r="B29" s="37"/>
      <c r="C29" s="37"/>
      <c r="D29" s="37"/>
      <c r="E29" s="37"/>
      <c r="F29" s="37"/>
      <c r="G29" s="37"/>
      <c r="H29" s="37"/>
    </row>
  </sheetData>
  <sheetProtection sheet="true" password="dede" formatCells="false" formatColumns="false" formatRows="false"/>
  <mergeCells count="4">
    <mergeCell ref="A26:H26"/>
    <mergeCell ref="A27:H27"/>
    <mergeCell ref="A28:H28"/>
    <mergeCell ref="A29:H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2"/>
  </cols>
  <sheetData>
    <row r="1" customFormat="false" ht="17.35" hidden="false" customHeight="false" outlineLevel="0" collapsed="false">
      <c r="A1" s="6" t="s">
        <v>269</v>
      </c>
    </row>
    <row r="3" customFormat="false" ht="12.75" hidden="false" customHeight="true" outlineLevel="0" collapsed="false">
      <c r="A3" s="4" t="s">
        <v>270</v>
      </c>
    </row>
    <row r="4" customFormat="false" ht="90.75" hidden="false" customHeight="true" outlineLevel="0" collapsed="false">
      <c r="A4" s="2" t="s">
        <v>271</v>
      </c>
    </row>
    <row r="5" customFormat="false" ht="15" hidden="false" customHeight="false" outlineLevel="0" collapsed="false">
      <c r="A5" s="2"/>
    </row>
    <row r="6" customFormat="false" ht="12.75" hidden="false" customHeight="true" outlineLevel="0" collapsed="false">
      <c r="A6" s="4" t="s">
        <v>272</v>
      </c>
    </row>
    <row r="7" customFormat="false" ht="64.5" hidden="false" customHeight="true" outlineLevel="0" collapsed="false">
      <c r="A7" s="2" t="s">
        <v>273</v>
      </c>
    </row>
    <row r="8" customFormat="false" ht="15" hidden="false" customHeight="false" outlineLevel="0" collapsed="false">
      <c r="A8" s="2"/>
    </row>
    <row r="9" customFormat="false" ht="12.75" hidden="false" customHeight="true" outlineLevel="0" collapsed="false">
      <c r="A9" s="4" t="s">
        <v>274</v>
      </c>
    </row>
    <row r="10" customFormat="false" ht="51.75" hidden="false" customHeight="true" outlineLevel="0" collapsed="false">
      <c r="A10" s="2" t="s">
        <v>275</v>
      </c>
    </row>
    <row r="11" customFormat="false" ht="15" hidden="false" customHeight="false" outlineLevel="0" collapsed="false">
      <c r="A11" s="2"/>
    </row>
    <row r="12" customFormat="false" ht="12.75" hidden="false" customHeight="true" outlineLevel="0" collapsed="false">
      <c r="A12" s="4" t="s">
        <v>276</v>
      </c>
    </row>
    <row r="13" customFormat="false" ht="51.75" hidden="false" customHeight="true" outlineLevel="0" collapsed="false">
      <c r="A13" s="2" t="s">
        <v>277</v>
      </c>
    </row>
    <row r="14" customFormat="false" ht="15" hidden="false" customHeight="false" outlineLevel="0" collapsed="false">
      <c r="A14" s="2"/>
    </row>
    <row r="15" customFormat="false" ht="12.75" hidden="false" customHeight="true" outlineLevel="0" collapsed="false">
      <c r="A15" s="4" t="s">
        <v>278</v>
      </c>
    </row>
    <row r="16" customFormat="false" ht="25.5" hidden="false" customHeight="true" outlineLevel="0" collapsed="false">
      <c r="A16" s="2" t="s">
        <v>279</v>
      </c>
    </row>
    <row r="17" customFormat="false" ht="25.5" hidden="false" customHeight="true" outlineLevel="0" collapsed="false">
      <c r="A17" s="2" t="s">
        <v>280</v>
      </c>
    </row>
    <row r="18" customFormat="false" ht="25.5" hidden="false" customHeight="true" outlineLevel="0" collapsed="false">
      <c r="A18" s="2" t="s">
        <v>281</v>
      </c>
    </row>
    <row r="19" customFormat="false" ht="25.5" hidden="false" customHeight="true" outlineLevel="0" collapsed="false">
      <c r="A19" s="2" t="s">
        <v>282</v>
      </c>
    </row>
    <row r="20" customFormat="false" ht="15" hidden="false" customHeight="false" outlineLevel="0" collapsed="false">
      <c r="A20" s="2"/>
    </row>
    <row r="21" customFormat="false" ht="12.75" hidden="false" customHeight="true" outlineLevel="0" collapsed="false">
      <c r="A21" s="4" t="s">
        <v>283</v>
      </c>
    </row>
    <row r="22" customFormat="false" ht="51.75" hidden="false" customHeight="true" outlineLevel="0" collapsed="false">
      <c r="A22" s="2" t="s">
        <v>284</v>
      </c>
    </row>
    <row r="23" customFormat="false" ht="15" hidden="false" customHeight="false" outlineLevel="0" collapsed="false">
      <c r="A23" s="2"/>
    </row>
    <row r="24" customFormat="false" ht="12.75" hidden="false" customHeight="true" outlineLevel="0" collapsed="false">
      <c r="A24" s="4" t="s">
        <v>285</v>
      </c>
    </row>
    <row r="25" customFormat="false" ht="51.75" hidden="false" customHeight="true" outlineLevel="0" collapsed="false">
      <c r="A25" s="2" t="s">
        <v>286</v>
      </c>
    </row>
  </sheetData>
  <sheetProtection sheet="true" password="dede"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2026-09-17T05:12:13Z</dcterms:created>
  <dc:creator>openpyxl</dc:creator>
  <dc:description/>
  <dc:language>en-US</dc:language>
  <cp:lastModifiedBy/>
  <dcterms:modified xsi:type="dcterms:W3CDTF">2026-09-17T05:12:13Z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