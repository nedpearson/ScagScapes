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<sst xmlns="http://schemas.openxmlformats.org/spreadsheetml/2006/main" count="174" uniqueCount="160">
  <si>
    <t xml:space="preserve">Bryan Rogers - Chief Operating Officer</t>
  </si>
  <si>
    <t xml:space="preserve">Blue = change it. This file is yours alone - it contains nobody else's compensation, and nobody else's file contains yours.</t>
  </si>
  <si>
    <t xml:space="preserve">Base salary while revenue is under $1.5M ($/yr)</t>
  </si>
  <si>
    <t xml:space="preserve">BLS May 2025, Baton Rouge metro, General and Operations Managers: median $107,140, mean $136,200, 25th percentile $74,000. This sits just under the local median because that is what a two-crew company can carry.</t>
  </si>
  <si>
    <t xml:space="preserve">Base salary at $1.5M to $3M revenue ($/yr)</t>
  </si>
  <si>
    <t xml:space="preserve">Roughly the Baton Rouge metro mean for the occupation.</t>
  </si>
  <si>
    <t xml:space="preserve">Base salary at $3M to $6M revenue ($/yr)</t>
  </si>
  <si>
    <t xml:space="preserve">Between the local mean and the 75th percentile ($167,430). At this size it is a genuinely different job.</t>
  </si>
  <si>
    <t xml:space="preserve">Base salary above $6M revenue ($/yr)</t>
  </si>
  <si>
    <t xml:space="preserve">Approaching the CFMA survey band for a construction Operations Manager, though those respondents are much larger contractors.</t>
  </si>
  <si>
    <t xml:space="preserve">Target bonus (% of base)</t>
  </si>
  <si>
    <t xml:space="preserve">20-30% is the norm for a COO. Tied to gross profit per crew-day, job margin, callbacks and crews staffed - deliberately NOT to net profit, which the owner controls through discretionary spending.</t>
  </si>
  <si>
    <t xml:space="preserve">Share of the bonus actually earned (1.0 = full target)</t>
  </si>
  <si>
    <t xml:space="preserve">Drop it to 0.7 or 0.5 to see a year where the targets are missed.</t>
  </si>
  <si>
    <t xml:space="preserve">Equity granted (% of the company)</t>
  </si>
  <si>
    <t xml:space="preserve">Recruited COOs in venture-backed companies get 1-5%, but that band does not fit a cash-flow business with no exit in sight. An operating partner who sells a business to join sits at 10-25%. This is judgment, not survey data, and it is the most negotiable number here.</t>
  </si>
  <si>
    <t xml:space="preserve">Years to fully vest</t>
  </si>
  <si>
    <t xml:space="preserve">Four years with a one-year cliff. Nothing at all vests if you leave inside twelve months.</t>
  </si>
  <si>
    <t xml:space="preserve">The hurdle - what the company is worth the day you start ($)</t>
  </si>
  <si>
    <t xml:space="preserve">Written as a profits interest, so it pays on growth from your start date and nothing on what Charlie already built. That is what makes it untaxed at grant.</t>
  </si>
  <si>
    <t xml:space="preserve">What the bar pays you today ($/yr)</t>
  </si>
  <si>
    <t xml:space="preserve">BizBuySell 2025: median seller's discretionary earnings for a bar was $128,375 on $800,000 of revenue - pre-tax and before debt service. REPLACE THIS WITH YOUR REAL NUMBER. The whole comparison turns on it.</t>
  </si>
  <si>
    <t xml:space="preserve">Share of full-time you work today (%)</t>
  </si>
  <si>
    <t xml:space="preserve">About three days a week while the bar is still yours. Salary and bonus below are scaled by this until the year you go full-time.</t>
  </si>
  <si>
    <t xml:space="preserve">Year you go full-time (1-15)</t>
  </si>
  <si>
    <t xml:space="preserve">The year the bar is sold or handed off and you are at 100%. Change it if that timeline moves.</t>
  </si>
  <si>
    <t xml:space="preserve">What you earn, year by year</t>
  </si>
  <si>
    <t xml:space="preserve">Every figure is a formula off your own inputs and the locked company snapshot.</t>
  </si>
  <si>
    <t xml:space="preserve">Year</t>
  </si>
  <si>
    <t xml:space="preserve">Notes</t>
  </si>
  <si>
    <t xml:space="preserve">Company revenue</t>
  </si>
  <si>
    <t xml:space="preserve">Base salary (steps with the size of the company, ramped while you still run the bar)</t>
  </si>
  <si>
    <t xml:space="preserve">The raise happens when the business gets there - and you are the person most able to make it get there. Scaled down to your actual share of full-time until the year you go full-time, set above.</t>
  </si>
  <si>
    <t xml:space="preserve">Bonus earned</t>
  </si>
  <si>
    <t xml:space="preserve">TOTAL CASH TO YOU</t>
  </si>
  <si>
    <t xml:space="preserve">Less the operations manager you replace</t>
  </si>
  <si>
    <t xml:space="preserve">The plan always intended to hire an operations manager once it hit three crews. You replace that hire, so your real cost to the business is lower than your package.</t>
  </si>
  <si>
    <t xml:space="preserve">NET COST OF YOU TO THE BUSINESS</t>
  </si>
  <si>
    <t xml:space="preserve">EQUITY - EARNED OVER TIME, NOT GIVEN ON DAY ONE</t>
  </si>
  <si>
    <t xml:space="preserve">Vested share of the grant</t>
  </si>
  <si>
    <t xml:space="preserve">One-year cliff, then a quarter a year. Unvested equity is forfeited on departure; vested equity is bought at the formula price on the Buyout tab.</t>
  </si>
  <si>
    <t xml:space="preserve">Equity you have actually earned (%)</t>
  </si>
  <si>
    <t xml:space="preserve">What the whole company is worth</t>
  </si>
  <si>
    <t xml:space="preserve">Value created since you joined</t>
  </si>
  <si>
    <t xml:space="preserve">WHAT YOUR STAKE IS WORTH</t>
  </si>
  <si>
    <t xml:space="preserve">AGAINST WHAT YOU ALREADY HAVE - THE ACTUAL DECISION</t>
  </si>
  <si>
    <t xml:space="preserve">What the bar pays you</t>
  </si>
  <si>
    <t xml:space="preserve">Grown at inflation. Replace the input with your real number.</t>
  </si>
  <si>
    <t xml:space="preserve">Cash difference that year</t>
  </si>
  <si>
    <t xml:space="preserve">Negative early. That is the honest shape of this - you take a pay cut to buy equity in something bigger.</t>
  </si>
  <si>
    <t xml:space="preserve">Cumulative cash difference</t>
  </si>
  <si>
    <t xml:space="preserve">CASH DIFFERENCE PLUS EQUITY EARNED</t>
  </si>
  <si>
    <t xml:space="preserve">The year this turns positive is the year the move has paid for itself. The bar's sale proceeds sit on top - that money is yours either way.</t>
  </si>
  <si>
    <t xml:space="preserve">Are you ahead yet?</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</si>
  <si>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</si>
  <si>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</si>
  <si>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</si>
  <si>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</si>
  <si>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</si>
  <si>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</si>
  <si>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</si>
  <si>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</si>
  <si>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</si>
  <si>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</si>
  <si>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Bryan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</si>
  <si>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</si>
  <si>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</si>
  <si>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</si>
  <si>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</si>
  <si>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</si>
  <si>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</si>
  <si>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 Only the VESTED portion is ever bought - that is what the vesting column above is for.</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</si>
  <si>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</si>
  <si>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</si>
  <si>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</si>
  <si>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</si>
  <si>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</si>
  <si>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</si>
  <si>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</si>
  <si>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</si>
  <si>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</si>
  <si>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</si>
  <si>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</si>
  <si>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</si>
  <si>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</si>
  <si>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</si>
  <si>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</si>
  <si>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</si>
  <si>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</si>
  <si>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</si>
  <si>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</si>
  <si>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</si>
  <si>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BRYAN OWES THE COMPANY</t>
  </si>
  <si>
    <t xml:space="preserve">The obligation</t>
  </si>
  <si>
    <t xml:space="preserve">What it actually means</t>
  </si>
  <si>
    <t xml:space="preserve">How we know it is being met</t>
  </si>
  <si>
    <t xml:space="preserve">Run the field</t>
  </si>
  <si>
    <t xml:space="preserve">Everything after a job is sold: scheduling, dispatch, crews, quality, equipment, purchasing. If it happens on a job site, it is yours.</t>
  </si>
  <si>
    <t xml:space="preserve">Weekly operating review. The measure is the baseline set in your first 90 days, improved - not an industry benchmark, because none exists for this work.</t>
  </si>
  <si>
    <t xml:space="preserve">Safety, and the competent-person programme</t>
  </si>
  <si>
    <t xml:space="preserve">OSHA 29 CFR 1926 Subpart P requires a designated competent person with authority to pull crews out of a trench. Build the programme, own the training records, own the daily inspections.</t>
  </si>
  <si>
    <t xml:space="preserve">Designations current, records kept, inspections logged. This one is a legal obligation, not a preference.</t>
  </si>
  <si>
    <t xml:space="preserve">Job costing</t>
  </si>
  <si>
    <t xml:space="preserve">Every finished job costed against its estimate - labour hours, machine hours, fuel, materials, dump fees - every week.</t>
  </si>
  <si>
    <t xml:space="preserve">A weekly job-cost report. Contractors do not fail because they cannot dig; they fail because they bid wrong and find out too late.</t>
  </si>
  <si>
    <t xml:space="preserve">Keep the crews</t>
  </si>
  <si>
    <t xml:space="preserve">Hire, train and retain foremen and laborers. Turnover is the most expensive line item that never appears on a P&amp;L.</t>
  </si>
  <si>
    <t xml:space="preserve">Turnover tracked against the baseline. Construction runs about 4.0% monthly separations against 3.6% for private industry overall.</t>
  </si>
  <si>
    <t xml:space="preserve">Full time and undivided</t>
  </si>
  <si>
    <t xml:space="preserve">This is the job, not one of the jobs. If the bar has not sold, it is being run by somebody else.</t>
  </si>
  <si>
    <t xml:space="preserve">Agreed in writing before the start date, including what happens if the bar takes longer to sell than expected.</t>
  </si>
  <si>
    <t xml:space="preserve">WHAT THE COMPANY OWES BRYAN</t>
  </si>
  <si>
    <t xml:space="preserve">Do not overrule you in front of a crew</t>
  </si>
  <si>
    <t xml:space="preserve">The single most common way this arrangement fails. If Charlie reverses a decision in front of the men, the crew learns who really decides, and every instruction afterwards routes around you. Disagreements happen away from the crew, every time.</t>
  </si>
  <si>
    <t xml:space="preserve">A standing rule, agreed out loud, with the right to call it out when it happens. This one belongs in writing more than anything else on this page.</t>
  </si>
  <si>
    <t xml:space="preserve">Written decision rights</t>
  </si>
  <si>
    <t xml:space="preserve">Your spending limit, your hiring authority, the discount floor below which pricing comes back to Charlie. Written once, at the start, so disagreements are procedural rather than personal.</t>
  </si>
  <si>
    <t xml:space="preserve">A one-page authority schedule, signed. Reviewed annually.</t>
  </si>
  <si>
    <t xml:space="preserve">Pay and equity on schedule</t>
  </si>
  <si>
    <t xml:space="preserve">Salary on the same day each month. The bonus calculated and paid within 90 days of year end. The equity granted when agreed, papered by an attorney, with the hurdle valued contemporaneously.</t>
  </si>
  <si>
    <t xml:space="preserve">Late or undocumented equity is a Step 2 event immediately. A promise of equity that is never papered is not equity.</t>
  </si>
  <si>
    <t xml:space="preserve">Let go of the work</t>
  </si>
  <si>
    <t xml:space="preserve">Charlie has done every one of these jobs himself for years and the instinct to take them back is muscle memory, not malice. Delegation has to be real, and it has to survive the first time you do something differently than he would.</t>
  </si>
  <si>
    <t xml:space="preserve">Reviewed every quarter: what has actually transferred, and what has quietly come back.</t>
  </si>
  <si>
    <t xml:space="preserve">Tell you the truth about money</t>
  </si>
  <si>
    <t xml:space="preserve">Full access to the numbers you are held accountable for. Nobody can be measured on a figure they are not allowed to see.</t>
  </si>
  <si>
    <t xml:space="preserve">Read access to job costing and the monthly P&amp;L from day one.</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</si>
  <si>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</si>
  <si>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</si>
  <si>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</si>
  <si>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</si>
  <si>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</si>
  <si>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</si>
  <si>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</si>
  <si>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</si>
  <si>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</si>
  <si>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</si>
  <si>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</si>
  <si>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</si>
  <si>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</si>
  <si>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</si>
  <si>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</si>
  <si>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</si>
  <si>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</si>
  <si>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</si>
  <si>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</si>
  <si>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</si>
  <si>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</si>
  <si>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</si>
  <si>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</si>
  <si>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</si>
  <si>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</si>
  <si>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A wilful safety violation, or falsifying a safety or inspection record. In trench work this is the one that can kill somebody.</t>
  </si>
  <si>
    <t xml:space="preserve">Working against the company: competing, or soliciting its customers or crews for somebody else.</t>
  </si>
  <si>
    <t xml:space="preserve">A criminal act that materially damages the business or its reputation.</t>
  </si>
  <si>
    <t xml:space="preserve">Complete and sustained abandonment of the role.</t>
  </si>
  <si>
    <t xml:space="preserve">Nothing else. A bad quarter, a wrong call, a clash with Charlie, or growth that did not arrive are NOT cause. They are Step 5, on good terms, at the formula price.</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</si>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</sst>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7"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39" hidden="false" customHeight="true" outlineLevel="0" collapsed="false">
      <c r="A4" s="4" t="s">
        <v>2</v>
      </c>
      <c r="B4" s="5" t="n">
        <v>95000</v>
      </c>
      <c r="C4" s="6" t="s">
        <v>3</v>
      </c>
    </row>
    <row r="5" customFormat="false" ht="12.75" hidden="false" customHeight="true" outlineLevel="0" collapsed="false">
      <c r="A5" s="4" t="s">
        <v>4</v>
      </c>
      <c r="B5" s="5" t="n">
        <v>120000</v>
      </c>
      <c r="C5" s="6" t="s">
        <v>5</v>
      </c>
    </row>
    <row r="6" customFormat="false" ht="25.5" hidden="false" customHeight="true" outlineLevel="0" collapsed="false">
      <c r="A6" s="4" t="s">
        <v>6</v>
      </c>
      <c r="B6" s="5" t="n">
        <v>155000</v>
      </c>
      <c r="C6" s="6" t="s">
        <v>7</v>
      </c>
    </row>
    <row r="7" customFormat="false" ht="25.5" hidden="false" customHeight="true" outlineLevel="0" collapsed="false">
      <c r="A7" s="4" t="s">
        <v>8</v>
      </c>
      <c r="B7" s="5" t="n">
        <v>185000</v>
      </c>
      <c r="C7" s="6" t="s">
        <v>9</v>
      </c>
    </row>
    <row r="8" customFormat="false" ht="39" hidden="false" customHeight="true" outlineLevel="0" collapsed="false">
      <c r="A8" s="4" t="s">
        <v>10</v>
      </c>
      <c r="B8" s="7" t="n">
        <v>0.22</v>
      </c>
      <c r="C8" s="6" t="s">
        <v>11</v>
      </c>
    </row>
    <row r="9" customFormat="false" ht="12.75" hidden="false" customHeight="true" outlineLevel="0" collapsed="false">
      <c r="A9" s="4" t="s">
        <v>12</v>
      </c>
      <c r="B9" s="5" t="n">
        <v>1</v>
      </c>
      <c r="C9" s="6" t="s">
        <v>13</v>
      </c>
    </row>
    <row r="10" customFormat="false" ht="51.75" hidden="false" customHeight="true" outlineLevel="0" collapsed="false">
      <c r="A10" s="4" t="s">
        <v>14</v>
      </c>
      <c r="B10" s="7" t="n">
        <v>0.12</v>
      </c>
      <c r="C10" s="6" t="s">
        <v>15</v>
      </c>
    </row>
    <row r="11" customFormat="false" ht="25.5" hidden="false" customHeight="true" outlineLevel="0" collapsed="false">
      <c r="A11" s="4" t="s">
        <v>16</v>
      </c>
      <c r="B11" s="8" t="n">
        <v>4</v>
      </c>
      <c r="C11" s="6" t="s">
        <v>17</v>
      </c>
    </row>
    <row r="12" customFormat="false" ht="25.5" hidden="false" customHeight="true" outlineLevel="0" collapsed="false">
      <c r="A12" s="4" t="s">
        <v>18</v>
      </c>
      <c r="B12" s="5" t="n">
        <v>722514.4</v>
      </c>
      <c r="C12" s="6" t="s">
        <v>19</v>
      </c>
    </row>
    <row r="13" customFormat="false" ht="39" hidden="false" customHeight="true" outlineLevel="0" collapsed="false">
      <c r="A13" s="4" t="s">
        <v>20</v>
      </c>
      <c r="B13" s="5" t="n">
        <v>128375</v>
      </c>
      <c r="C13" s="6" t="s">
        <v>21</v>
      </c>
    </row>
    <row r="14" customFormat="false" ht="25.5" hidden="false" customHeight="true" outlineLevel="0" collapsed="false">
      <c r="A14" s="4" t="s">
        <v>22</v>
      </c>
      <c r="B14" s="7" t="n">
        <v>0.6</v>
      </c>
      <c r="C14" s="6" t="s">
        <v>23</v>
      </c>
    </row>
    <row r="15" customFormat="false" ht="25.5" hidden="false" customHeight="true" outlineLevel="0" collapsed="false">
      <c r="A15" s="4" t="s">
        <v>24</v>
      </c>
      <c r="B15" s="8" t="n">
        <v>2</v>
      </c>
      <c r="C15" s="6" t="s">
        <v>25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26</v>
      </c>
      <c r="B1" s="2"/>
      <c r="C1" s="2"/>
      <c r="D1" s="2"/>
      <c r="E1" s="2"/>
      <c r="F1" s="2"/>
      <c r="G1" s="2"/>
      <c r="H1" s="2"/>
      <c r="I1" s="2"/>
      <c r="J1" s="2"/>
      <c r="K1" s="2"/>
      <c r="L1" s="2"/>
      <c r="M1" s="2"/>
      <c r="N1" s="2"/>
      <c r="O1" s="2"/>
      <c r="P1" s="2"/>
      <c r="Q1" s="2"/>
      <c r="R1" s="2"/>
    </row>
    <row r="2" customFormat="false" ht="15" hidden="false" customHeight="false" outlineLevel="0" collapsed="false">
      <c r="A2" s="3" t="s">
        <v>27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9" t="s">
        <v>28</v>
      </c>
      <c r="B5" s="10" t="n">
        <v>1</v>
      </c>
      <c r="C5" s="10" t="n">
        <v>2</v>
      </c>
      <c r="D5" s="10" t="n">
        <v>3</v>
      </c>
      <c r="E5" s="10" t="n">
        <v>4</v>
      </c>
      <c r="F5" s="10" t="n">
        <v>5</v>
      </c>
      <c r="G5" s="10" t="n">
        <v>6</v>
      </c>
      <c r="H5" s="10" t="n">
        <v>7</v>
      </c>
      <c r="I5" s="10" t="n">
        <v>8</v>
      </c>
      <c r="J5" s="10" t="n">
        <v>9</v>
      </c>
      <c r="K5" s="10" t="n">
        <v>10</v>
      </c>
      <c r="L5" s="10" t="n">
        <v>11</v>
      </c>
      <c r="M5" s="10" t="n">
        <v>12</v>
      </c>
      <c r="N5" s="10" t="n">
        <v>13</v>
      </c>
      <c r="O5" s="10" t="n">
        <v>14</v>
      </c>
      <c r="P5" s="10" t="n">
        <v>15</v>
      </c>
      <c r="Q5" s="2"/>
      <c r="R5" s="9" t="s">
        <v>29</v>
      </c>
    </row>
    <row r="6" customFormat="false" ht="15" hidden="false" customHeight="false" outlineLevel="0" collapsed="false">
      <c r="A6" s="9" t="s">
        <v>30</v>
      </c>
      <c r="B6" s="11" t="n">
        <v>1107883.476</v>
      </c>
      <c r="C6" s="11" t="n">
        <v>1130224.27392</v>
      </c>
      <c r="D6" s="11" t="n">
        <v>1470581.13731659</v>
      </c>
      <c r="E6" s="11" t="n">
        <v>2128361.5241759</v>
      </c>
      <c r="F6" s="11" t="n">
        <v>2531696.60117519</v>
      </c>
      <c r="G6" s="11" t="n">
        <v>2960567.60023987</v>
      </c>
      <c r="H6" s="11" t="n">
        <v>3415973.30476096</v>
      </c>
      <c r="I6" s="11" t="n">
        <v>3898958.3702101</v>
      </c>
      <c r="J6" s="11" t="n">
        <v>4410614.70976327</v>
      </c>
      <c r="K6" s="11" t="n">
        <v>4952082.94628947</v>
      </c>
      <c r="L6" s="11" t="n">
        <v>5524553.93215493</v>
      </c>
      <c r="M6" s="11" t="n">
        <v>6129270.33838766</v>
      </c>
      <c r="N6" s="11" t="n">
        <v>6767528.314843</v>
      </c>
      <c r="O6" s="11" t="n">
        <v>7045784.99129078</v>
      </c>
      <c r="P6" s="11" t="n">
        <v>7328447.27269707</v>
      </c>
      <c r="Q6" s="2"/>
      <c r="R6" s="2"/>
    </row>
    <row r="7" customFormat="false" ht="32.8" hidden="false" customHeight="false" outlineLevel="0" collapsed="false">
      <c r="A7" s="4" t="s">
        <v>31</v>
      </c>
      <c r="B7" s="12" t="n">
        <f aca="false">IF(B6&gt;=6000000,'Your numbers'!$B$7,IF(B6&gt;=3000000,'Your numbers'!$B$6,IF(B6&gt;=1500000,'Your numbers'!$B$5,'Your numbers'!$B$4)))*IF(1&gt;='Your numbers'!$B$15,1,'Your numbers'!$B$14)</f>
        <v>57000</v>
      </c>
      <c r="C7" s="12" t="n">
        <f aca="false">IF(C6&gt;=6000000,'Your numbers'!$B$7,IF(C6&gt;=3000000,'Your numbers'!$B$6,IF(C6&gt;=1500000,'Your numbers'!$B$5,'Your numbers'!$B$4)))*IF(2&gt;='Your numbers'!$B$15,1,'Your numbers'!$B$14)</f>
        <v>95000</v>
      </c>
      <c r="D7" s="12" t="n">
        <f aca="false">IF(D6&gt;=6000000,'Your numbers'!$B$7,IF(D6&gt;=3000000,'Your numbers'!$B$6,IF(D6&gt;=1500000,'Your numbers'!$B$5,'Your numbers'!$B$4)))*IF(3&gt;='Your numbers'!$B$15,1,'Your numbers'!$B$14)</f>
        <v>95000</v>
      </c>
      <c r="E7" s="12" t="n">
        <f aca="false">IF(E6&gt;=6000000,'Your numbers'!$B$7,IF(E6&gt;=3000000,'Your numbers'!$B$6,IF(E6&gt;=1500000,'Your numbers'!$B$5,'Your numbers'!$B$4)))*IF(4&gt;='Your numbers'!$B$15,1,'Your numbers'!$B$14)</f>
        <v>120000</v>
      </c>
      <c r="F7" s="12" t="n">
        <f aca="false">IF(F6&gt;=6000000,'Your numbers'!$B$7,IF(F6&gt;=3000000,'Your numbers'!$B$6,IF(F6&gt;=1500000,'Your numbers'!$B$5,'Your numbers'!$B$4)))*IF(5&gt;='Your numbers'!$B$15,1,'Your numbers'!$B$14)</f>
        <v>120000</v>
      </c>
      <c r="G7" s="12" t="n">
        <f aca="false">IF(G6&gt;=6000000,'Your numbers'!$B$7,IF(G6&gt;=3000000,'Your numbers'!$B$6,IF(G6&gt;=1500000,'Your numbers'!$B$5,'Your numbers'!$B$4)))*IF(6&gt;='Your numbers'!$B$15,1,'Your numbers'!$B$14)</f>
        <v>120000</v>
      </c>
      <c r="H7" s="12" t="n">
        <f aca="false">IF(H6&gt;=6000000,'Your numbers'!$B$7,IF(H6&gt;=3000000,'Your numbers'!$B$6,IF(H6&gt;=1500000,'Your numbers'!$B$5,'Your numbers'!$B$4)))*IF(7&gt;='Your numbers'!$B$15,1,'Your numbers'!$B$14)</f>
        <v>155000</v>
      </c>
      <c r="I7" s="12" t="n">
        <f aca="false">IF(I6&gt;=6000000,'Your numbers'!$B$7,IF(I6&gt;=3000000,'Your numbers'!$B$6,IF(I6&gt;=1500000,'Your numbers'!$B$5,'Your numbers'!$B$4)))*IF(8&gt;='Your numbers'!$B$15,1,'Your numbers'!$B$14)</f>
        <v>155000</v>
      </c>
      <c r="J7" s="12" t="n">
        <f aca="false">IF(J6&gt;=6000000,'Your numbers'!$B$7,IF(J6&gt;=3000000,'Your numbers'!$B$6,IF(J6&gt;=1500000,'Your numbers'!$B$5,'Your numbers'!$B$4)))*IF(9&gt;='Your numbers'!$B$15,1,'Your numbers'!$B$14)</f>
        <v>155000</v>
      </c>
      <c r="K7" s="12" t="n">
        <f aca="false">IF(K6&gt;=6000000,'Your numbers'!$B$7,IF(K6&gt;=3000000,'Your numbers'!$B$6,IF(K6&gt;=1500000,'Your numbers'!$B$5,'Your numbers'!$B$4)))*IF(10&gt;='Your numbers'!$B$15,1,'Your numbers'!$B$14)</f>
        <v>155000</v>
      </c>
      <c r="L7" s="12" t="n">
        <f aca="false">IF(L6&gt;=6000000,'Your numbers'!$B$7,IF(L6&gt;=3000000,'Your numbers'!$B$6,IF(L6&gt;=1500000,'Your numbers'!$B$5,'Your numbers'!$B$4)))*IF(11&gt;='Your numbers'!$B$15,1,'Your numbers'!$B$14)</f>
        <v>155000</v>
      </c>
      <c r="M7" s="12" t="n">
        <f aca="false">IF(M6&gt;=6000000,'Your numbers'!$B$7,IF(M6&gt;=3000000,'Your numbers'!$B$6,IF(M6&gt;=1500000,'Your numbers'!$B$5,'Your numbers'!$B$4)))*IF(12&gt;='Your numbers'!$B$15,1,'Your numbers'!$B$14)</f>
        <v>185000</v>
      </c>
      <c r="N7" s="12" t="n">
        <f aca="false">IF(N6&gt;=6000000,'Your numbers'!$B$7,IF(N6&gt;=3000000,'Your numbers'!$B$6,IF(N6&gt;=1500000,'Your numbers'!$B$5,'Your numbers'!$B$4)))*IF(13&gt;='Your numbers'!$B$15,1,'Your numbers'!$B$14)</f>
        <v>185000</v>
      </c>
      <c r="O7" s="12" t="n">
        <f aca="false">IF(O6&gt;=6000000,'Your numbers'!$B$7,IF(O6&gt;=3000000,'Your numbers'!$B$6,IF(O6&gt;=1500000,'Your numbers'!$B$5,'Your numbers'!$B$4)))*IF(14&gt;='Your numbers'!$B$15,1,'Your numbers'!$B$14)</f>
        <v>185000</v>
      </c>
      <c r="P7" s="12" t="n">
        <f aca="false">IF(P6&gt;=6000000,'Your numbers'!$B$7,IF(P6&gt;=3000000,'Your numbers'!$B$6,IF(P6&gt;=1500000,'Your numbers'!$B$5,'Your numbers'!$B$4)))*IF(15&gt;='Your numbers'!$B$15,1,'Your numbers'!$B$14)</f>
        <v>185000</v>
      </c>
      <c r="Q7" s="2"/>
      <c r="R7" s="6" t="s">
        <v>32</v>
      </c>
    </row>
    <row r="8" customFormat="false" ht="15" hidden="false" customHeight="false" outlineLevel="0" collapsed="false">
      <c r="A8" s="4" t="s">
        <v>33</v>
      </c>
      <c r="B8" s="12" t="n">
        <f aca="false">B7*'Your numbers'!$B$8*'Your numbers'!$B$9</f>
        <v>12540</v>
      </c>
      <c r="C8" s="12" t="n">
        <f aca="false">C7*'Your numbers'!$B$8*'Your numbers'!$B$9</f>
        <v>20900</v>
      </c>
      <c r="D8" s="12" t="n">
        <f aca="false">D7*'Your numbers'!$B$8*'Your numbers'!$B$9</f>
        <v>20900</v>
      </c>
      <c r="E8" s="12" t="n">
        <f aca="false">E7*'Your numbers'!$B$8*'Your numbers'!$B$9</f>
        <v>26400</v>
      </c>
      <c r="F8" s="12" t="n">
        <f aca="false">F7*'Your numbers'!$B$8*'Your numbers'!$B$9</f>
        <v>26400</v>
      </c>
      <c r="G8" s="12" t="n">
        <f aca="false">G7*'Your numbers'!$B$8*'Your numbers'!$B$9</f>
        <v>26400</v>
      </c>
      <c r="H8" s="12" t="n">
        <f aca="false">H7*'Your numbers'!$B$8*'Your numbers'!$B$9</f>
        <v>34100</v>
      </c>
      <c r="I8" s="12" t="n">
        <f aca="false">I7*'Your numbers'!$B$8*'Your numbers'!$B$9</f>
        <v>34100</v>
      </c>
      <c r="J8" s="12" t="n">
        <f aca="false">J7*'Your numbers'!$B$8*'Your numbers'!$B$9</f>
        <v>34100</v>
      </c>
      <c r="K8" s="12" t="n">
        <f aca="false">K7*'Your numbers'!$B$8*'Your numbers'!$B$9</f>
        <v>34100</v>
      </c>
      <c r="L8" s="12" t="n">
        <f aca="false">L7*'Your numbers'!$B$8*'Your numbers'!$B$9</f>
        <v>34100</v>
      </c>
      <c r="M8" s="12" t="n">
        <f aca="false">M7*'Your numbers'!$B$8*'Your numbers'!$B$9</f>
        <v>40700</v>
      </c>
      <c r="N8" s="12" t="n">
        <f aca="false">N7*'Your numbers'!$B$8*'Your numbers'!$B$9</f>
        <v>40700</v>
      </c>
      <c r="O8" s="12" t="n">
        <f aca="false">O7*'Your numbers'!$B$8*'Your numbers'!$B$9</f>
        <v>40700</v>
      </c>
      <c r="P8" s="12" t="n">
        <f aca="false">P7*'Your numbers'!$B$8*'Your numbers'!$B$9</f>
        <v>40700</v>
      </c>
      <c r="Q8" s="2"/>
      <c r="R8" s="2"/>
    </row>
    <row r="9" customFormat="false" ht="15" hidden="false" customHeight="false" outlineLevel="0" collapsed="false">
      <c r="A9" s="9" t="s">
        <v>34</v>
      </c>
      <c r="B9" s="11" t="n">
        <f aca="false">B7+B8</f>
        <v>69540</v>
      </c>
      <c r="C9" s="11" t="n">
        <f aca="false">C7+C8</f>
        <v>115900</v>
      </c>
      <c r="D9" s="11" t="n">
        <f aca="false">D7+D8</f>
        <v>115900</v>
      </c>
      <c r="E9" s="11" t="n">
        <f aca="false">E7+E8</f>
        <v>146400</v>
      </c>
      <c r="F9" s="11" t="n">
        <f aca="false">F7+F8</f>
        <v>146400</v>
      </c>
      <c r="G9" s="11" t="n">
        <f aca="false">G7+G8</f>
        <v>146400</v>
      </c>
      <c r="H9" s="11" t="n">
        <f aca="false">H7+H8</f>
        <v>189100</v>
      </c>
      <c r="I9" s="11" t="n">
        <f aca="false">I7+I8</f>
        <v>189100</v>
      </c>
      <c r="J9" s="11" t="n">
        <f aca="false">J7+J8</f>
        <v>189100</v>
      </c>
      <c r="K9" s="11" t="n">
        <f aca="false">K7+K8</f>
        <v>189100</v>
      </c>
      <c r="L9" s="11" t="n">
        <f aca="false">L7+L8</f>
        <v>189100</v>
      </c>
      <c r="M9" s="11" t="n">
        <f aca="false">M7+M8</f>
        <v>225700</v>
      </c>
      <c r="N9" s="11" t="n">
        <f aca="false">N7+N8</f>
        <v>225700</v>
      </c>
      <c r="O9" s="11" t="n">
        <f aca="false">O7+O8</f>
        <v>225700</v>
      </c>
      <c r="P9" s="11" t="n">
        <f aca="false">P7+P8</f>
        <v>225700</v>
      </c>
      <c r="Q9" s="2"/>
      <c r="R9" s="2"/>
    </row>
    <row r="10" customFormat="false" ht="22.35" hidden="false" customHeight="false" outlineLevel="0" collapsed="false">
      <c r="A10" s="4" t="s">
        <v>35</v>
      </c>
      <c r="B10" s="12" t="n">
        <v>0</v>
      </c>
      <c r="C10" s="12" t="n">
        <v>0</v>
      </c>
      <c r="D10" s="12" t="n">
        <v>0</v>
      </c>
      <c r="E10" s="12" t="n">
        <v>79827.687</v>
      </c>
      <c r="F10" s="12" t="n">
        <v>82621.656045</v>
      </c>
      <c r="G10" s="12" t="n">
        <v>85513.414006575</v>
      </c>
      <c r="H10" s="12" t="n">
        <v>88506.3834968051</v>
      </c>
      <c r="I10" s="12" t="n">
        <v>91604.1069191933</v>
      </c>
      <c r="J10" s="12" t="n">
        <v>94810.250661365</v>
      </c>
      <c r="K10" s="12" t="n">
        <v>98128.6094345128</v>
      </c>
      <c r="L10" s="12" t="n">
        <v>101563.110764721</v>
      </c>
      <c r="M10" s="12" t="n">
        <v>105117.819641486</v>
      </c>
      <c r="N10" s="12" t="n">
        <v>108796.943328938</v>
      </c>
      <c r="O10" s="12" t="n">
        <v>112604.836345451</v>
      </c>
      <c r="P10" s="12" t="n">
        <v>116546.005617542</v>
      </c>
      <c r="Q10" s="2"/>
      <c r="R10" s="6" t="s">
        <v>36</v>
      </c>
    </row>
    <row r="11" customFormat="false" ht="15" hidden="false" customHeight="false" outlineLevel="0" collapsed="false">
      <c r="A11" s="9" t="s">
        <v>37</v>
      </c>
      <c r="B11" s="11" t="n">
        <f aca="false">B9-B10</f>
        <v>69540</v>
      </c>
      <c r="C11" s="11" t="n">
        <f aca="false">C9-C10</f>
        <v>115900</v>
      </c>
      <c r="D11" s="11" t="n">
        <f aca="false">D9-D10</f>
        <v>115900</v>
      </c>
      <c r="E11" s="11" t="n">
        <f aca="false">E9-E10</f>
        <v>66572.313</v>
      </c>
      <c r="F11" s="11" t="n">
        <f aca="false">F9-F10</f>
        <v>63778.343955</v>
      </c>
      <c r="G11" s="11" t="n">
        <f aca="false">G9-G10</f>
        <v>60886.585993425</v>
      </c>
      <c r="H11" s="11" t="n">
        <f aca="false">H9-H10</f>
        <v>100593.616503195</v>
      </c>
      <c r="I11" s="11" t="n">
        <f aca="false">I9-I10</f>
        <v>97495.8930808067</v>
      </c>
      <c r="J11" s="11" t="n">
        <f aca="false">J9-J10</f>
        <v>94289.749338635</v>
      </c>
      <c r="K11" s="11" t="n">
        <f aca="false">K9-K10</f>
        <v>90971.3905654872</v>
      </c>
      <c r="L11" s="11" t="n">
        <f aca="false">L9-L10</f>
        <v>87536.889235279</v>
      </c>
      <c r="M11" s="11" t="n">
        <f aca="false">M9-M10</f>
        <v>120582.180358514</v>
      </c>
      <c r="N11" s="11" t="n">
        <f aca="false">N9-N10</f>
        <v>116903.056671062</v>
      </c>
      <c r="O11" s="11" t="n">
        <f aca="false">O9-O10</f>
        <v>113095.163654549</v>
      </c>
      <c r="P11" s="11" t="n">
        <f aca="false">P9-P10</f>
        <v>109153.994382458</v>
      </c>
      <c r="Q11" s="2"/>
      <c r="R11" s="2"/>
    </row>
    <row r="12" customFormat="false" ht="15" hidden="false" customHeight="false" outlineLevel="0" collapsed="false">
      <c r="A12" s="13" t="s">
        <v>38</v>
      </c>
      <c r="B12" s="14"/>
      <c r="C12" s="14"/>
      <c r="D12" s="14"/>
      <c r="E12" s="14"/>
      <c r="F12" s="14"/>
      <c r="G12" s="14"/>
      <c r="H12" s="14"/>
      <c r="I12" s="14"/>
      <c r="J12" s="14"/>
      <c r="K12" s="14"/>
      <c r="L12" s="14"/>
      <c r="M12" s="14"/>
      <c r="N12" s="14"/>
      <c r="O12" s="14"/>
      <c r="P12" s="14"/>
      <c r="Q12" s="2"/>
      <c r="R12" s="14"/>
    </row>
    <row r="13" customFormat="false" ht="22.35" hidden="false" customHeight="false" outlineLevel="0" collapsed="false">
      <c r="A13" s="4" t="s">
        <v>39</v>
      </c>
      <c r="B13" s="15" t="n">
        <f aca="false">MIN(1,MAX(0,1/'Your numbers'!$B$11))</f>
        <v>0.25</v>
      </c>
      <c r="C13" s="15" t="n">
        <f aca="false">MIN(1,MAX(0,2/'Your numbers'!$B$11))</f>
        <v>0.5</v>
      </c>
      <c r="D13" s="15" t="n">
        <f aca="false">MIN(1,MAX(0,3/'Your numbers'!$B$11))</f>
        <v>0.75</v>
      </c>
      <c r="E13" s="15" t="n">
        <f aca="false">MIN(1,MAX(0,4/'Your numbers'!$B$11))</f>
        <v>1</v>
      </c>
      <c r="F13" s="15" t="n">
        <f aca="false">MIN(1,MAX(0,5/'Your numbers'!$B$11))</f>
        <v>1</v>
      </c>
      <c r="G13" s="15" t="n">
        <f aca="false">MIN(1,MAX(0,6/'Your numbers'!$B$11))</f>
        <v>1</v>
      </c>
      <c r="H13" s="15" t="n">
        <f aca="false">MIN(1,MAX(0,7/'Your numbers'!$B$11))</f>
        <v>1</v>
      </c>
      <c r="I13" s="15" t="n">
        <f aca="false">MIN(1,MAX(0,8/'Your numbers'!$B$11))</f>
        <v>1</v>
      </c>
      <c r="J13" s="15" t="n">
        <f aca="false">MIN(1,MAX(0,9/'Your numbers'!$B$11))</f>
        <v>1</v>
      </c>
      <c r="K13" s="15" t="n">
        <f aca="false">MIN(1,MAX(0,10/'Your numbers'!$B$11))</f>
        <v>1</v>
      </c>
      <c r="L13" s="15" t="n">
        <f aca="false">MIN(1,MAX(0,11/'Your numbers'!$B$11))</f>
        <v>1</v>
      </c>
      <c r="M13" s="15" t="n">
        <f aca="false">MIN(1,MAX(0,12/'Your numbers'!$B$11))</f>
        <v>1</v>
      </c>
      <c r="N13" s="15" t="n">
        <f aca="false">MIN(1,MAX(0,13/'Your numbers'!$B$11))</f>
        <v>1</v>
      </c>
      <c r="O13" s="15" t="n">
        <f aca="false">MIN(1,MAX(0,14/'Your numbers'!$B$11))</f>
        <v>1</v>
      </c>
      <c r="P13" s="15" t="n">
        <f aca="false">MIN(1,MAX(0,15/'Your numbers'!$B$11))</f>
        <v>1</v>
      </c>
      <c r="Q13" s="2"/>
      <c r="R13" s="6" t="s">
        <v>40</v>
      </c>
    </row>
    <row r="14" customFormat="false" ht="15" hidden="false" customHeight="false" outlineLevel="0" collapsed="false">
      <c r="A14" s="9" t="s">
        <v>41</v>
      </c>
      <c r="B14" s="16" t="n">
        <f aca="false">B13*'Your numbers'!$B$10</f>
        <v>0.03</v>
      </c>
      <c r="C14" s="16" t="n">
        <f aca="false">C13*'Your numbers'!$B$10</f>
        <v>0.06</v>
      </c>
      <c r="D14" s="16" t="n">
        <f aca="false">D13*'Your numbers'!$B$10</f>
        <v>0.09</v>
      </c>
      <c r="E14" s="16" t="n">
        <f aca="false">E13*'Your numbers'!$B$10</f>
        <v>0.12</v>
      </c>
      <c r="F14" s="16" t="n">
        <f aca="false">F13*'Your numbers'!$B$10</f>
        <v>0.12</v>
      </c>
      <c r="G14" s="16" t="n">
        <f aca="false">G13*'Your numbers'!$B$10</f>
        <v>0.12</v>
      </c>
      <c r="H14" s="16" t="n">
        <f aca="false">H13*'Your numbers'!$B$10</f>
        <v>0.12</v>
      </c>
      <c r="I14" s="16" t="n">
        <f aca="false">I13*'Your numbers'!$B$10</f>
        <v>0.12</v>
      </c>
      <c r="J14" s="16" t="n">
        <f aca="false">J13*'Your numbers'!$B$10</f>
        <v>0.12</v>
      </c>
      <c r="K14" s="16" t="n">
        <f aca="false">K13*'Your numbers'!$B$10</f>
        <v>0.12</v>
      </c>
      <c r="L14" s="16" t="n">
        <f aca="false">L13*'Your numbers'!$B$10</f>
        <v>0.12</v>
      </c>
      <c r="M14" s="16" t="n">
        <f aca="false">M13*'Your numbers'!$B$10</f>
        <v>0.12</v>
      </c>
      <c r="N14" s="16" t="n">
        <f aca="false">N13*'Your numbers'!$B$10</f>
        <v>0.12</v>
      </c>
      <c r="O14" s="16" t="n">
        <f aca="false">O13*'Your numbers'!$B$10</f>
        <v>0.12</v>
      </c>
      <c r="P14" s="16" t="n">
        <f aca="false">P13*'Your numbers'!$B$10</f>
        <v>0.12</v>
      </c>
      <c r="Q14" s="2"/>
      <c r="R14" s="2"/>
    </row>
    <row r="15" customFormat="false" ht="15" hidden="false" customHeight="false" outlineLevel="0" collapsed="false">
      <c r="A15" s="4" t="s">
        <v>42</v>
      </c>
      <c r="B15" s="12" t="n">
        <v>691314.397345807</v>
      </c>
      <c r="C15" s="12" t="n">
        <v>752384.283227823</v>
      </c>
      <c r="D15" s="12" t="n">
        <v>925823.920331045</v>
      </c>
      <c r="E15" s="12" t="n">
        <v>1742417.68455785</v>
      </c>
      <c r="F15" s="12" t="n">
        <v>1826323.55921217</v>
      </c>
      <c r="G15" s="12" t="n">
        <v>1879798.57190215</v>
      </c>
      <c r="H15" s="12" t="n">
        <v>2566573.43382394</v>
      </c>
      <c r="I15" s="12" t="n">
        <v>3338763.68812422</v>
      </c>
      <c r="J15" s="12" t="n">
        <v>4199351.48996621</v>
      </c>
      <c r="K15" s="12" t="n">
        <v>4551505.48237858</v>
      </c>
      <c r="L15" s="12" t="n">
        <v>7514344.27315891</v>
      </c>
      <c r="M15" s="12" t="n">
        <v>8966057.46435439</v>
      </c>
      <c r="N15" s="12" t="n">
        <v>10536753.2656805</v>
      </c>
      <c r="O15" s="12" t="n">
        <v>11512931.8634761</v>
      </c>
      <c r="P15" s="12" t="n">
        <v>12490190.7073309</v>
      </c>
      <c r="Q15" s="2"/>
      <c r="R15" s="2"/>
    </row>
    <row r="16" customFormat="false" ht="15" hidden="false" customHeight="false" outlineLevel="0" collapsed="false">
      <c r="A16" s="4" t="s">
        <v>43</v>
      </c>
      <c r="B16" s="12" t="n">
        <f aca="false">MAX(0,B15-'Your numbers'!$B$12)</f>
        <v>0</v>
      </c>
      <c r="C16" s="12" t="n">
        <f aca="false">MAX(0,C15-'Your numbers'!$B$12)</f>
        <v>29869.883227823</v>
      </c>
      <c r="D16" s="12" t="n">
        <f aca="false">MAX(0,D15-'Your numbers'!$B$12)</f>
        <v>203309.520331045</v>
      </c>
      <c r="E16" s="12" t="n">
        <f aca="false">MAX(0,E15-'Your numbers'!$B$12)</f>
        <v>1019903.28455785</v>
      </c>
      <c r="F16" s="12" t="n">
        <f aca="false">MAX(0,F15-'Your numbers'!$B$12)</f>
        <v>1103809.15921217</v>
      </c>
      <c r="G16" s="12" t="n">
        <f aca="false">MAX(0,G15-'Your numbers'!$B$12)</f>
        <v>1157284.17190215</v>
      </c>
      <c r="H16" s="12" t="n">
        <f aca="false">MAX(0,H15-'Your numbers'!$B$12)</f>
        <v>1844059.03382394</v>
      </c>
      <c r="I16" s="12" t="n">
        <f aca="false">MAX(0,I15-'Your numbers'!$B$12)</f>
        <v>2616249.28812422</v>
      </c>
      <c r="J16" s="12" t="n">
        <f aca="false">MAX(0,J15-'Your numbers'!$B$12)</f>
        <v>3476837.08996621</v>
      </c>
      <c r="K16" s="12" t="n">
        <f aca="false">MAX(0,K15-'Your numbers'!$B$12)</f>
        <v>3828991.08237858</v>
      </c>
      <c r="L16" s="12" t="n">
        <f aca="false">MAX(0,L15-'Your numbers'!$B$12)</f>
        <v>6791829.87315891</v>
      </c>
      <c r="M16" s="12" t="n">
        <f aca="false">MAX(0,M15-'Your numbers'!$B$12)</f>
        <v>8243543.06435439</v>
      </c>
      <c r="N16" s="12" t="n">
        <f aca="false">MAX(0,N15-'Your numbers'!$B$12)</f>
        <v>9814238.8656805</v>
      </c>
      <c r="O16" s="12" t="n">
        <f aca="false">MAX(0,O15-'Your numbers'!$B$12)</f>
        <v>10790417.4634761</v>
      </c>
      <c r="P16" s="12" t="n">
        <f aca="false">MAX(0,P15-'Your numbers'!$B$12)</f>
        <v>11767676.3073309</v>
      </c>
      <c r="Q16" s="2"/>
      <c r="R16" s="2"/>
    </row>
    <row r="17" customFormat="false" ht="15" hidden="false" customHeight="false" outlineLevel="0" collapsed="false">
      <c r="A17" s="9" t="s">
        <v>44</v>
      </c>
      <c r="B17" s="11" t="n">
        <f aca="false">B14*B16</f>
        <v>0</v>
      </c>
      <c r="C17" s="11" t="n">
        <f aca="false">C14*C16</f>
        <v>1792.19299366938</v>
      </c>
      <c r="D17" s="11" t="n">
        <f aca="false">D14*D16</f>
        <v>18297.8568297941</v>
      </c>
      <c r="E17" s="11" t="n">
        <f aca="false">E14*E16</f>
        <v>122388.394146942</v>
      </c>
      <c r="F17" s="11" t="n">
        <f aca="false">F14*F16</f>
        <v>132457.09910546</v>
      </c>
      <c r="G17" s="11" t="n">
        <f aca="false">G14*G16</f>
        <v>138874.100628258</v>
      </c>
      <c r="H17" s="11" t="n">
        <f aca="false">H14*H16</f>
        <v>221287.084058873</v>
      </c>
      <c r="I17" s="11" t="n">
        <f aca="false">I14*I16</f>
        <v>313949.914574906</v>
      </c>
      <c r="J17" s="11" t="n">
        <f aca="false">J14*J16</f>
        <v>417220.450795945</v>
      </c>
      <c r="K17" s="11" t="n">
        <f aca="false">K14*K16</f>
        <v>459478.92988543</v>
      </c>
      <c r="L17" s="11" t="n">
        <f aca="false">L14*L16</f>
        <v>815019.584779069</v>
      </c>
      <c r="M17" s="11" t="n">
        <f aca="false">M14*M16</f>
        <v>989225.167722527</v>
      </c>
      <c r="N17" s="11" t="n">
        <f aca="false">N14*N16</f>
        <v>1177708.66388166</v>
      </c>
      <c r="O17" s="11" t="n">
        <f aca="false">O14*O16</f>
        <v>1294850.09561713</v>
      </c>
      <c r="P17" s="11" t="n">
        <f aca="false">P14*P16</f>
        <v>1412121.15687971</v>
      </c>
      <c r="Q17" s="2"/>
      <c r="R17" s="2"/>
    </row>
    <row r="18" customFormat="false" ht="15" hidden="false" customHeight="false" outlineLevel="0" collapsed="false">
      <c r="A18" s="17" t="s">
        <v>45</v>
      </c>
      <c r="B18" s="18"/>
      <c r="C18" s="18"/>
      <c r="D18" s="18"/>
      <c r="E18" s="18"/>
      <c r="F18" s="18"/>
      <c r="G18" s="18"/>
      <c r="H18" s="18"/>
      <c r="I18" s="18"/>
      <c r="J18" s="18"/>
      <c r="K18" s="18"/>
      <c r="L18" s="18"/>
      <c r="M18" s="18"/>
      <c r="N18" s="18"/>
      <c r="O18" s="18"/>
      <c r="P18" s="18"/>
      <c r="Q18" s="2"/>
      <c r="R18" s="18"/>
    </row>
    <row r="19" customFormat="false" ht="15" hidden="false" customHeight="false" outlineLevel="0" collapsed="false">
      <c r="A19" s="4" t="s">
        <v>46</v>
      </c>
      <c r="B19" s="12" t="n">
        <f aca="false">'Your numbers'!$B$13*(1.0275)^0</f>
        <v>128375</v>
      </c>
      <c r="C19" s="12" t="n">
        <f aca="false">'Your numbers'!$B$13*(1.0275)^1</f>
        <v>131905.3125</v>
      </c>
      <c r="D19" s="12" t="n">
        <f aca="false">'Your numbers'!$B$13*(1.0275)^2</f>
        <v>135532.70859375</v>
      </c>
      <c r="E19" s="12" t="n">
        <f aca="false">'Your numbers'!$B$13*(1.0275)^3</f>
        <v>139259.858080078</v>
      </c>
      <c r="F19" s="12" t="n">
        <f aca="false">'Your numbers'!$B$13*(1.0275)^4</f>
        <v>143089.50417728</v>
      </c>
      <c r="G19" s="12" t="n">
        <f aca="false">'Your numbers'!$B$13*(1.0275)^5</f>
        <v>147024.465542156</v>
      </c>
      <c r="H19" s="12" t="n">
        <f aca="false">'Your numbers'!$B$13*(1.0275)^6</f>
        <v>151067.638344565</v>
      </c>
      <c r="I19" s="12" t="n">
        <f aca="false">'Your numbers'!$B$13*(1.0275)^7</f>
        <v>155221.99839904</v>
      </c>
      <c r="J19" s="12" t="n">
        <f aca="false">'Your numbers'!$B$13*(1.0275)^8</f>
        <v>159490.603355014</v>
      </c>
      <c r="K19" s="12" t="n">
        <f aca="false">'Your numbers'!$B$13*(1.0275)^9</f>
        <v>163876.594947277</v>
      </c>
      <c r="L19" s="12" t="n">
        <f aca="false">'Your numbers'!$B$13*(1.0275)^10</f>
        <v>168383.201308327</v>
      </c>
      <c r="M19" s="12" t="n">
        <f aca="false">'Your numbers'!$B$13*(1.0275)^11</f>
        <v>173013.739344306</v>
      </c>
      <c r="N19" s="12" t="n">
        <f aca="false">'Your numbers'!$B$13*(1.0275)^12</f>
        <v>177771.617176274</v>
      </c>
      <c r="O19" s="12" t="n">
        <f aca="false">'Your numbers'!$B$13*(1.0275)^13</f>
        <v>182660.336648622</v>
      </c>
      <c r="P19" s="12" t="n">
        <f aca="false">'Your numbers'!$B$13*(1.0275)^14</f>
        <v>187683.495906459</v>
      </c>
      <c r="Q19" s="2"/>
      <c r="R19" s="6" t="s">
        <v>47</v>
      </c>
    </row>
    <row r="20" customFormat="false" ht="22.35" hidden="false" customHeight="false" outlineLevel="0" collapsed="false">
      <c r="A20" s="9" t="s">
        <v>48</v>
      </c>
      <c r="B20" s="11" t="n">
        <f aca="false">B9-B19</f>
        <v>-58835</v>
      </c>
      <c r="C20" s="11" t="n">
        <f aca="false">C9-C19</f>
        <v>-16005.3125</v>
      </c>
      <c r="D20" s="11" t="n">
        <f aca="false">D9-D19</f>
        <v>-19632.70859375</v>
      </c>
      <c r="E20" s="11" t="n">
        <f aca="false">E9-E19</f>
        <v>7140.14191992185</v>
      </c>
      <c r="F20" s="11" t="n">
        <f aca="false">F9-F19</f>
        <v>3310.49582271971</v>
      </c>
      <c r="G20" s="11" t="n">
        <f aca="false">G9-G19</f>
        <v>-624.465542155551</v>
      </c>
      <c r="H20" s="11" t="n">
        <f aca="false">H9-H19</f>
        <v>38032.3616554352</v>
      </c>
      <c r="I20" s="11" t="n">
        <f aca="false">I9-I19</f>
        <v>33878.0016009596</v>
      </c>
      <c r="J20" s="11" t="n">
        <f aca="false">J9-J19</f>
        <v>29609.396644986</v>
      </c>
      <c r="K20" s="11" t="n">
        <f aca="false">K9-K19</f>
        <v>25223.4050527231</v>
      </c>
      <c r="L20" s="11" t="n">
        <f aca="false">L9-L19</f>
        <v>20716.798691673</v>
      </c>
      <c r="M20" s="11" t="n">
        <f aca="false">M9-M19</f>
        <v>52686.260655694</v>
      </c>
      <c r="N20" s="11" t="n">
        <f aca="false">N9-N19</f>
        <v>47928.3828237256</v>
      </c>
      <c r="O20" s="11" t="n">
        <f aca="false">O9-O19</f>
        <v>43039.663351378</v>
      </c>
      <c r="P20" s="11" t="n">
        <f aca="false">P9-P19</f>
        <v>38016.5040935409</v>
      </c>
      <c r="Q20" s="2"/>
      <c r="R20" s="6" t="s">
        <v>49</v>
      </c>
    </row>
    <row r="21" customFormat="false" ht="15" hidden="false" customHeight="false" outlineLevel="0" collapsed="false">
      <c r="A21" s="9" t="s">
        <v>50</v>
      </c>
      <c r="B21" s="11" t="n">
        <f aca="false">B20</f>
        <v>-58835</v>
      </c>
      <c r="C21" s="11" t="n">
        <f aca="false">B21+C20</f>
        <v>-74840.3125</v>
      </c>
      <c r="D21" s="11" t="n">
        <f aca="false">C21+D20</f>
        <v>-94473.02109375</v>
      </c>
      <c r="E21" s="11" t="n">
        <f aca="false">D21+E20</f>
        <v>-87332.8791738282</v>
      </c>
      <c r="F21" s="11" t="n">
        <f aca="false">E21+F20</f>
        <v>-84022.3833511085</v>
      </c>
      <c r="G21" s="11" t="n">
        <f aca="false">F21+G20</f>
        <v>-84646.848893264</v>
      </c>
      <c r="H21" s="11" t="n">
        <f aca="false">G21+H20</f>
        <v>-46614.4872378288</v>
      </c>
      <c r="I21" s="11" t="n">
        <f aca="false">H21+I20</f>
        <v>-12736.4856368692</v>
      </c>
      <c r="J21" s="11" t="n">
        <f aca="false">I21+J20</f>
        <v>16872.9110081168</v>
      </c>
      <c r="K21" s="11" t="n">
        <f aca="false">J21+K20</f>
        <v>42096.3160608399</v>
      </c>
      <c r="L21" s="11" t="n">
        <f aca="false">K21+L20</f>
        <v>62813.1147525129</v>
      </c>
      <c r="M21" s="11" t="n">
        <f aca="false">L21+M20</f>
        <v>115499.375408207</v>
      </c>
      <c r="N21" s="11" t="n">
        <f aca="false">M21+N20</f>
        <v>163427.758231932</v>
      </c>
      <c r="O21" s="11" t="n">
        <f aca="false">N21+O20</f>
        <v>206467.42158331</v>
      </c>
      <c r="P21" s="11" t="n">
        <f aca="false">O21+P20</f>
        <v>244483.925676851</v>
      </c>
      <c r="Q21" s="2"/>
      <c r="R21" s="2"/>
    </row>
    <row r="22" customFormat="false" ht="22.35" hidden="false" customHeight="false" outlineLevel="0" collapsed="false">
      <c r="A22" s="9" t="s">
        <v>51</v>
      </c>
      <c r="B22" s="11" t="n">
        <f aca="false">B21+B17</f>
        <v>-58835</v>
      </c>
      <c r="C22" s="11" t="n">
        <f aca="false">C21+C17</f>
        <v>-73048.1195063306</v>
      </c>
      <c r="D22" s="11" t="n">
        <f aca="false">D21+D17</f>
        <v>-76175.164263956</v>
      </c>
      <c r="E22" s="11" t="n">
        <f aca="false">E21+E17</f>
        <v>35055.5149731138</v>
      </c>
      <c r="F22" s="11" t="n">
        <f aca="false">F21+F17</f>
        <v>48434.715754352</v>
      </c>
      <c r="G22" s="11" t="n">
        <f aca="false">G21+G17</f>
        <v>54227.251734994</v>
      </c>
      <c r="H22" s="11" t="n">
        <f aca="false">H21+H17</f>
        <v>174672.596821044</v>
      </c>
      <c r="I22" s="11" t="n">
        <f aca="false">I21+I17</f>
        <v>301213.428938037</v>
      </c>
      <c r="J22" s="11" t="n">
        <f aca="false">J21+J17</f>
        <v>434093.361804062</v>
      </c>
      <c r="K22" s="11" t="n">
        <f aca="false">K21+K17</f>
        <v>501575.24594627</v>
      </c>
      <c r="L22" s="11" t="n">
        <f aca="false">L21+L17</f>
        <v>877832.699531582</v>
      </c>
      <c r="M22" s="11" t="n">
        <f aca="false">M21+M17</f>
        <v>1104724.54313073</v>
      </c>
      <c r="N22" s="11" t="n">
        <f aca="false">N21+N17</f>
        <v>1341136.42211359</v>
      </c>
      <c r="O22" s="11" t="n">
        <f aca="false">O21+O17</f>
        <v>1501317.51720044</v>
      </c>
      <c r="P22" s="11" t="n">
        <f aca="false">P21+P17</f>
        <v>1656605.08255656</v>
      </c>
      <c r="Q22" s="2"/>
      <c r="R22" s="6" t="s">
        <v>52</v>
      </c>
    </row>
    <row r="23" customFormat="false" ht="15" hidden="false" customHeight="false" outlineLevel="0" collapsed="false">
      <c r="A23" s="4" t="s">
        <v>53</v>
      </c>
      <c r="B23" s="19" t="str">
        <f aca="false">IF(B22&gt;0,"AHEAD","behind")</f>
        <v>behind</v>
      </c>
      <c r="C23" s="19" t="str">
        <f aca="false">IF(C22&gt;0,"AHEAD","behind")</f>
        <v>behind</v>
      </c>
      <c r="D23" s="19" t="str">
        <f aca="false">IF(D22&gt;0,"AHEAD","behind")</f>
        <v>behind</v>
      </c>
      <c r="E23" s="19" t="str">
        <f aca="false">IF(E22&gt;0,"AHEAD","behind")</f>
        <v>AHEAD</v>
      </c>
      <c r="F23" s="19" t="str">
        <f aca="false">IF(F22&gt;0,"AHEAD","behind")</f>
        <v>AHEAD</v>
      </c>
      <c r="G23" s="19" t="str">
        <f aca="false">IF(G22&gt;0,"AHEAD","behind")</f>
        <v>AHEAD</v>
      </c>
      <c r="H23" s="19" t="str">
        <f aca="false">IF(H22&gt;0,"AHEAD","behind")</f>
        <v>AHEAD</v>
      </c>
      <c r="I23" s="19" t="str">
        <f aca="false">IF(I22&gt;0,"AHEAD","behind")</f>
        <v>AHEAD</v>
      </c>
      <c r="J23" s="19" t="str">
        <f aca="false">IF(J22&gt;0,"AHEAD","behind")</f>
        <v>AHEAD</v>
      </c>
      <c r="K23" s="19" t="str">
        <f aca="false">IF(K22&gt;0,"AHEAD","behind")</f>
        <v>AHEAD</v>
      </c>
      <c r="L23" s="19" t="str">
        <f aca="false">IF(L22&gt;0,"AHEAD","behind")</f>
        <v>AHEAD</v>
      </c>
      <c r="M23" s="19" t="str">
        <f aca="false">IF(M22&gt;0,"AHEAD","behind")</f>
        <v>AHEAD</v>
      </c>
      <c r="N23" s="19" t="str">
        <f aca="false">IF(N22&gt;0,"AHEAD","behind")</f>
        <v>AHEAD</v>
      </c>
      <c r="O23" s="19" t="str">
        <f aca="false">IF(O22&gt;0,"AHEAD","behind")</f>
        <v>AHEAD</v>
      </c>
      <c r="P23" s="19" t="str">
        <f aca="false">IF(P22&gt;0,"AHEAD","behind")</f>
        <v>AHEAD</v>
      </c>
      <c r="Q23" s="2"/>
      <c r="R2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54</v>
      </c>
      <c r="B1" s="2"/>
      <c r="C1" s="2"/>
      <c r="D1" s="2"/>
      <c r="E1" s="2"/>
      <c r="F1" s="2"/>
      <c r="G1" s="2"/>
      <c r="H1" s="2"/>
      <c r="I1" s="2"/>
      <c r="J1" s="2"/>
      <c r="K1" s="2"/>
      <c r="L1" s="2"/>
      <c r="M1" s="2"/>
      <c r="N1" s="2"/>
      <c r="O1" s="2"/>
      <c r="P1" s="2"/>
      <c r="Q1" s="2"/>
      <c r="R1" s="2"/>
    </row>
    <row r="2" customFormat="false" ht="15" hidden="false" customHeight="false" outlineLevel="0" collapsed="false">
      <c r="A2" s="3" t="s">
        <v>55</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0" t="s">
        <v>56</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9" t="s">
        <v>28</v>
      </c>
      <c r="B6" s="10" t="n">
        <v>1</v>
      </c>
      <c r="C6" s="10" t="n">
        <v>2</v>
      </c>
      <c r="D6" s="10" t="n">
        <v>3</v>
      </c>
      <c r="E6" s="10" t="n">
        <v>4</v>
      </c>
      <c r="F6" s="10" t="n">
        <v>5</v>
      </c>
      <c r="G6" s="10" t="n">
        <v>6</v>
      </c>
      <c r="H6" s="10" t="n">
        <v>7</v>
      </c>
      <c r="I6" s="10" t="n">
        <v>8</v>
      </c>
      <c r="J6" s="10" t="n">
        <v>9</v>
      </c>
      <c r="K6" s="10" t="n">
        <v>10</v>
      </c>
      <c r="L6" s="10" t="n">
        <v>11</v>
      </c>
      <c r="M6" s="10" t="n">
        <v>12</v>
      </c>
      <c r="N6" s="10" t="n">
        <v>13</v>
      </c>
      <c r="O6" s="10" t="n">
        <v>14</v>
      </c>
      <c r="P6" s="10" t="n">
        <v>15</v>
      </c>
      <c r="Q6" s="2"/>
      <c r="R6" s="9" t="s">
        <v>29</v>
      </c>
    </row>
    <row r="7" customFormat="false" ht="15" hidden="false" customHeight="false" outlineLevel="0" collapsed="false">
      <c r="A7" s="9" t="s">
        <v>57</v>
      </c>
      <c r="B7" s="11" t="n">
        <v>1107883.476</v>
      </c>
      <c r="C7" s="11" t="n">
        <v>1130224.27392</v>
      </c>
      <c r="D7" s="11" t="n">
        <v>1470581.13731659</v>
      </c>
      <c r="E7" s="11" t="n">
        <v>2128361.5241759</v>
      </c>
      <c r="F7" s="11" t="n">
        <v>2531696.60117519</v>
      </c>
      <c r="G7" s="11" t="n">
        <v>2960567.60023987</v>
      </c>
      <c r="H7" s="11" t="n">
        <v>3415973.30476096</v>
      </c>
      <c r="I7" s="11" t="n">
        <v>3898958.3702101</v>
      </c>
      <c r="J7" s="11" t="n">
        <v>4410614.70976327</v>
      </c>
      <c r="K7" s="11" t="n">
        <v>4952082.94628947</v>
      </c>
      <c r="L7" s="11" t="n">
        <v>5524553.93215493</v>
      </c>
      <c r="M7" s="11" t="n">
        <v>6129270.33838766</v>
      </c>
      <c r="N7" s="11" t="n">
        <v>6767528.314843</v>
      </c>
      <c r="O7" s="11" t="n">
        <v>7045784.99129078</v>
      </c>
      <c r="P7" s="11" t="n">
        <v>7328447.27269707</v>
      </c>
      <c r="Q7" s="2"/>
      <c r="R7" s="2"/>
    </row>
    <row r="8" customFormat="false" ht="15" hidden="false" customHeight="false" outlineLevel="0" collapsed="false">
      <c r="A8" s="4" t="s">
        <v>58</v>
      </c>
      <c r="B8" s="21" t="n">
        <v>2</v>
      </c>
      <c r="C8" s="21" t="n">
        <v>2</v>
      </c>
      <c r="D8" s="21" t="n">
        <v>2.5</v>
      </c>
      <c r="E8" s="21" t="n">
        <v>3.5</v>
      </c>
      <c r="F8" s="21" t="n">
        <v>4</v>
      </c>
      <c r="G8" s="21" t="n">
        <v>4.5</v>
      </c>
      <c r="H8" s="21" t="n">
        <v>5</v>
      </c>
      <c r="I8" s="21" t="n">
        <v>5.5</v>
      </c>
      <c r="J8" s="21" t="n">
        <v>6</v>
      </c>
      <c r="K8" s="21" t="n">
        <v>6.5</v>
      </c>
      <c r="L8" s="21" t="n">
        <v>7</v>
      </c>
      <c r="M8" s="21" t="n">
        <v>7.5</v>
      </c>
      <c r="N8" s="21" t="n">
        <v>8</v>
      </c>
      <c r="O8" s="21" t="n">
        <v>8</v>
      </c>
      <c r="P8" s="21" t="n">
        <v>8</v>
      </c>
      <c r="Q8" s="2"/>
      <c r="R8" s="2"/>
    </row>
    <row r="9" customFormat="false" ht="15" hidden="false" customHeight="false" outlineLevel="0" collapsed="false">
      <c r="A9" s="4" t="s">
        <v>59</v>
      </c>
      <c r="B9" s="19" t="n">
        <v>9</v>
      </c>
      <c r="C9" s="19" t="n">
        <v>9</v>
      </c>
      <c r="D9" s="19" t="n">
        <v>12</v>
      </c>
      <c r="E9" s="19" t="n">
        <v>16</v>
      </c>
      <c r="F9" s="19" t="n">
        <v>19</v>
      </c>
      <c r="G9" s="19" t="n">
        <v>23</v>
      </c>
      <c r="H9" s="19" t="n">
        <v>25</v>
      </c>
      <c r="I9" s="19" t="n">
        <v>27</v>
      </c>
      <c r="J9" s="19" t="n">
        <v>28</v>
      </c>
      <c r="K9" s="19" t="n">
        <v>32</v>
      </c>
      <c r="L9" s="19" t="n">
        <v>33</v>
      </c>
      <c r="M9" s="19" t="n">
        <v>36</v>
      </c>
      <c r="N9" s="19" t="n">
        <v>37</v>
      </c>
      <c r="O9" s="19" t="n">
        <v>37</v>
      </c>
      <c r="P9" s="19" t="n">
        <v>37</v>
      </c>
      <c r="Q9" s="2"/>
      <c r="R9" s="2"/>
    </row>
    <row r="10" customFormat="false" ht="15" hidden="false" customHeight="false" outlineLevel="0" collapsed="false">
      <c r="A10" s="9" t="s">
        <v>60</v>
      </c>
      <c r="B10" s="11" t="n">
        <v>314146.07309104</v>
      </c>
      <c r="C10" s="11" t="n">
        <v>303726.24221904</v>
      </c>
      <c r="D10" s="11" t="n">
        <v>361218.979335931</v>
      </c>
      <c r="E10" s="11" t="n">
        <v>487332.012318055</v>
      </c>
      <c r="F10" s="11" t="n">
        <v>479969.659557169</v>
      </c>
      <c r="G10" s="11" t="n">
        <v>466088.769207364</v>
      </c>
      <c r="H10" s="11" t="n">
        <v>597197.758851492</v>
      </c>
      <c r="I10" s="11" t="n">
        <v>735647.486330165</v>
      </c>
      <c r="J10" s="11" t="n">
        <v>881486.5874483</v>
      </c>
      <c r="K10" s="11" t="n">
        <v>898428.470548401</v>
      </c>
      <c r="L10" s="11" t="n">
        <v>1062695.91705148</v>
      </c>
      <c r="M10" s="11" t="n">
        <v>1234746.42040954</v>
      </c>
      <c r="N10" s="11" t="n">
        <v>1414609.86275326</v>
      </c>
      <c r="O10" s="11" t="n">
        <v>1480797.94885832</v>
      </c>
      <c r="P10" s="11" t="n">
        <v>1544843.49387317</v>
      </c>
      <c r="Q10" s="2"/>
      <c r="R10" s="6" t="s">
        <v>61</v>
      </c>
    </row>
    <row r="11" customFormat="false" ht="15" hidden="false" customHeight="false" outlineLevel="0" collapsed="false">
      <c r="A11" s="4" t="s">
        <v>62</v>
      </c>
      <c r="B11" s="12" t="n">
        <v>62958.4292364159</v>
      </c>
      <c r="C11" s="12" t="n">
        <v>124448.926124032</v>
      </c>
      <c r="D11" s="12" t="n">
        <v>195086.517858404</v>
      </c>
      <c r="E11" s="12" t="n">
        <v>302319.322785626</v>
      </c>
      <c r="F11" s="12" t="n">
        <v>420457.186608494</v>
      </c>
      <c r="G11" s="12" t="n">
        <v>533042.694291439</v>
      </c>
      <c r="H11" s="12" t="n">
        <v>698071.797832036</v>
      </c>
      <c r="I11" s="12" t="n">
        <v>918480.792364102</v>
      </c>
      <c r="J11" s="12" t="n">
        <v>1197225.42734342</v>
      </c>
      <c r="K11" s="12" t="n">
        <v>1482746.81556278</v>
      </c>
      <c r="L11" s="12" t="n">
        <v>1833975.18238338</v>
      </c>
      <c r="M11" s="12" t="n">
        <v>2254023.75054719</v>
      </c>
      <c r="N11" s="12" t="n">
        <v>2746017.69564849</v>
      </c>
      <c r="O11" s="12" t="n">
        <v>3278336.87519182</v>
      </c>
      <c r="P11" s="12" t="n">
        <v>3836274.27274109</v>
      </c>
      <c r="Q11" s="2"/>
      <c r="R11" s="2"/>
    </row>
    <row r="12" customFormat="false" ht="32.8" hidden="false" customHeight="false" outlineLevel="0" collapsed="false">
      <c r="A12" s="9" t="s">
        <v>42</v>
      </c>
      <c r="B12" s="11" t="n">
        <v>691314.397345807</v>
      </c>
      <c r="C12" s="11" t="n">
        <v>752384.283227823</v>
      </c>
      <c r="D12" s="11" t="n">
        <v>925823.920331045</v>
      </c>
      <c r="E12" s="11" t="n">
        <v>1742417.68455785</v>
      </c>
      <c r="F12" s="11" t="n">
        <v>1826323.55921217</v>
      </c>
      <c r="G12" s="11" t="n">
        <v>1879798.57190215</v>
      </c>
      <c r="H12" s="11" t="n">
        <v>2566573.43382394</v>
      </c>
      <c r="I12" s="11" t="n">
        <v>3338763.68812422</v>
      </c>
      <c r="J12" s="11" t="n">
        <v>4199351.48996621</v>
      </c>
      <c r="K12" s="11" t="n">
        <v>4551505.48237858</v>
      </c>
      <c r="L12" s="11" t="n">
        <v>7514344.27315891</v>
      </c>
      <c r="M12" s="11" t="n">
        <v>8966057.46435439</v>
      </c>
      <c r="N12" s="11" t="n">
        <v>10536753.2656805</v>
      </c>
      <c r="O12" s="11" t="n">
        <v>11512931.8634761</v>
      </c>
      <c r="P12" s="11" t="n">
        <v>12490190.7073309</v>
      </c>
      <c r="Q12" s="2"/>
      <c r="R12" s="6" t="s">
        <v>63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64</v>
      </c>
      <c r="B1" s="2"/>
      <c r="C1" s="2"/>
      <c r="D1" s="2"/>
      <c r="E1" s="2"/>
      <c r="F1" s="2"/>
      <c r="G1" s="2"/>
      <c r="H1" s="2"/>
      <c r="I1" s="2"/>
      <c r="J1" s="2"/>
      <c r="K1" s="2"/>
      <c r="L1" s="2"/>
      <c r="M1" s="2"/>
      <c r="N1" s="2"/>
      <c r="O1" s="2"/>
      <c r="P1" s="2"/>
      <c r="Q1" s="2"/>
      <c r="R1" s="2"/>
    </row>
    <row r="2" customFormat="false" ht="15" hidden="false" customHeight="false" outlineLevel="0" collapsed="false">
      <c r="A2" s="3" t="s">
        <v>65</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66</v>
      </c>
      <c r="B4" s="7" t="n">
        <v>0.2</v>
      </c>
      <c r="C4" s="2"/>
      <c r="D4" s="20" t="s">
        <v>67</v>
      </c>
      <c r="E4" s="2"/>
      <c r="F4" s="2"/>
      <c r="G4" s="2"/>
      <c r="H4" s="2"/>
      <c r="I4" s="2"/>
      <c r="J4" s="2"/>
      <c r="K4" s="2"/>
      <c r="L4" s="2"/>
      <c r="M4" s="2"/>
      <c r="N4" s="2"/>
      <c r="O4" s="2"/>
      <c r="P4" s="2"/>
      <c r="Q4" s="2"/>
      <c r="R4" s="2"/>
    </row>
    <row r="5" customFormat="false" ht="15" hidden="false" customHeight="false" outlineLevel="0" collapsed="false">
      <c r="A5" s="4" t="s">
        <v>68</v>
      </c>
      <c r="B5" s="7" t="n">
        <v>0.0875</v>
      </c>
      <c r="C5" s="2"/>
      <c r="D5" s="20" t="s">
        <v>69</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9" t="s">
        <v>28</v>
      </c>
      <c r="B8" s="10" t="n">
        <v>1</v>
      </c>
      <c r="C8" s="10" t="n">
        <v>2</v>
      </c>
      <c r="D8" s="10" t="n">
        <v>3</v>
      </c>
      <c r="E8" s="10" t="n">
        <v>4</v>
      </c>
      <c r="F8" s="10" t="n">
        <v>5</v>
      </c>
      <c r="G8" s="10" t="n">
        <v>6</v>
      </c>
      <c r="H8" s="10" t="n">
        <v>7</v>
      </c>
      <c r="I8" s="10" t="n">
        <v>8</v>
      </c>
      <c r="J8" s="10" t="n">
        <v>9</v>
      </c>
      <c r="K8" s="10" t="n">
        <v>10</v>
      </c>
      <c r="L8" s="10" t="n">
        <v>11</v>
      </c>
      <c r="M8" s="10" t="n">
        <v>12</v>
      </c>
      <c r="N8" s="10" t="n">
        <v>13</v>
      </c>
      <c r="O8" s="10" t="n">
        <v>14</v>
      </c>
      <c r="P8" s="10" t="n">
        <v>15</v>
      </c>
      <c r="Q8" s="2"/>
      <c r="R8" s="9" t="s">
        <v>29</v>
      </c>
    </row>
    <row r="9" customFormat="false" ht="22.35" hidden="false" customHeight="false" outlineLevel="0" collapsed="false">
      <c r="A9" s="9" t="s">
        <v>70</v>
      </c>
      <c r="B9" s="11" t="n">
        <f aca="false">'Year by year'!B17</f>
        <v>0</v>
      </c>
      <c r="C9" s="11" t="n">
        <f aca="false">'Year by year'!C17</f>
        <v>1792.19299366938</v>
      </c>
      <c r="D9" s="11" t="n">
        <f aca="false">'Year by year'!D17</f>
        <v>18297.8568297941</v>
      </c>
      <c r="E9" s="11" t="n">
        <f aca="false">'Year by year'!E17</f>
        <v>122388.394146942</v>
      </c>
      <c r="F9" s="11" t="n">
        <f aca="false">'Year by year'!F17</f>
        <v>132457.09910546</v>
      </c>
      <c r="G9" s="11" t="n">
        <f aca="false">'Year by year'!G17</f>
        <v>138874.100628258</v>
      </c>
      <c r="H9" s="11" t="n">
        <f aca="false">'Year by year'!H17</f>
        <v>221287.084058873</v>
      </c>
      <c r="I9" s="11" t="n">
        <f aca="false">'Year by year'!I17</f>
        <v>313949.914574906</v>
      </c>
      <c r="J9" s="11" t="n">
        <f aca="false">'Year by year'!J17</f>
        <v>417220.450795945</v>
      </c>
      <c r="K9" s="11" t="n">
        <f aca="false">'Year by year'!K17</f>
        <v>459478.92988543</v>
      </c>
      <c r="L9" s="11" t="n">
        <f aca="false">'Year by year'!L17</f>
        <v>815019.584779069</v>
      </c>
      <c r="M9" s="11" t="n">
        <f aca="false">'Year by year'!M17</f>
        <v>989225.167722527</v>
      </c>
      <c r="N9" s="11" t="n">
        <f aca="false">'Year by year'!N17</f>
        <v>1177708.66388166</v>
      </c>
      <c r="O9" s="11" t="n">
        <f aca="false">'Year by year'!O17</f>
        <v>1294850.09561713</v>
      </c>
      <c r="P9" s="11" t="n">
        <f aca="false">'Year by year'!P17</f>
        <v>1412121.15687971</v>
      </c>
      <c r="Q9" s="2"/>
      <c r="R9" s="6" t="s">
        <v>71</v>
      </c>
    </row>
    <row r="10" customFormat="false" ht="15" hidden="false" customHeight="false" outlineLevel="0" collapsed="false">
      <c r="A10" s="9" t="s">
        <v>72</v>
      </c>
      <c r="B10" s="11" t="n">
        <f aca="false">B9*(1-$B$4)</f>
        <v>0</v>
      </c>
      <c r="C10" s="11" t="n">
        <f aca="false">C9*(1-$B$4)</f>
        <v>1433.7543949355</v>
      </c>
      <c r="D10" s="11" t="n">
        <f aca="false">D9*(1-$B$4)</f>
        <v>14638.2854638352</v>
      </c>
      <c r="E10" s="11" t="n">
        <f aca="false">E9*(1-$B$4)</f>
        <v>97910.7153175536</v>
      </c>
      <c r="F10" s="11" t="n">
        <f aca="false">F9*(1-$B$4)</f>
        <v>105965.679284368</v>
      </c>
      <c r="G10" s="11" t="n">
        <f aca="false">G9*(1-$B$4)</f>
        <v>111099.280502606</v>
      </c>
      <c r="H10" s="11" t="n">
        <f aca="false">H9*(1-$B$4)</f>
        <v>177029.667247098</v>
      </c>
      <c r="I10" s="11" t="n">
        <f aca="false">I9*(1-$B$4)</f>
        <v>251159.931659925</v>
      </c>
      <c r="J10" s="11" t="n">
        <f aca="false">J9*(1-$B$4)</f>
        <v>333776.360636756</v>
      </c>
      <c r="K10" s="11" t="n">
        <f aca="false">K9*(1-$B$4)</f>
        <v>367583.143908344</v>
      </c>
      <c r="L10" s="11" t="n">
        <f aca="false">L9*(1-$B$4)</f>
        <v>652015.667823255</v>
      </c>
      <c r="M10" s="11" t="n">
        <f aca="false">M9*(1-$B$4)</f>
        <v>791380.134178022</v>
      </c>
      <c r="N10" s="11" t="n">
        <f aca="false">N9*(1-$B$4)</f>
        <v>942166.931105328</v>
      </c>
      <c r="O10" s="11" t="n">
        <f aca="false">O9*(1-$B$4)</f>
        <v>1035880.07649371</v>
      </c>
      <c r="P10" s="11" t="n">
        <f aca="false">P9*(1-$B$4)</f>
        <v>1129696.92550377</v>
      </c>
      <c r="Q10" s="2"/>
      <c r="R10" s="2"/>
    </row>
    <row r="11" customFormat="false" ht="15" hidden="false" customHeight="false" outlineLevel="0" collapsed="false">
      <c r="A11" s="4" t="s">
        <v>73</v>
      </c>
      <c r="B11" s="12" t="n">
        <f aca="false">B10</f>
        <v>0</v>
      </c>
      <c r="C11" s="12" t="n">
        <f aca="false">C10</f>
        <v>1433.7543949355</v>
      </c>
      <c r="D11" s="12" t="n">
        <f aca="false">D10</f>
        <v>14638.2854638352</v>
      </c>
      <c r="E11" s="12" t="n">
        <f aca="false">E10</f>
        <v>97910.7153175536</v>
      </c>
      <c r="F11" s="12" t="n">
        <f aca="false">F10</f>
        <v>105965.679284368</v>
      </c>
      <c r="G11" s="12" t="n">
        <f aca="false">G10</f>
        <v>111099.280502606</v>
      </c>
      <c r="H11" s="12" t="n">
        <f aca="false">H10</f>
        <v>177029.667247098</v>
      </c>
      <c r="I11" s="12" t="n">
        <f aca="false">I10</f>
        <v>251159.931659925</v>
      </c>
      <c r="J11" s="12" t="n">
        <f aca="false">J10</f>
        <v>333776.360636756</v>
      </c>
      <c r="K11" s="12" t="n">
        <f aca="false">K10</f>
        <v>367583.143908344</v>
      </c>
      <c r="L11" s="12" t="n">
        <f aca="false">L10</f>
        <v>652015.667823255</v>
      </c>
      <c r="M11" s="12" t="n">
        <f aca="false">M10</f>
        <v>791380.134178022</v>
      </c>
      <c r="N11" s="12" t="n">
        <f aca="false">N10</f>
        <v>942166.931105328</v>
      </c>
      <c r="O11" s="12" t="n">
        <f aca="false">O10</f>
        <v>1035880.07649371</v>
      </c>
      <c r="P11" s="12" t="n">
        <f aca="false">P10</f>
        <v>1129696.92550377</v>
      </c>
      <c r="Q11" s="2"/>
      <c r="R11" s="2"/>
    </row>
    <row r="12" customFormat="false" ht="15" hidden="false" customHeight="false" outlineLevel="0" collapsed="false">
      <c r="A12" s="4" t="s">
        <v>74</v>
      </c>
      <c r="B12" s="12" t="n">
        <f aca="false">IF(B10=0,0,PMT($B$5/12,36,-B10))</f>
        <v>0</v>
      </c>
      <c r="C12" s="12" t="n">
        <f aca="false">IF(C10=0,0,PMT($B$5/12,36,-C10))</f>
        <v>45.4263677248379</v>
      </c>
      <c r="D12" s="12" t="n">
        <f aca="false">IF(D10=0,0,PMT($B$5/12,36,-D10))</f>
        <v>463.792223194017</v>
      </c>
      <c r="E12" s="12" t="n">
        <f aca="false">IF(E10=0,0,PMT($B$5/12,36,-E10))</f>
        <v>3102.15485576049</v>
      </c>
      <c r="F12" s="12" t="n">
        <f aca="false">IF(F10=0,0,PMT($B$5/12,36,-F10))</f>
        <v>3357.3643647666</v>
      </c>
      <c r="G12" s="12" t="n">
        <f aca="false">IF(G10=0,0,PMT($B$5/12,36,-G10))</f>
        <v>3520.01485603352</v>
      </c>
      <c r="H12" s="12" t="n">
        <f aca="false">IF(H10=0,0,PMT($B$5/12,36,-H10))</f>
        <v>5608.92074052484</v>
      </c>
      <c r="I12" s="12" t="n">
        <f aca="false">IF(I10=0,0,PMT($B$5/12,36,-I10))</f>
        <v>7957.62750833079</v>
      </c>
      <c r="J12" s="12" t="n">
        <f aca="false">IF(J10=0,0,PMT($B$5/12,36,-J10))</f>
        <v>10575.2057323775</v>
      </c>
      <c r="K12" s="12" t="n">
        <f aca="false">IF(K10=0,0,PMT($B$5/12,36,-K10))</f>
        <v>11646.323194276</v>
      </c>
      <c r="L12" s="12" t="n">
        <f aca="false">IF(L10=0,0,PMT($B$5/12,36,-L10))</f>
        <v>20658.1431195734</v>
      </c>
      <c r="M12" s="12" t="n">
        <f aca="false">IF(M10=0,0,PMT($B$5/12,36,-M10))</f>
        <v>25073.698195652</v>
      </c>
      <c r="N12" s="12" t="n">
        <f aca="false">IF(N10=0,0,PMT($B$5/12,36,-N10))</f>
        <v>29851.1527649043</v>
      </c>
      <c r="O12" s="12" t="n">
        <f aca="false">IF(O10=0,0,PMT($B$5/12,36,-O10))</f>
        <v>32820.3138835038</v>
      </c>
      <c r="P12" s="12" t="n">
        <f aca="false">IF(P10=0,0,PMT($B$5/12,36,-P10))</f>
        <v>35792.7606965498</v>
      </c>
      <c r="Q12" s="2"/>
      <c r="R12" s="2"/>
    </row>
    <row r="13" customFormat="false" ht="32.8" hidden="false" customHeight="false" outlineLevel="0" collapsed="false">
      <c r="A13" s="9" t="s">
        <v>75</v>
      </c>
      <c r="B13" s="11" t="n">
        <f aca="false">IF(B10=0,0,PMT($B$5/12,60,-B10))</f>
        <v>0</v>
      </c>
      <c r="C13" s="11" t="n">
        <f aca="false">IF(C10=0,0,PMT($B$5/12,60,-C10))</f>
        <v>29.5887230928903</v>
      </c>
      <c r="D13" s="11" t="n">
        <f aca="false">IF(D10=0,0,PMT($B$5/12,60,-D10))</f>
        <v>302.093703547871</v>
      </c>
      <c r="E13" s="11" t="n">
        <f aca="false">IF(E10=0,0,PMT($B$5/12,60,-E10))</f>
        <v>2020.60621651188</v>
      </c>
      <c r="F13" s="11" t="n">
        <f aca="false">IF(F10=0,0,PMT($B$5/12,60,-F10))</f>
        <v>2186.8383823411</v>
      </c>
      <c r="G13" s="11" t="n">
        <f aca="false">IF(G10=0,0,PMT($B$5/12,60,-G10))</f>
        <v>2292.78170530654</v>
      </c>
      <c r="H13" s="11" t="n">
        <f aca="false">IF(H10=0,0,PMT($B$5/12,60,-H10))</f>
        <v>3653.40243901156</v>
      </c>
      <c r="I13" s="11" t="n">
        <f aca="false">IF(I10=0,0,PMT($B$5/12,60,-I10))</f>
        <v>5183.2459563265</v>
      </c>
      <c r="J13" s="11" t="n">
        <f aca="false">IF(J10=0,0,PMT($B$5/12,60,-J10))</f>
        <v>6888.22042653823</v>
      </c>
      <c r="K13" s="11" t="n">
        <f aca="false">IF(K10=0,0,PMT($B$5/12,60,-K10))</f>
        <v>7585.89887998727</v>
      </c>
      <c r="L13" s="11" t="n">
        <f aca="false">IF(L10=0,0,PMT($B$5/12,60,-L10))</f>
        <v>13455.7990654432</v>
      </c>
      <c r="M13" s="11" t="n">
        <f aca="false">IF(M10=0,0,PMT($B$5/12,60,-M10))</f>
        <v>16331.8959886859</v>
      </c>
      <c r="N13" s="11" t="n">
        <f aca="false">IF(N10=0,0,PMT($B$5/12,60,-N10))</f>
        <v>19443.7182060097</v>
      </c>
      <c r="O13" s="11" t="n">
        <f aca="false">IF(O10=0,0,PMT($B$5/12,60,-O10))</f>
        <v>21377.6981950895</v>
      </c>
      <c r="P13" s="11" t="n">
        <f aca="false">IF(P10=0,0,PMT($B$5/12,60,-P10))</f>
        <v>23313.8183399425</v>
      </c>
      <c r="Q13" s="2"/>
      <c r="R13" s="6" t="s">
        <v>76</v>
      </c>
    </row>
    <row r="14" customFormat="false" ht="15" hidden="false" customHeight="false" outlineLevel="0" collapsed="false">
      <c r="A14" s="4" t="s">
        <v>77</v>
      </c>
      <c r="B14" s="12" t="n">
        <f aca="false">IF(B10=0,0,PMT($B$5/12,84,-B10))</f>
        <v>0</v>
      </c>
      <c r="C14" s="12" t="n">
        <f aca="false">IF(C10=0,0,PMT($B$5/12,84,-C10))</f>
        <v>22.886293507828</v>
      </c>
      <c r="D14" s="12" t="n">
        <f aca="false">IF(D10=0,0,PMT($B$5/12,84,-D10))</f>
        <v>233.663519191358</v>
      </c>
      <c r="E14" s="12" t="n">
        <f aca="false">IF(E10=0,0,PMT($B$5/12,84,-E10))</f>
        <v>1562.89904061269</v>
      </c>
      <c r="F14" s="12" t="n">
        <f aca="false">IF(F10=0,0,PMT($B$5/12,84,-F10))</f>
        <v>1691.47634101413</v>
      </c>
      <c r="G14" s="12" t="n">
        <f aca="false">IF(G10=0,0,PMT($B$5/12,84,-G10))</f>
        <v>1773.42141099804</v>
      </c>
      <c r="H14" s="12" t="n">
        <f aca="false">IF(H10=0,0,PMT($B$5/12,84,-H10))</f>
        <v>2825.83470259736</v>
      </c>
      <c r="I14" s="12" t="n">
        <f aca="false">IF(I10=0,0,PMT($B$5/12,84,-I10))</f>
        <v>4009.13847844467</v>
      </c>
      <c r="J14" s="12" t="n">
        <f aca="false">IF(J10=0,0,PMT($B$5/12,84,-J10))</f>
        <v>5327.90259091139</v>
      </c>
      <c r="K14" s="12" t="n">
        <f aca="false">IF(K10=0,0,PMT($B$5/12,84,-K10))</f>
        <v>5867.54310900995</v>
      </c>
      <c r="L14" s="12" t="n">
        <f aca="false">IF(L10=0,0,PMT($B$5/12,84,-L10))</f>
        <v>10407.795085557</v>
      </c>
      <c r="M14" s="12" t="n">
        <f aca="false">IF(M10=0,0,PMT($B$5/12,84,-M10))</f>
        <v>12632.3993084445</v>
      </c>
      <c r="N14" s="12" t="n">
        <f aca="false">IF(N10=0,0,PMT($B$5/12,84,-N10))</f>
        <v>15039.3323952922</v>
      </c>
      <c r="O14" s="12" t="n">
        <f aca="false">IF(O10=0,0,PMT($B$5/12,84,-O10))</f>
        <v>16535.2277581773</v>
      </c>
      <c r="P14" s="12" t="n">
        <f aca="false">IF(P10=0,0,PMT($B$5/12,84,-P10))</f>
        <v>18032.7784893264</v>
      </c>
      <c r="Q14" s="2"/>
      <c r="R14" s="2"/>
    </row>
    <row r="15" customFormat="false" ht="15" hidden="false" customHeight="false" outlineLevel="0" collapsed="false">
      <c r="A15" s="13" t="s">
        <v>78</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79</v>
      </c>
      <c r="B16" s="12" t="n">
        <v>314146.07309104</v>
      </c>
      <c r="C16" s="12" t="n">
        <v>303726.24221904</v>
      </c>
      <c r="D16" s="12" t="n">
        <v>361218.979335931</v>
      </c>
      <c r="E16" s="12" t="n">
        <v>487332.012318055</v>
      </c>
      <c r="F16" s="12" t="n">
        <v>479969.659557169</v>
      </c>
      <c r="G16" s="12" t="n">
        <v>466088.769207364</v>
      </c>
      <c r="H16" s="12" t="n">
        <v>597197.758851492</v>
      </c>
      <c r="I16" s="12" t="n">
        <v>735647.486330165</v>
      </c>
      <c r="J16" s="12" t="n">
        <v>881486.5874483</v>
      </c>
      <c r="K16" s="12" t="n">
        <v>898428.470548401</v>
      </c>
      <c r="L16" s="12" t="n">
        <v>1062695.91705148</v>
      </c>
      <c r="M16" s="12" t="n">
        <v>1234746.42040954</v>
      </c>
      <c r="N16" s="12" t="n">
        <v>1414609.86275326</v>
      </c>
      <c r="O16" s="12" t="n">
        <v>1480797.94885832</v>
      </c>
      <c r="P16" s="12" t="n">
        <v>1544843.49387317</v>
      </c>
      <c r="Q16" s="2"/>
      <c r="R16" s="2"/>
    </row>
    <row r="17" customFormat="false" ht="15" hidden="false" customHeight="false" outlineLevel="0" collapsed="false">
      <c r="A17" s="4" t="s">
        <v>62</v>
      </c>
      <c r="B17" s="12" t="n">
        <v>62958.4292364159</v>
      </c>
      <c r="C17" s="12" t="n">
        <v>124448.926124032</v>
      </c>
      <c r="D17" s="12" t="n">
        <v>195086.517858404</v>
      </c>
      <c r="E17" s="12" t="n">
        <v>302319.322785626</v>
      </c>
      <c r="F17" s="12" t="n">
        <v>420457.186608494</v>
      </c>
      <c r="G17" s="12" t="n">
        <v>533042.694291439</v>
      </c>
      <c r="H17" s="12" t="n">
        <v>698071.797832036</v>
      </c>
      <c r="I17" s="12" t="n">
        <v>918480.792364102</v>
      </c>
      <c r="J17" s="12" t="n">
        <v>1197225.42734342</v>
      </c>
      <c r="K17" s="12" t="n">
        <v>1482746.81556278</v>
      </c>
      <c r="L17" s="12" t="n">
        <v>1833975.18238338</v>
      </c>
      <c r="M17" s="12" t="n">
        <v>2254023.75054719</v>
      </c>
      <c r="N17" s="12" t="n">
        <v>2746017.69564849</v>
      </c>
      <c r="O17" s="12" t="n">
        <v>3278336.87519182</v>
      </c>
      <c r="P17" s="12" t="n">
        <v>3836274.27274109</v>
      </c>
      <c r="Q17" s="2"/>
      <c r="R17" s="2"/>
    </row>
    <row r="18" customFormat="false" ht="22.35" hidden="false" customHeight="false" outlineLevel="0" collapsed="false">
      <c r="A18" s="9" t="s">
        <v>80</v>
      </c>
      <c r="B18" s="16" t="n">
        <f aca="false">IF(B16=0,0,B13*12/B16)</f>
        <v>0</v>
      </c>
      <c r="C18" s="16" t="n">
        <f aca="false">IF(C16=0,0,C13*12/C16)</f>
        <v>0.00116902864408608</v>
      </c>
      <c r="D18" s="16" t="n">
        <f aca="false">IF(D16=0,0,D13*12/D16)</f>
        <v>0.010035808332217</v>
      </c>
      <c r="E18" s="16" t="n">
        <f aca="false">IF(E16=0,0,E13*12/E16)</f>
        <v>0.0497551443066657</v>
      </c>
      <c r="F18" s="16" t="n">
        <f aca="false">IF(F16=0,0,F13*12/F16)</f>
        <v>0.0546744154876472</v>
      </c>
      <c r="G18" s="16" t="n">
        <f aca="false">IF(G16=0,0,G13*12/G16)</f>
        <v>0.0590303441777156</v>
      </c>
      <c r="H18" s="16" t="n">
        <f aca="false">IF(H16=0,0,H13*12/H16)</f>
        <v>0.0734109072218418</v>
      </c>
      <c r="I18" s="16" t="n">
        <f aca="false">IF(I16=0,0,I13*12/I16)</f>
        <v>0.0845499408775286</v>
      </c>
      <c r="J18" s="16" t="n">
        <f aca="false">IF(J16=0,0,J13*12/J16)</f>
        <v>0.0937718693573506</v>
      </c>
      <c r="K18" s="16" t="n">
        <f aca="false">IF(K16=0,0,K13*12/K16)</f>
        <v>0.101322241607372</v>
      </c>
      <c r="L18" s="16" t="n">
        <f aca="false">IF(L16=0,0,L13*12/L16)</f>
        <v>0.151943360461313</v>
      </c>
      <c r="M18" s="16" t="n">
        <f aca="false">IF(M16=0,0,M13*12/M16)</f>
        <v>0.158723077568613</v>
      </c>
      <c r="N18" s="16" t="n">
        <f aca="false">IF(N16=0,0,N13*12/N16)</f>
        <v>0.164939199574076</v>
      </c>
      <c r="O18" s="16" t="n">
        <f aca="false">IF(O16=0,0,O13*12/O16)</f>
        <v>0.17323928530483</v>
      </c>
      <c r="P18" s="16" t="n">
        <f aca="false">IF(P16=0,0,P13*12/P16)</f>
        <v>0.181096545500472</v>
      </c>
      <c r="Q18" s="2"/>
      <c r="R18" s="6" t="s">
        <v>81</v>
      </c>
    </row>
    <row r="19" customFormat="false" ht="15" hidden="false" customHeight="false" outlineLevel="0" collapsed="false">
      <c r="A19" s="4" t="s">
        <v>82</v>
      </c>
      <c r="B19" s="19" t="str">
        <f aca="false">IF(B10=0,"-",IF(B17&gt;=B10,"yes","no - needs a note"))</f>
        <v>-</v>
      </c>
      <c r="C19" s="19" t="str">
        <f aca="false">IF(C10=0,"-",IF(C17&gt;=C10,"yes","no - needs a note"))</f>
        <v>yes</v>
      </c>
      <c r="D19" s="19" t="str">
        <f aca="false">IF(D10=0,"-",IF(D17&gt;=D10,"yes","no - needs a note"))</f>
        <v>yes</v>
      </c>
      <c r="E19" s="19" t="str">
        <f aca="false">IF(E10=0,"-",IF(E17&gt;=E10,"yes","no - needs a note"))</f>
        <v>yes</v>
      </c>
      <c r="F19" s="19" t="str">
        <f aca="false">IF(F10=0,"-",IF(F17&gt;=F10,"yes","no - needs a note"))</f>
        <v>yes</v>
      </c>
      <c r="G19" s="19" t="str">
        <f aca="false">IF(G10=0,"-",IF(G17&gt;=G10,"yes","no - needs a note"))</f>
        <v>yes</v>
      </c>
      <c r="H19" s="19" t="str">
        <f aca="false">IF(H10=0,"-",IF(H17&gt;=H10,"yes","no - needs a note"))</f>
        <v>yes</v>
      </c>
      <c r="I19" s="19" t="str">
        <f aca="false">IF(I10=0,"-",IF(I17&gt;=I10,"yes","no - needs a note"))</f>
        <v>yes</v>
      </c>
      <c r="J19" s="19" t="str">
        <f aca="false">IF(J10=0,"-",IF(J17&gt;=J10,"yes","no - needs a note"))</f>
        <v>yes</v>
      </c>
      <c r="K19" s="19" t="str">
        <f aca="false">IF(K10=0,"-",IF(K17&gt;=K10,"yes","no - needs a note"))</f>
        <v>yes</v>
      </c>
      <c r="L19" s="19" t="str">
        <f aca="false">IF(L10=0,"-",IF(L17&gt;=L10,"yes","no - needs a note"))</f>
        <v>yes</v>
      </c>
      <c r="M19" s="19" t="str">
        <f aca="false">IF(M10=0,"-",IF(M17&gt;=M10,"yes","no - needs a note"))</f>
        <v>yes</v>
      </c>
      <c r="N19" s="19" t="str">
        <f aca="false">IF(N10=0,"-",IF(N17&gt;=N10,"yes","no - needs a note"))</f>
        <v>yes</v>
      </c>
      <c r="O19" s="19" t="str">
        <f aca="false">IF(O10=0,"-",IF(O17&gt;=O10,"yes","no - needs a note"))</f>
        <v>yes</v>
      </c>
      <c r="P19" s="19"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7" t="s">
        <v>83</v>
      </c>
      <c r="B21" s="18"/>
      <c r="C21" s="18"/>
      <c r="D21" s="18"/>
      <c r="E21" s="18"/>
      <c r="F21" s="18"/>
      <c r="G21" s="18"/>
      <c r="H21" s="18"/>
      <c r="I21" s="18"/>
      <c r="J21" s="18"/>
      <c r="K21" s="18"/>
      <c r="L21" s="18"/>
      <c r="M21" s="18"/>
      <c r="N21" s="18"/>
      <c r="O21" s="18"/>
      <c r="P21" s="18"/>
      <c r="Q21" s="2"/>
      <c r="R21" s="18"/>
    </row>
    <row r="22" customFormat="false" ht="27.75" hidden="false" customHeight="true" outlineLevel="0" collapsed="false">
      <c r="A22" s="22" t="s">
        <v>84</v>
      </c>
      <c r="B22" s="22"/>
      <c r="C22" s="22"/>
      <c r="D22" s="22"/>
      <c r="E22" s="22"/>
      <c r="F22" s="22"/>
      <c r="G22" s="22"/>
      <c r="H22" s="22"/>
      <c r="I22" s="22"/>
      <c r="J22" s="22"/>
      <c r="K22" s="22"/>
      <c r="L22" s="22"/>
      <c r="M22" s="22"/>
      <c r="N22" s="22"/>
      <c r="O22" s="22"/>
      <c r="P22" s="22"/>
      <c r="Q22" s="22"/>
      <c r="R22" s="22"/>
    </row>
    <row r="23" customFormat="false" ht="27.75" hidden="false" customHeight="true" outlineLevel="0" collapsed="false">
      <c r="A23" s="22" t="s">
        <v>85</v>
      </c>
      <c r="B23" s="22"/>
      <c r="C23" s="22"/>
      <c r="D23" s="22"/>
      <c r="E23" s="22"/>
      <c r="F23" s="22"/>
      <c r="G23" s="22"/>
      <c r="H23" s="22"/>
      <c r="I23" s="22"/>
      <c r="J23" s="22"/>
      <c r="K23" s="22"/>
      <c r="L23" s="22"/>
      <c r="M23" s="22"/>
      <c r="N23" s="22"/>
      <c r="O23" s="22"/>
      <c r="P23" s="22"/>
      <c r="Q23" s="22"/>
      <c r="R23" s="22"/>
    </row>
    <row r="24" customFormat="false" ht="27.75" hidden="false" customHeight="true" outlineLevel="0" collapsed="false">
      <c r="A24" s="22" t="s">
        <v>86</v>
      </c>
      <c r="B24" s="22"/>
      <c r="C24" s="22"/>
      <c r="D24" s="22"/>
      <c r="E24" s="22"/>
      <c r="F24" s="22"/>
      <c r="G24" s="22"/>
      <c r="H24" s="22"/>
      <c r="I24" s="22"/>
      <c r="J24" s="22"/>
      <c r="K24" s="22"/>
      <c r="L24" s="22"/>
      <c r="M24" s="22"/>
      <c r="N24" s="22"/>
      <c r="O24" s="22"/>
      <c r="P24" s="22"/>
      <c r="Q24" s="22"/>
      <c r="R24" s="22"/>
    </row>
    <row r="25" customFormat="false" ht="27.75" hidden="false" customHeight="true" outlineLevel="0" collapsed="false">
      <c r="A25" s="22" t="s">
        <v>87</v>
      </c>
      <c r="B25" s="22"/>
      <c r="C25" s="22"/>
      <c r="D25" s="22"/>
      <c r="E25" s="22"/>
      <c r="F25" s="22"/>
      <c r="G25" s="22"/>
      <c r="H25" s="22"/>
      <c r="I25" s="22"/>
      <c r="J25" s="22"/>
      <c r="K25" s="22"/>
      <c r="L25" s="22"/>
      <c r="M25" s="22"/>
      <c r="N25" s="22"/>
      <c r="O25" s="22"/>
      <c r="P25" s="22"/>
      <c r="Q25" s="22"/>
      <c r="R25" s="22"/>
    </row>
    <row r="26" customFormat="false" ht="27.75" hidden="false" customHeight="true" outlineLevel="0" collapsed="false">
      <c r="A26" s="22" t="s">
        <v>88</v>
      </c>
      <c r="B26" s="22"/>
      <c r="C26" s="22"/>
      <c r="D26" s="22"/>
      <c r="E26" s="22"/>
      <c r="F26" s="22"/>
      <c r="G26" s="22"/>
      <c r="H26" s="22"/>
      <c r="I26" s="22"/>
      <c r="J26" s="22"/>
      <c r="K26" s="22"/>
      <c r="L26" s="22"/>
      <c r="M26" s="22"/>
      <c r="N26" s="22"/>
      <c r="O26" s="22"/>
      <c r="P26" s="22"/>
      <c r="Q26" s="22"/>
      <c r="R26" s="22"/>
    </row>
    <row r="27" customFormat="false" ht="27.75" hidden="false" customHeight="true" outlineLevel="0" collapsed="false">
      <c r="A27" s="22" t="s">
        <v>89</v>
      </c>
      <c r="B27" s="22"/>
      <c r="C27" s="22"/>
      <c r="D27" s="22"/>
      <c r="E27" s="22"/>
      <c r="F27" s="22"/>
      <c r="G27" s="22"/>
      <c r="H27" s="22"/>
      <c r="I27" s="22"/>
      <c r="J27" s="22"/>
      <c r="K27" s="22"/>
      <c r="L27" s="22"/>
      <c r="M27" s="22"/>
      <c r="N27" s="22"/>
      <c r="O27" s="22"/>
      <c r="P27" s="22"/>
      <c r="Q27" s="22"/>
      <c r="R27" s="22"/>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90</v>
      </c>
      <c r="B1" s="2"/>
      <c r="C1" s="2"/>
    </row>
    <row r="2" customFormat="false" ht="15" hidden="false" customHeight="false" outlineLevel="0" collapsed="false">
      <c r="A2" s="3" t="s">
        <v>91</v>
      </c>
      <c r="B2" s="2"/>
      <c r="C2" s="2"/>
    </row>
    <row r="3" customFormat="false" ht="15" hidden="false" customHeight="false" outlineLevel="0" collapsed="false">
      <c r="A3" s="2"/>
      <c r="B3" s="2"/>
      <c r="C3" s="2"/>
    </row>
    <row r="4" customFormat="false" ht="15" hidden="false" customHeight="false" outlineLevel="0" collapsed="false">
      <c r="A4" s="17" t="s">
        <v>92</v>
      </c>
      <c r="B4" s="18"/>
      <c r="C4" s="18"/>
    </row>
    <row r="5" customFormat="false" ht="15" hidden="false" customHeight="false" outlineLevel="0" collapsed="false">
      <c r="A5" s="23" t="s">
        <v>93</v>
      </c>
      <c r="B5" s="23" t="s">
        <v>94</v>
      </c>
      <c r="C5" s="23" t="s">
        <v>95</v>
      </c>
    </row>
    <row r="6" customFormat="false" ht="39" hidden="false" customHeight="true" outlineLevel="0" collapsed="false">
      <c r="A6" s="24" t="s">
        <v>96</v>
      </c>
      <c r="B6" s="25" t="s">
        <v>97</v>
      </c>
      <c r="C6" s="25" t="s">
        <v>98</v>
      </c>
    </row>
    <row r="7" customFormat="false" ht="39" hidden="false" customHeight="true" outlineLevel="0" collapsed="false">
      <c r="A7" s="24" t="s">
        <v>99</v>
      </c>
      <c r="B7" s="25" t="s">
        <v>100</v>
      </c>
      <c r="C7" s="25" t="s">
        <v>101</v>
      </c>
    </row>
    <row r="8" customFormat="false" ht="39" hidden="false" customHeight="true" outlineLevel="0" collapsed="false">
      <c r="A8" s="24" t="s">
        <v>102</v>
      </c>
      <c r="B8" s="25" t="s">
        <v>103</v>
      </c>
      <c r="C8" s="25" t="s">
        <v>104</v>
      </c>
    </row>
    <row r="9" customFormat="false" ht="39" hidden="false" customHeight="true" outlineLevel="0" collapsed="false">
      <c r="A9" s="24" t="s">
        <v>105</v>
      </c>
      <c r="B9" s="25" t="s">
        <v>106</v>
      </c>
      <c r="C9" s="25" t="s">
        <v>107</v>
      </c>
    </row>
    <row r="10" customFormat="false" ht="25.5" hidden="false" customHeight="true" outlineLevel="0" collapsed="false">
      <c r="A10" s="24" t="s">
        <v>108</v>
      </c>
      <c r="B10" s="25" t="s">
        <v>109</v>
      </c>
      <c r="C10" s="25" t="s">
        <v>110</v>
      </c>
    </row>
    <row r="11" customFormat="false" ht="15" hidden="false" customHeight="false" outlineLevel="0" collapsed="false">
      <c r="A11" s="2"/>
      <c r="B11" s="2"/>
      <c r="C11" s="2"/>
    </row>
    <row r="12" customFormat="false" ht="15" hidden="false" customHeight="false" outlineLevel="0" collapsed="false">
      <c r="A12" s="26" t="s">
        <v>111</v>
      </c>
      <c r="B12" s="27"/>
      <c r="C12" s="27"/>
    </row>
    <row r="13" customFormat="false" ht="15" hidden="false" customHeight="false" outlineLevel="0" collapsed="false">
      <c r="A13" s="23" t="s">
        <v>93</v>
      </c>
      <c r="B13" s="23" t="s">
        <v>94</v>
      </c>
      <c r="C13" s="23" t="s">
        <v>95</v>
      </c>
    </row>
    <row r="14" customFormat="false" ht="51.75" hidden="false" customHeight="true" outlineLevel="0" collapsed="false">
      <c r="A14" s="24" t="s">
        <v>112</v>
      </c>
      <c r="B14" s="25" t="s">
        <v>113</v>
      </c>
      <c r="C14" s="25" t="s">
        <v>114</v>
      </c>
    </row>
    <row r="15" customFormat="false" ht="51.75" hidden="false" customHeight="true" outlineLevel="0" collapsed="false">
      <c r="A15" s="24" t="s">
        <v>115</v>
      </c>
      <c r="B15" s="25" t="s">
        <v>116</v>
      </c>
      <c r="C15" s="25" t="s">
        <v>117</v>
      </c>
    </row>
    <row r="16" customFormat="false" ht="51.75" hidden="false" customHeight="true" outlineLevel="0" collapsed="false">
      <c r="A16" s="24" t="s">
        <v>118</v>
      </c>
      <c r="B16" s="25" t="s">
        <v>119</v>
      </c>
      <c r="C16" s="25" t="s">
        <v>120</v>
      </c>
    </row>
    <row r="17" customFormat="false" ht="51.75" hidden="false" customHeight="true" outlineLevel="0" collapsed="false">
      <c r="A17" s="24" t="s">
        <v>121</v>
      </c>
      <c r="B17" s="25" t="s">
        <v>122</v>
      </c>
      <c r="C17" s="25" t="s">
        <v>123</v>
      </c>
    </row>
    <row r="18" customFormat="false" ht="25.5" hidden="false" customHeight="true" outlineLevel="0" collapsed="false">
      <c r="A18" s="24" t="s">
        <v>124</v>
      </c>
      <c r="B18" s="25" t="s">
        <v>125</v>
      </c>
      <c r="C18" s="25" t="s">
        <v>126</v>
      </c>
    </row>
    <row r="19" customFormat="false" ht="15" hidden="false" customHeight="false" outlineLevel="0" collapsed="false">
      <c r="A19" s="2"/>
      <c r="B19" s="2"/>
      <c r="C19" s="2"/>
    </row>
    <row r="20" customFormat="false" ht="15" hidden="false" customHeight="false" outlineLevel="0" collapsed="false">
      <c r="A20" s="28" t="s">
        <v>127</v>
      </c>
      <c r="B20" s="29"/>
      <c r="C20" s="29"/>
    </row>
    <row r="21" customFormat="false" ht="15" hidden="false" customHeight="false" outlineLevel="0" collapsed="false">
      <c r="A21" s="23" t="s">
        <v>128</v>
      </c>
      <c r="B21" s="23" t="s">
        <v>129</v>
      </c>
      <c r="C21" s="23" t="s">
        <v>130</v>
      </c>
    </row>
    <row r="22" customFormat="false" ht="39" hidden="false" customHeight="true" outlineLevel="0" collapsed="false">
      <c r="A22" s="24" t="s">
        <v>131</v>
      </c>
      <c r="B22" s="25" t="s">
        <v>132</v>
      </c>
      <c r="C22" s="25" t="s">
        <v>133</v>
      </c>
    </row>
    <row r="23" customFormat="false" ht="64.5" hidden="false" customHeight="true" outlineLevel="0" collapsed="false">
      <c r="A23" s="24" t="s">
        <v>134</v>
      </c>
      <c r="B23" s="25" t="s">
        <v>135</v>
      </c>
      <c r="C23" s="25" t="s">
        <v>136</v>
      </c>
    </row>
    <row r="24" customFormat="false" ht="39" hidden="false" customHeight="true" outlineLevel="0" collapsed="false">
      <c r="A24" s="24" t="s">
        <v>137</v>
      </c>
      <c r="B24" s="25" t="s">
        <v>138</v>
      </c>
      <c r="C24" s="25" t="s">
        <v>139</v>
      </c>
    </row>
    <row r="25" customFormat="false" ht="64.5" hidden="false" customHeight="true" outlineLevel="0" collapsed="false">
      <c r="A25" s="24" t="s">
        <v>140</v>
      </c>
      <c r="B25" s="25" t="s">
        <v>141</v>
      </c>
      <c r="C25" s="25" t="s">
        <v>142</v>
      </c>
    </row>
    <row r="26" customFormat="false" ht="51.75" hidden="false" customHeight="true" outlineLevel="0" collapsed="false">
      <c r="A26" s="24" t="s">
        <v>143</v>
      </c>
      <c r="B26" s="25" t="s">
        <v>144</v>
      </c>
      <c r="C26" s="25" t="s">
        <v>145</v>
      </c>
    </row>
    <row r="27" customFormat="false" ht="51.75" hidden="false" customHeight="true" outlineLevel="0" collapsed="false">
      <c r="A27" s="24" t="s">
        <v>146</v>
      </c>
      <c r="B27" s="25" t="s">
        <v>147</v>
      </c>
      <c r="C27" s="25" t="s">
        <v>148</v>
      </c>
    </row>
    <row r="28" customFormat="false" ht="15" hidden="false" customHeight="false" outlineLevel="0" collapsed="false">
      <c r="A28" s="2"/>
      <c r="B28" s="2"/>
      <c r="C28" s="2"/>
    </row>
    <row r="29" customFormat="false" ht="15" hidden="false" customHeight="false" outlineLevel="0" collapsed="false">
      <c r="A29" s="28" t="s">
        <v>149</v>
      </c>
      <c r="B29" s="29"/>
      <c r="C29" s="29"/>
    </row>
    <row r="30" customFormat="false" ht="12.75" hidden="false" customHeight="true" outlineLevel="0" collapsed="false">
      <c r="A30" s="2" t="s">
        <v>150</v>
      </c>
      <c r="B30" s="30" t="s">
        <v>151</v>
      </c>
      <c r="C30" s="30"/>
    </row>
    <row r="31" customFormat="false" ht="25.5" hidden="false" customHeight="true" outlineLevel="0" collapsed="false">
      <c r="A31" s="2" t="s">
        <v>150</v>
      </c>
      <c r="B31" s="30" t="s">
        <v>152</v>
      </c>
      <c r="C31" s="30"/>
    </row>
    <row r="32" customFormat="false" ht="12.75" hidden="false" customHeight="true" outlineLevel="0" collapsed="false">
      <c r="A32" s="2" t="s">
        <v>150</v>
      </c>
      <c r="B32" s="30" t="s">
        <v>153</v>
      </c>
      <c r="C32" s="30"/>
    </row>
    <row r="33" customFormat="false" ht="12.75" hidden="false" customHeight="true" outlineLevel="0" collapsed="false">
      <c r="A33" s="2" t="s">
        <v>150</v>
      </c>
      <c r="B33" s="30" t="s">
        <v>154</v>
      </c>
      <c r="C33" s="30"/>
    </row>
    <row r="34" customFormat="false" ht="12.75" hidden="false" customHeight="true" outlineLevel="0" collapsed="false">
      <c r="A34" s="2" t="s">
        <v>150</v>
      </c>
      <c r="B34" s="30" t="s">
        <v>155</v>
      </c>
      <c r="C34" s="30"/>
    </row>
    <row r="35" customFormat="false" ht="25.5" hidden="false" customHeight="true" outlineLevel="0" collapsed="false">
      <c r="A35" s="2" t="s">
        <v>150</v>
      </c>
      <c r="B35" s="30" t="s">
        <v>156</v>
      </c>
      <c r="C35" s="30"/>
    </row>
    <row r="36" customFormat="false" ht="15" hidden="false" customHeight="false" outlineLevel="0" collapsed="false">
      <c r="A36" s="2"/>
      <c r="B36" s="2"/>
      <c r="C36" s="2"/>
    </row>
    <row r="37" customFormat="false" ht="25.5" hidden="false" customHeight="true" outlineLevel="0" collapsed="false">
      <c r="A37" s="31" t="s">
        <v>157</v>
      </c>
      <c r="B37" s="31"/>
      <c r="C37" s="31"/>
    </row>
    <row r="38" customFormat="false" ht="15" hidden="false" customHeight="false" outlineLevel="0" collapsed="false">
      <c r="A38" s="2"/>
      <c r="B38" s="2"/>
      <c r="C38" s="2"/>
    </row>
    <row r="39" customFormat="false" ht="39" hidden="false" customHeight="true" outlineLevel="0" collapsed="false">
      <c r="A39" s="31" t="s">
        <v>158</v>
      </c>
      <c r="B39" s="31"/>
      <c r="C39" s="31"/>
    </row>
    <row r="40" customFormat="false" ht="15" hidden="false" customHeight="false" outlineLevel="0" collapsed="false">
      <c r="A40" s="2"/>
      <c r="B40" s="2"/>
      <c r="C40" s="2"/>
    </row>
    <row r="41" customFormat="false" ht="25.5" hidden="false" customHeight="true" outlineLevel="0" collapsed="false">
      <c r="A41" s="31" t="s">
        <v>159</v>
      </c>
      <c r="B41" s="31"/>
      <c r="C41" s="31"/>
    </row>
  </sheetData>
  <sheetProtection sheet="true" password="ef11" formatCells="false" formatColumns="false" formatRows="false"/>
  <mergeCells count="9">
    <mergeCell ref="B30:C30"/>
    <mergeCell ref="B31:C31"/>
    <mergeCell ref="B32:C32"/>
    <mergeCell ref="B33:C33"/>
    <mergeCell ref="B34:C34"/>
    <mergeCell ref="B35:C35"/>
    <mergeCell ref="A37:C37"/>
    <mergeCell ref="A39:C39"/>
    <mergeCell ref="A41:C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2026-09-17T04:25:03Z</dcterms:created>
  <dc:creator>openpyxl</dc:creator>
  <dc:description/>
  <dc:language>en-US</dc:language>
  <cp:lastModifiedBy/>
  <dcterms:modified xsi:type="dcterms:W3CDTF">2026-09-17T04:25:03Z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