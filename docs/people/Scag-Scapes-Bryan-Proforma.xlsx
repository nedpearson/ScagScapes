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<sst xmlns="http://schemas.openxmlformats.org/spreadsheetml/2006/main" count="179" uniqueCount="165">
  <si>
    <t xml:space="preserve">Bryan Rogers - Chief Operating Officer</t>
  </si>
  <si>
    <t xml:space="preserve">Blue = change it. This file is yours alone - it contains nobody else's compensation, and nobody else's file contains yours.</t>
  </si>
  <si>
    <t xml:space="preserve">Base salary while revenue is under $1.5M ($/yr)</t>
  </si>
  <si>
    <t xml:space="preserve">BLS May 2025, Baton Rouge metro, General and Operations Managers: median $107,140, mean $136,200, 25th percentile $74,000. This sits just under the local median because that is what a two-crew company can carry.</t>
  </si>
  <si>
    <t xml:space="preserve">Base salary at $1.5M to $3M revenue ($/yr)</t>
  </si>
  <si>
    <t xml:space="preserve">Roughly the Baton Rouge metro mean for the occupation.</t>
  </si>
  <si>
    <t xml:space="preserve">Base salary at $3M to $6M revenue ($/yr)</t>
  </si>
  <si>
    <t xml:space="preserve">Between the local mean and the 75th percentile ($167,430). At this size it is a genuinely different job.</t>
  </si>
  <si>
    <t xml:space="preserve">Base salary above $6M revenue ($/yr)</t>
  </si>
  <si>
    <t xml:space="preserve">Approaching the CFMA survey band for a construction Operations Manager, though those respondents are much larger contractors.</t>
  </si>
  <si>
    <t xml:space="preserve">Target bonus (% of base)</t>
  </si>
  <si>
    <t xml:space="preserve">20-30% is the norm for a COO. Tied to gross profit per crew-day, job margin, callbacks and crews staffed - deliberately NOT to net profit, which the owner controls through discretionary spending.</t>
  </si>
  <si>
    <t xml:space="preserve">Share of the bonus actually earned (1.0 = full target)</t>
  </si>
  <si>
    <t xml:space="preserve">Drop it to 0.7 or 0.5 to see a year where the targets are missed.</t>
  </si>
  <si>
    <t xml:space="preserve">Equity granted (% of the company)</t>
  </si>
  <si>
    <t xml:space="preserve">Recruited COOs in venture-backed companies get 1-5%, but that band does not fit a cash-flow business with no exit in sight. An operating partner who sells a business to join sits at 10-25%. This is judgment, not survey data, and it is the most negotiable number here.</t>
  </si>
  <si>
    <t xml:space="preserve">Years to fully vest</t>
  </si>
  <si>
    <t xml:space="preserve">Four years with a one-year cliff. Nothing at all vests if you leave inside twelve months.</t>
  </si>
  <si>
    <t xml:space="preserve">The hurdle - what the company is worth the day you start ($)</t>
  </si>
  <si>
    <t xml:space="preserve">Written as a profits interest, so it pays on growth from your start date and nothing on what Charlie already built. That is what makes it untaxed at grant.</t>
  </si>
  <si>
    <t xml:space="preserve">What the bar pays you today ($/yr)</t>
  </si>
  <si>
    <t xml:space="preserve">BizBuySell 2025: median seller's discretionary earnings for a bar was $128,375 on $800,000 of revenue - pre-tax and before debt service. REPLACE THIS WITH YOUR REAL NUMBER. The whole comparison turns on it.</t>
  </si>
  <si>
    <t xml:space="preserve">Hours you work a week today</t>
  </si>
  <si>
    <t xml:space="preserve">About three days a week while the bar is still yours. Corrected Sept 2026 - this file used to model year 1 as a fraction of a COO salary you are not being paid. This is the real basis.</t>
  </si>
  <si>
    <t xml:space="preserve">Your hourly rate today ($/hr)</t>
  </si>
  <si>
    <t xml:space="preserve">What Charlie pays you right now. Until the year you go full-time, your pay below is hours x rate x 52 - your actual money, not a fraction of a salary band.</t>
  </si>
  <si>
    <t xml:space="preserve">Year you go full-time (1-15)</t>
  </si>
  <si>
    <t xml:space="preserve">The year the bar is sold or handed off and you move onto the salary bands above. Before it you are hourly and there is no bonus; from it you are salaried and the bonus starts.</t>
  </si>
  <si>
    <t xml:space="preserve">What you earn, year by year</t>
  </si>
  <si>
    <t xml:space="preserve">Every figure is a formula off your own inputs and the locked company snapshot.</t>
  </si>
  <si>
    <t xml:space="preserve">Year</t>
  </si>
  <si>
    <t xml:space="preserve">Notes</t>
  </si>
  <si>
    <t xml:space="preserve">Company revenue</t>
  </si>
  <si>
    <t xml:space="preserve">Base pay - hourly today, salary once you are full-time</t>
  </si>
  <si>
    <t xml:space="preserve">Before the year you go full-time this is your ACTUAL pay: hours a week x your hourly rate x 52. From that year it becomes the salary bands above, and the raise happens when the business gets there - which you are the person most able to make happen.</t>
  </si>
  <si>
    <t xml:space="preserve">Bonus earned (starts when you go full-time)</t>
  </si>
  <si>
    <t xml:space="preserve">TOTAL CASH TO YOU</t>
  </si>
  <si>
    <t xml:space="preserve">Less the operations manager you replace</t>
  </si>
  <si>
    <t xml:space="preserve">The plan always intended to hire an operations manager once it hit three crews. You replace that hire, so your real cost to the business is lower than your package.</t>
  </si>
  <si>
    <t xml:space="preserve">NET COST OF YOU TO THE BUSINESS</t>
  </si>
  <si>
    <t xml:space="preserve">EQUITY - EARNED OVER TIME, NOT GIVEN ON DAY ONE</t>
  </si>
  <si>
    <t xml:space="preserve">Vested share of the grant</t>
  </si>
  <si>
    <t xml:space="preserve">One-year cliff, then a quarter a year. Unvested equity is forfeited on departure; vested equity is bought at the formula price on the Buyout tab.</t>
  </si>
  <si>
    <t xml:space="preserve">Equity you have actually earned (%)</t>
  </si>
  <si>
    <t xml:space="preserve">What the whole company is worth</t>
  </si>
  <si>
    <t xml:space="preserve">Value created since you joined</t>
  </si>
  <si>
    <t xml:space="preserve">WHAT YOUR STAKE IS WORTH</t>
  </si>
  <si>
    <t xml:space="preserve">AGAINST WHAT YOU ALREADY HAVE - THE ACTUAL DECISION</t>
  </si>
  <si>
    <t xml:space="preserve">What the bar pays you</t>
  </si>
  <si>
    <t xml:space="preserve">Grown at inflation. Replace the input with your real number.</t>
  </si>
  <si>
    <t xml:space="preserve">What you have today if nothing changes (the bar PLUS your hours here)</t>
  </si>
  <si>
    <t xml:space="preserve">Corrected Sept 2026. The old version compared this job against the bar alone, which flattered it. Today you have BOTH - the bar and about 24 hours a week here at $30/hr. Going full-time means giving up both, so both belong in the comparison.</t>
  </si>
  <si>
    <t xml:space="preserve">Cash difference that year</t>
  </si>
  <si>
    <t xml:space="preserve">Zero while you are still part-time, because nothing has changed yet. Negative in the first years after you go full-time. That is the honest shape of this - you take a pay cut to buy equity in something bigger.</t>
  </si>
  <si>
    <t xml:space="preserve">Cumulative cash difference</t>
  </si>
  <si>
    <t xml:space="preserve">CASH DIFFERENCE PLUS EQUITY EARNED</t>
  </si>
  <si>
    <t xml:space="preserve">The year this turns positive is the year the move has paid for itself. The bar's sale proceeds sit on top - that money is yours either way.</t>
  </si>
  <si>
    <t xml:space="preserve">Are you ahead yet?</t>
  </si>
  <si>
    <t xml:space="preserve">Reads 'no change yet' while you are still part-time, because you have not given anything up.</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</si>
  <si>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</si>
  <si>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</si>
  <si>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</si>
  <si>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</si>
  <si>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</si>
  <si>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</si>
  <si>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</si>
  <si>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</si>
  <si>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</si>
  <si>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</si>
  <si>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Bryan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</si>
  <si>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</si>
  <si>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</si>
  <si>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</si>
  <si>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</si>
  <si>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</si>
  <si>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</si>
  <si>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 Only the VESTED portion is ever bought - that is what the vesting column above is for.</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</si>
  <si>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</si>
  <si>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</si>
  <si>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</si>
  <si>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</si>
  <si>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</si>
  <si>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</si>
  <si>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</si>
  <si>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</si>
  <si>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</si>
  <si>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</si>
  <si>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</si>
  <si>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</si>
  <si>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</si>
  <si>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</si>
  <si>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</si>
  <si>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</si>
  <si>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</si>
  <si>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</si>
  <si>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</si>
  <si>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</si>
  <si>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BRYAN OWES THE COMPANY</t>
  </si>
  <si>
    <t xml:space="preserve">The obligation</t>
  </si>
  <si>
    <t xml:space="preserve">What it actually means</t>
  </si>
  <si>
    <t xml:space="preserve">How we know it is being met</t>
  </si>
  <si>
    <t xml:space="preserve">Run the field</t>
  </si>
  <si>
    <t xml:space="preserve">Everything after a job is sold: scheduling, dispatch, crews, quality, equipment, purchasing. If it happens on a job site, it is yours.</t>
  </si>
  <si>
    <t xml:space="preserve">Weekly operating review. The measure is the baseline set in your first 90 days, improved - not an industry benchmark, because none exists for this work.</t>
  </si>
  <si>
    <t xml:space="preserve">Safety, and the competent-person programme</t>
  </si>
  <si>
    <t xml:space="preserve">OSHA 29 CFR 1926 Subpart P requires a designated competent person with authority to pull crews out of a trench. Build the programme, own the training records, own the daily inspections.</t>
  </si>
  <si>
    <t xml:space="preserve">Designations current, records kept, inspections logged. This one is a legal obligation, not a preference.</t>
  </si>
  <si>
    <t xml:space="preserve">Job costing</t>
  </si>
  <si>
    <t xml:space="preserve">Every finished job costed against its estimate - labour hours, machine hours, fuel, materials, dump fees - every week.</t>
  </si>
  <si>
    <t xml:space="preserve">A weekly job-cost report. Contractors do not fail because they cannot dig; they fail because they bid wrong and find out too late.</t>
  </si>
  <si>
    <t xml:space="preserve">Keep the crews</t>
  </si>
  <si>
    <t xml:space="preserve">Hire, train and retain foremen and laborers. Turnover is the most expensive line item that never appears on a P&amp;L.</t>
  </si>
  <si>
    <t xml:space="preserve">Turnover tracked against the baseline. Construction runs about 4.0% monthly separations against 3.6% for private industry overall.</t>
  </si>
  <si>
    <t xml:space="preserve">Full time and undivided</t>
  </si>
  <si>
    <t xml:space="preserve">This is the job, not one of the jobs. If the bar has not sold, it is being run by somebody else.</t>
  </si>
  <si>
    <t xml:space="preserve">Agreed in writing before the start date, including what happens if the bar takes longer to sell than expected.</t>
  </si>
  <si>
    <t xml:space="preserve">WHAT THE COMPANY OWES BRYAN</t>
  </si>
  <si>
    <t xml:space="preserve">Do not overrule you in front of a crew</t>
  </si>
  <si>
    <t xml:space="preserve">The single most common way this arrangement fails. If Charlie reverses a decision in front of the men, the crew learns who really decides, and every instruction afterwards routes around you. Disagreements happen away from the crew, every time.</t>
  </si>
  <si>
    <t xml:space="preserve">A standing rule, agreed out loud, with the right to call it out when it happens. This one belongs in writing more than anything else on this page.</t>
  </si>
  <si>
    <t xml:space="preserve">Written decision rights</t>
  </si>
  <si>
    <t xml:space="preserve">Your spending limit, your hiring authority, the discount floor below which pricing comes back to Charlie. Written once, at the start, so disagreements are procedural rather than personal.</t>
  </si>
  <si>
    <t xml:space="preserve">A one-page authority schedule, signed. Reviewed annually.</t>
  </si>
  <si>
    <t xml:space="preserve">Pay and equity on schedule</t>
  </si>
  <si>
    <t xml:space="preserve">Salary on the same day each month. The bonus calculated and paid within 90 days of year end. The equity granted when agreed, papered by an attorney, with the hurdle valued contemporaneously.</t>
  </si>
  <si>
    <t xml:space="preserve">Late or undocumented equity is a Step 2 event immediately. A promise of equity that is never papered is not equity.</t>
  </si>
  <si>
    <t xml:space="preserve">Let go of the work</t>
  </si>
  <si>
    <t xml:space="preserve">Charlie has done every one of these jobs himself for years and the instinct to take them back is muscle memory, not malice. Delegation has to be real, and it has to survive the first time you do something differently than he would.</t>
  </si>
  <si>
    <t xml:space="preserve">Reviewed every quarter: what has actually transferred, and what has quietly come back.</t>
  </si>
  <si>
    <t xml:space="preserve">Tell you the truth about money</t>
  </si>
  <si>
    <t xml:space="preserve">Full access to the numbers you are held accountable for. Nobody can be measured on a figure they are not allowed to see.</t>
  </si>
  <si>
    <t xml:space="preserve">Read access to job costing and the monthly P&amp;L from day one.</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</si>
  <si>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</si>
  <si>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</si>
  <si>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</si>
  <si>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</si>
  <si>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</si>
  <si>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</si>
  <si>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</si>
  <si>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</si>
  <si>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</si>
  <si>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</si>
  <si>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</si>
  <si>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</si>
  <si>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</si>
  <si>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</si>
  <si>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</si>
  <si>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</si>
  <si>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</si>
  <si>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</si>
  <si>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</si>
  <si>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</si>
  <si>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</si>
  <si>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</si>
  <si>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</si>
  <si>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</si>
  <si>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</si>
  <si>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A wilful safety violation, or falsifying a safety or inspection record. In trench work this is the one that can kill somebody.</t>
  </si>
  <si>
    <t xml:space="preserve">Working against the company: competing, or soliciting its customers or crews for somebody else.</t>
  </si>
  <si>
    <t xml:space="preserve">A criminal act that materially damages the business or its reputation.</t>
  </si>
  <si>
    <t xml:space="preserve">Complete and sustained abandonment of the role.</t>
  </si>
  <si>
    <t xml:space="preserve">Nothing else. A bad quarter, a wrong call, a clash with Charlie, or growth that did not arrive are NOT cause. They are Step 5, on good terms, at the formula price.</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</si>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</sst>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7"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39" hidden="false" customHeight="true" outlineLevel="0" collapsed="false">
      <c r="A4" s="4" t="s">
        <v>2</v>
      </c>
      <c r="B4" s="5" t="n">
        <v>95000</v>
      </c>
      <c r="C4" s="6" t="s">
        <v>3</v>
      </c>
    </row>
    <row r="5" customFormat="false" ht="12.75" hidden="false" customHeight="true" outlineLevel="0" collapsed="false">
      <c r="A5" s="4" t="s">
        <v>4</v>
      </c>
      <c r="B5" s="5" t="n">
        <v>120000</v>
      </c>
      <c r="C5" s="6" t="s">
        <v>5</v>
      </c>
    </row>
    <row r="6" customFormat="false" ht="25.5" hidden="false" customHeight="true" outlineLevel="0" collapsed="false">
      <c r="A6" s="4" t="s">
        <v>6</v>
      </c>
      <c r="B6" s="5" t="n">
        <v>155000</v>
      </c>
      <c r="C6" s="6" t="s">
        <v>7</v>
      </c>
    </row>
    <row r="7" customFormat="false" ht="25.5" hidden="false" customHeight="true" outlineLevel="0" collapsed="false">
      <c r="A7" s="4" t="s">
        <v>8</v>
      </c>
      <c r="B7" s="5" t="n">
        <v>185000</v>
      </c>
      <c r="C7" s="6" t="s">
        <v>9</v>
      </c>
    </row>
    <row r="8" customFormat="false" ht="39" hidden="false" customHeight="true" outlineLevel="0" collapsed="false">
      <c r="A8" s="4" t="s">
        <v>10</v>
      </c>
      <c r="B8" s="7" t="n">
        <v>0.22</v>
      </c>
      <c r="C8" s="6" t="s">
        <v>11</v>
      </c>
    </row>
    <row r="9" customFormat="false" ht="12.75" hidden="false" customHeight="true" outlineLevel="0" collapsed="false">
      <c r="A9" s="4" t="s">
        <v>12</v>
      </c>
      <c r="B9" s="5" t="n">
        <v>1</v>
      </c>
      <c r="C9" s="6" t="s">
        <v>13</v>
      </c>
    </row>
    <row r="10" customFormat="false" ht="51.75" hidden="false" customHeight="true" outlineLevel="0" collapsed="false">
      <c r="A10" s="4" t="s">
        <v>14</v>
      </c>
      <c r="B10" s="7" t="n">
        <v>0.12</v>
      </c>
      <c r="C10" s="6" t="s">
        <v>15</v>
      </c>
    </row>
    <row r="11" customFormat="false" ht="25.5" hidden="false" customHeight="true" outlineLevel="0" collapsed="false">
      <c r="A11" s="4" t="s">
        <v>16</v>
      </c>
      <c r="B11" s="8" t="n">
        <v>4</v>
      </c>
      <c r="C11" s="6" t="s">
        <v>17</v>
      </c>
    </row>
    <row r="12" customFormat="false" ht="25.5" hidden="false" customHeight="true" outlineLevel="0" collapsed="false">
      <c r="A12" s="4" t="s">
        <v>18</v>
      </c>
      <c r="B12" s="5" t="n">
        <v>722514.4</v>
      </c>
      <c r="C12" s="6" t="s">
        <v>19</v>
      </c>
    </row>
    <row r="13" customFormat="false" ht="39" hidden="false" customHeight="true" outlineLevel="0" collapsed="false">
      <c r="A13" s="4" t="s">
        <v>20</v>
      </c>
      <c r="B13" s="5" t="n">
        <v>128375</v>
      </c>
      <c r="C13" s="6" t="s">
        <v>21</v>
      </c>
    </row>
    <row r="14" customFormat="false" ht="39" hidden="false" customHeight="true" outlineLevel="0" collapsed="false">
      <c r="A14" s="4" t="s">
        <v>22</v>
      </c>
      <c r="B14" s="5" t="n">
        <v>24</v>
      </c>
      <c r="C14" s="6" t="s">
        <v>23</v>
      </c>
    </row>
    <row r="15" customFormat="false" ht="25.5" hidden="false" customHeight="true" outlineLevel="0" collapsed="false">
      <c r="A15" s="4" t="s">
        <v>24</v>
      </c>
      <c r="B15" s="5" t="n">
        <v>30</v>
      </c>
      <c r="C15" s="6" t="s">
        <v>25</v>
      </c>
    </row>
    <row r="16" customFormat="false" ht="25.5" hidden="false" customHeight="true" outlineLevel="0" collapsed="false">
      <c r="A16" s="4" t="s">
        <v>26</v>
      </c>
      <c r="B16" s="8" t="n">
        <v>2</v>
      </c>
      <c r="C16" s="6" t="s">
        <v>27</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28</v>
      </c>
      <c r="B1" s="2"/>
      <c r="C1" s="2"/>
      <c r="D1" s="2"/>
      <c r="E1" s="2"/>
      <c r="F1" s="2"/>
      <c r="G1" s="2"/>
      <c r="H1" s="2"/>
      <c r="I1" s="2"/>
      <c r="J1" s="2"/>
      <c r="K1" s="2"/>
      <c r="L1" s="2"/>
      <c r="M1" s="2"/>
      <c r="N1" s="2"/>
      <c r="O1" s="2"/>
      <c r="P1" s="2"/>
      <c r="Q1" s="2"/>
      <c r="R1" s="2"/>
    </row>
    <row r="2" customFormat="false" ht="15" hidden="false" customHeight="false" outlineLevel="0" collapsed="false">
      <c r="A2" s="3" t="s">
        <v>29</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9" t="s">
        <v>30</v>
      </c>
      <c r="B5" s="10" t="n">
        <v>1</v>
      </c>
      <c r="C5" s="10" t="n">
        <v>2</v>
      </c>
      <c r="D5" s="10" t="n">
        <v>3</v>
      </c>
      <c r="E5" s="10" t="n">
        <v>4</v>
      </c>
      <c r="F5" s="10" t="n">
        <v>5</v>
      </c>
      <c r="G5" s="10" t="n">
        <v>6</v>
      </c>
      <c r="H5" s="10" t="n">
        <v>7</v>
      </c>
      <c r="I5" s="10" t="n">
        <v>8</v>
      </c>
      <c r="J5" s="10" t="n">
        <v>9</v>
      </c>
      <c r="K5" s="10" t="n">
        <v>10</v>
      </c>
      <c r="L5" s="10" t="n">
        <v>11</v>
      </c>
      <c r="M5" s="10" t="n">
        <v>12</v>
      </c>
      <c r="N5" s="10" t="n">
        <v>13</v>
      </c>
      <c r="O5" s="10" t="n">
        <v>14</v>
      </c>
      <c r="P5" s="10" t="n">
        <v>15</v>
      </c>
      <c r="Q5" s="2"/>
      <c r="R5" s="9" t="s">
        <v>31</v>
      </c>
    </row>
    <row r="6" customFormat="false" ht="15" hidden="false" customHeight="false" outlineLevel="0" collapsed="false">
      <c r="A6" s="9" t="s">
        <v>32</v>
      </c>
      <c r="B6" s="11" t="n">
        <v>1107883.476</v>
      </c>
      <c r="C6" s="11" t="n">
        <v>1130224.27392</v>
      </c>
      <c r="D6" s="11" t="n">
        <v>1470581.13731659</v>
      </c>
      <c r="E6" s="11" t="n">
        <v>2128361.5241759</v>
      </c>
      <c r="F6" s="11" t="n">
        <v>2531696.60117519</v>
      </c>
      <c r="G6" s="11" t="n">
        <v>2960567.60023987</v>
      </c>
      <c r="H6" s="11" t="n">
        <v>3415973.30476096</v>
      </c>
      <c r="I6" s="11" t="n">
        <v>3898958.3702101</v>
      </c>
      <c r="J6" s="11" t="n">
        <v>4410614.70976327</v>
      </c>
      <c r="K6" s="11" t="n">
        <v>4952082.94628947</v>
      </c>
      <c r="L6" s="11" t="n">
        <v>5524553.93215493</v>
      </c>
      <c r="M6" s="11" t="n">
        <v>6129270.33838766</v>
      </c>
      <c r="N6" s="11" t="n">
        <v>6767528.314843</v>
      </c>
      <c r="O6" s="11" t="n">
        <v>7045784.99129078</v>
      </c>
      <c r="P6" s="11" t="n">
        <v>7328447.27269707</v>
      </c>
      <c r="Q6" s="2"/>
      <c r="R6" s="2"/>
    </row>
    <row r="7" customFormat="false" ht="43.25" hidden="false" customHeight="false" outlineLevel="0" collapsed="false">
      <c r="A7" s="4" t="s">
        <v>33</v>
      </c>
      <c r="B7" s="12" t="n">
        <f aca="false">IF(1&gt;='Your numbers'!$B$16,IF(B6&gt;=6000000,'Your numbers'!$B$7,IF(B6&gt;=3000000,'Your numbers'!$B$6,IF(B6&gt;=1500000,'Your numbers'!$B$5,'Your numbers'!$B$4))),'Your numbers'!$B$14*'Your numbers'!$B$15*52)</f>
        <v>37440</v>
      </c>
      <c r="C7" s="12" t="n">
        <f aca="false">IF(2&gt;='Your numbers'!$B$16,IF(C6&gt;=6000000,'Your numbers'!$B$7,IF(C6&gt;=3000000,'Your numbers'!$B$6,IF(C6&gt;=1500000,'Your numbers'!$B$5,'Your numbers'!$B$4))),'Your numbers'!$B$14*'Your numbers'!$B$15*52)</f>
        <v>95000</v>
      </c>
      <c r="D7" s="12" t="n">
        <f aca="false">IF(3&gt;='Your numbers'!$B$16,IF(D6&gt;=6000000,'Your numbers'!$B$7,IF(D6&gt;=3000000,'Your numbers'!$B$6,IF(D6&gt;=1500000,'Your numbers'!$B$5,'Your numbers'!$B$4))),'Your numbers'!$B$14*'Your numbers'!$B$15*52)</f>
        <v>95000</v>
      </c>
      <c r="E7" s="12" t="n">
        <f aca="false">IF(4&gt;='Your numbers'!$B$16,IF(E6&gt;=6000000,'Your numbers'!$B$7,IF(E6&gt;=3000000,'Your numbers'!$B$6,IF(E6&gt;=1500000,'Your numbers'!$B$5,'Your numbers'!$B$4))),'Your numbers'!$B$14*'Your numbers'!$B$15*52)</f>
        <v>120000</v>
      </c>
      <c r="F7" s="12" t="n">
        <f aca="false">IF(5&gt;='Your numbers'!$B$16,IF(F6&gt;=6000000,'Your numbers'!$B$7,IF(F6&gt;=3000000,'Your numbers'!$B$6,IF(F6&gt;=1500000,'Your numbers'!$B$5,'Your numbers'!$B$4))),'Your numbers'!$B$14*'Your numbers'!$B$15*52)</f>
        <v>120000</v>
      </c>
      <c r="G7" s="12" t="n">
        <f aca="false">IF(6&gt;='Your numbers'!$B$16,IF(G6&gt;=6000000,'Your numbers'!$B$7,IF(G6&gt;=3000000,'Your numbers'!$B$6,IF(G6&gt;=1500000,'Your numbers'!$B$5,'Your numbers'!$B$4))),'Your numbers'!$B$14*'Your numbers'!$B$15*52)</f>
        <v>120000</v>
      </c>
      <c r="H7" s="12" t="n">
        <f aca="false">IF(7&gt;='Your numbers'!$B$16,IF(H6&gt;=6000000,'Your numbers'!$B$7,IF(H6&gt;=3000000,'Your numbers'!$B$6,IF(H6&gt;=1500000,'Your numbers'!$B$5,'Your numbers'!$B$4))),'Your numbers'!$B$14*'Your numbers'!$B$15*52)</f>
        <v>155000</v>
      </c>
      <c r="I7" s="12" t="n">
        <f aca="false">IF(8&gt;='Your numbers'!$B$16,IF(I6&gt;=6000000,'Your numbers'!$B$7,IF(I6&gt;=3000000,'Your numbers'!$B$6,IF(I6&gt;=1500000,'Your numbers'!$B$5,'Your numbers'!$B$4))),'Your numbers'!$B$14*'Your numbers'!$B$15*52)</f>
        <v>155000</v>
      </c>
      <c r="J7" s="12" t="n">
        <f aca="false">IF(9&gt;='Your numbers'!$B$16,IF(J6&gt;=6000000,'Your numbers'!$B$7,IF(J6&gt;=3000000,'Your numbers'!$B$6,IF(J6&gt;=1500000,'Your numbers'!$B$5,'Your numbers'!$B$4))),'Your numbers'!$B$14*'Your numbers'!$B$15*52)</f>
        <v>155000</v>
      </c>
      <c r="K7" s="12" t="n">
        <f aca="false">IF(10&gt;='Your numbers'!$B$16,IF(K6&gt;=6000000,'Your numbers'!$B$7,IF(K6&gt;=3000000,'Your numbers'!$B$6,IF(K6&gt;=1500000,'Your numbers'!$B$5,'Your numbers'!$B$4))),'Your numbers'!$B$14*'Your numbers'!$B$15*52)</f>
        <v>155000</v>
      </c>
      <c r="L7" s="12" t="n">
        <f aca="false">IF(11&gt;='Your numbers'!$B$16,IF(L6&gt;=6000000,'Your numbers'!$B$7,IF(L6&gt;=3000000,'Your numbers'!$B$6,IF(L6&gt;=1500000,'Your numbers'!$B$5,'Your numbers'!$B$4))),'Your numbers'!$B$14*'Your numbers'!$B$15*52)</f>
        <v>155000</v>
      </c>
      <c r="M7" s="12" t="n">
        <f aca="false">IF(12&gt;='Your numbers'!$B$16,IF(M6&gt;=6000000,'Your numbers'!$B$7,IF(M6&gt;=3000000,'Your numbers'!$B$6,IF(M6&gt;=1500000,'Your numbers'!$B$5,'Your numbers'!$B$4))),'Your numbers'!$B$14*'Your numbers'!$B$15*52)</f>
        <v>185000</v>
      </c>
      <c r="N7" s="12" t="n">
        <f aca="false">IF(13&gt;='Your numbers'!$B$16,IF(N6&gt;=6000000,'Your numbers'!$B$7,IF(N6&gt;=3000000,'Your numbers'!$B$6,IF(N6&gt;=1500000,'Your numbers'!$B$5,'Your numbers'!$B$4))),'Your numbers'!$B$14*'Your numbers'!$B$15*52)</f>
        <v>185000</v>
      </c>
      <c r="O7" s="12" t="n">
        <f aca="false">IF(14&gt;='Your numbers'!$B$16,IF(O6&gt;=6000000,'Your numbers'!$B$7,IF(O6&gt;=3000000,'Your numbers'!$B$6,IF(O6&gt;=1500000,'Your numbers'!$B$5,'Your numbers'!$B$4))),'Your numbers'!$B$14*'Your numbers'!$B$15*52)</f>
        <v>185000</v>
      </c>
      <c r="P7" s="12" t="n">
        <f aca="false">IF(15&gt;='Your numbers'!$B$16,IF(P6&gt;=6000000,'Your numbers'!$B$7,IF(P6&gt;=3000000,'Your numbers'!$B$6,IF(P6&gt;=1500000,'Your numbers'!$B$5,'Your numbers'!$B$4))),'Your numbers'!$B$14*'Your numbers'!$B$15*52)</f>
        <v>185000</v>
      </c>
      <c r="Q7" s="2"/>
      <c r="R7" s="6" t="s">
        <v>34</v>
      </c>
    </row>
    <row r="8" customFormat="false" ht="15" hidden="false" customHeight="false" outlineLevel="0" collapsed="false">
      <c r="A8" s="4" t="s">
        <v>35</v>
      </c>
      <c r="B8" s="12" t="n">
        <f aca="false">IF(1&lt;'Your numbers'!$B$16,0,B7*'Your numbers'!$B$8*'Your numbers'!$B$9)</f>
        <v>0</v>
      </c>
      <c r="C8" s="12" t="n">
        <f aca="false">IF(2&lt;'Your numbers'!$B$16,0,C7*'Your numbers'!$B$8*'Your numbers'!$B$9)</f>
        <v>20900</v>
      </c>
      <c r="D8" s="12" t="n">
        <f aca="false">IF(3&lt;'Your numbers'!$B$16,0,D7*'Your numbers'!$B$8*'Your numbers'!$B$9)</f>
        <v>20900</v>
      </c>
      <c r="E8" s="12" t="n">
        <f aca="false">IF(4&lt;'Your numbers'!$B$16,0,E7*'Your numbers'!$B$8*'Your numbers'!$B$9)</f>
        <v>26400</v>
      </c>
      <c r="F8" s="12" t="n">
        <f aca="false">IF(5&lt;'Your numbers'!$B$16,0,F7*'Your numbers'!$B$8*'Your numbers'!$B$9)</f>
        <v>26400</v>
      </c>
      <c r="G8" s="12" t="n">
        <f aca="false">IF(6&lt;'Your numbers'!$B$16,0,G7*'Your numbers'!$B$8*'Your numbers'!$B$9)</f>
        <v>26400</v>
      </c>
      <c r="H8" s="12" t="n">
        <f aca="false">IF(7&lt;'Your numbers'!$B$16,0,H7*'Your numbers'!$B$8*'Your numbers'!$B$9)</f>
        <v>34100</v>
      </c>
      <c r="I8" s="12" t="n">
        <f aca="false">IF(8&lt;'Your numbers'!$B$16,0,I7*'Your numbers'!$B$8*'Your numbers'!$B$9)</f>
        <v>34100</v>
      </c>
      <c r="J8" s="12" t="n">
        <f aca="false">IF(9&lt;'Your numbers'!$B$16,0,J7*'Your numbers'!$B$8*'Your numbers'!$B$9)</f>
        <v>34100</v>
      </c>
      <c r="K8" s="12" t="n">
        <f aca="false">IF(10&lt;'Your numbers'!$B$16,0,K7*'Your numbers'!$B$8*'Your numbers'!$B$9)</f>
        <v>34100</v>
      </c>
      <c r="L8" s="12" t="n">
        <f aca="false">IF(11&lt;'Your numbers'!$B$16,0,L7*'Your numbers'!$B$8*'Your numbers'!$B$9)</f>
        <v>34100</v>
      </c>
      <c r="M8" s="12" t="n">
        <f aca="false">IF(12&lt;'Your numbers'!$B$16,0,M7*'Your numbers'!$B$8*'Your numbers'!$B$9)</f>
        <v>40700</v>
      </c>
      <c r="N8" s="12" t="n">
        <f aca="false">IF(13&lt;'Your numbers'!$B$16,0,N7*'Your numbers'!$B$8*'Your numbers'!$B$9)</f>
        <v>40700</v>
      </c>
      <c r="O8" s="12" t="n">
        <f aca="false">IF(14&lt;'Your numbers'!$B$16,0,O7*'Your numbers'!$B$8*'Your numbers'!$B$9)</f>
        <v>40700</v>
      </c>
      <c r="P8" s="12" t="n">
        <f aca="false">IF(15&lt;'Your numbers'!$B$16,0,P7*'Your numbers'!$B$8*'Your numbers'!$B$9)</f>
        <v>40700</v>
      </c>
      <c r="Q8" s="2"/>
      <c r="R8" s="2"/>
    </row>
    <row r="9" customFormat="false" ht="15" hidden="false" customHeight="false" outlineLevel="0" collapsed="false">
      <c r="A9" s="9" t="s">
        <v>36</v>
      </c>
      <c r="B9" s="11" t="n">
        <f aca="false">B7+B8</f>
        <v>37440</v>
      </c>
      <c r="C9" s="11" t="n">
        <f aca="false">C7+C8</f>
        <v>115900</v>
      </c>
      <c r="D9" s="11" t="n">
        <f aca="false">D7+D8</f>
        <v>115900</v>
      </c>
      <c r="E9" s="11" t="n">
        <f aca="false">E7+E8</f>
        <v>146400</v>
      </c>
      <c r="F9" s="11" t="n">
        <f aca="false">F7+F8</f>
        <v>146400</v>
      </c>
      <c r="G9" s="11" t="n">
        <f aca="false">G7+G8</f>
        <v>146400</v>
      </c>
      <c r="H9" s="11" t="n">
        <f aca="false">H7+H8</f>
        <v>189100</v>
      </c>
      <c r="I9" s="11" t="n">
        <f aca="false">I7+I8</f>
        <v>189100</v>
      </c>
      <c r="J9" s="11" t="n">
        <f aca="false">J7+J8</f>
        <v>189100</v>
      </c>
      <c r="K9" s="11" t="n">
        <f aca="false">K7+K8</f>
        <v>189100</v>
      </c>
      <c r="L9" s="11" t="n">
        <f aca="false">L7+L8</f>
        <v>189100</v>
      </c>
      <c r="M9" s="11" t="n">
        <f aca="false">M7+M8</f>
        <v>225700</v>
      </c>
      <c r="N9" s="11" t="n">
        <f aca="false">N7+N8</f>
        <v>225700</v>
      </c>
      <c r="O9" s="11" t="n">
        <f aca="false">O7+O8</f>
        <v>225700</v>
      </c>
      <c r="P9" s="11" t="n">
        <f aca="false">P7+P8</f>
        <v>225700</v>
      </c>
      <c r="Q9" s="2"/>
      <c r="R9" s="2"/>
    </row>
    <row r="10" customFormat="false" ht="22.35" hidden="false" customHeight="false" outlineLevel="0" collapsed="false">
      <c r="A10" s="4" t="s">
        <v>37</v>
      </c>
      <c r="B10" s="12" t="n">
        <v>0</v>
      </c>
      <c r="C10" s="12" t="n">
        <v>0</v>
      </c>
      <c r="D10" s="12" t="n">
        <v>0</v>
      </c>
      <c r="E10" s="12" t="n">
        <v>79827.687</v>
      </c>
      <c r="F10" s="12" t="n">
        <v>82621.656045</v>
      </c>
      <c r="G10" s="12" t="n">
        <v>85513.414006575</v>
      </c>
      <c r="H10" s="12" t="n">
        <v>88506.3834968051</v>
      </c>
      <c r="I10" s="12" t="n">
        <v>91604.1069191933</v>
      </c>
      <c r="J10" s="12" t="n">
        <v>94810.250661365</v>
      </c>
      <c r="K10" s="12" t="n">
        <v>98128.6094345128</v>
      </c>
      <c r="L10" s="12" t="n">
        <v>101563.110764721</v>
      </c>
      <c r="M10" s="12" t="n">
        <v>105117.819641486</v>
      </c>
      <c r="N10" s="12" t="n">
        <v>108796.943328938</v>
      </c>
      <c r="O10" s="12" t="n">
        <v>112604.836345451</v>
      </c>
      <c r="P10" s="12" t="n">
        <v>116546.005617542</v>
      </c>
      <c r="Q10" s="2"/>
      <c r="R10" s="6" t="s">
        <v>38</v>
      </c>
    </row>
    <row r="11" customFormat="false" ht="15" hidden="false" customHeight="false" outlineLevel="0" collapsed="false">
      <c r="A11" s="9" t="s">
        <v>39</v>
      </c>
      <c r="B11" s="11" t="n">
        <f aca="false">B9-B10</f>
        <v>37440</v>
      </c>
      <c r="C11" s="11" t="n">
        <f aca="false">C9-C10</f>
        <v>115900</v>
      </c>
      <c r="D11" s="11" t="n">
        <f aca="false">D9-D10</f>
        <v>115900</v>
      </c>
      <c r="E11" s="11" t="n">
        <f aca="false">E9-E10</f>
        <v>66572.313</v>
      </c>
      <c r="F11" s="11" t="n">
        <f aca="false">F9-F10</f>
        <v>63778.343955</v>
      </c>
      <c r="G11" s="11" t="n">
        <f aca="false">G9-G10</f>
        <v>60886.585993425</v>
      </c>
      <c r="H11" s="11" t="n">
        <f aca="false">H9-H10</f>
        <v>100593.616503195</v>
      </c>
      <c r="I11" s="11" t="n">
        <f aca="false">I9-I10</f>
        <v>97495.8930808067</v>
      </c>
      <c r="J11" s="11" t="n">
        <f aca="false">J9-J10</f>
        <v>94289.749338635</v>
      </c>
      <c r="K11" s="11" t="n">
        <f aca="false">K9-K10</f>
        <v>90971.3905654872</v>
      </c>
      <c r="L11" s="11" t="n">
        <f aca="false">L9-L10</f>
        <v>87536.889235279</v>
      </c>
      <c r="M11" s="11" t="n">
        <f aca="false">M9-M10</f>
        <v>120582.180358514</v>
      </c>
      <c r="N11" s="11" t="n">
        <f aca="false">N9-N10</f>
        <v>116903.056671062</v>
      </c>
      <c r="O11" s="11" t="n">
        <f aca="false">O9-O10</f>
        <v>113095.163654549</v>
      </c>
      <c r="P11" s="11" t="n">
        <f aca="false">P9-P10</f>
        <v>109153.994382458</v>
      </c>
      <c r="Q11" s="2"/>
      <c r="R11" s="2"/>
    </row>
    <row r="12" customFormat="false" ht="15" hidden="false" customHeight="false" outlineLevel="0" collapsed="false">
      <c r="A12" s="13" t="s">
        <v>40</v>
      </c>
      <c r="B12" s="14"/>
      <c r="C12" s="14"/>
      <c r="D12" s="14"/>
      <c r="E12" s="14"/>
      <c r="F12" s="14"/>
      <c r="G12" s="14"/>
      <c r="H12" s="14"/>
      <c r="I12" s="14"/>
      <c r="J12" s="14"/>
      <c r="K12" s="14"/>
      <c r="L12" s="14"/>
      <c r="M12" s="14"/>
      <c r="N12" s="14"/>
      <c r="O12" s="14"/>
      <c r="P12" s="14"/>
      <c r="Q12" s="2"/>
      <c r="R12" s="14"/>
    </row>
    <row r="13" customFormat="false" ht="22.35" hidden="false" customHeight="false" outlineLevel="0" collapsed="false">
      <c r="A13" s="4" t="s">
        <v>41</v>
      </c>
      <c r="B13" s="15" t="n">
        <f aca="false">MIN(1,MAX(0,1/'Your numbers'!$B$11))</f>
        <v>0.25</v>
      </c>
      <c r="C13" s="15" t="n">
        <f aca="false">MIN(1,MAX(0,2/'Your numbers'!$B$11))</f>
        <v>0.5</v>
      </c>
      <c r="D13" s="15" t="n">
        <f aca="false">MIN(1,MAX(0,3/'Your numbers'!$B$11))</f>
        <v>0.75</v>
      </c>
      <c r="E13" s="15" t="n">
        <f aca="false">MIN(1,MAX(0,4/'Your numbers'!$B$11))</f>
        <v>1</v>
      </c>
      <c r="F13" s="15" t="n">
        <f aca="false">MIN(1,MAX(0,5/'Your numbers'!$B$11))</f>
        <v>1</v>
      </c>
      <c r="G13" s="15" t="n">
        <f aca="false">MIN(1,MAX(0,6/'Your numbers'!$B$11))</f>
        <v>1</v>
      </c>
      <c r="H13" s="15" t="n">
        <f aca="false">MIN(1,MAX(0,7/'Your numbers'!$B$11))</f>
        <v>1</v>
      </c>
      <c r="I13" s="15" t="n">
        <f aca="false">MIN(1,MAX(0,8/'Your numbers'!$B$11))</f>
        <v>1</v>
      </c>
      <c r="J13" s="15" t="n">
        <f aca="false">MIN(1,MAX(0,9/'Your numbers'!$B$11))</f>
        <v>1</v>
      </c>
      <c r="K13" s="15" t="n">
        <f aca="false">MIN(1,MAX(0,10/'Your numbers'!$B$11))</f>
        <v>1</v>
      </c>
      <c r="L13" s="15" t="n">
        <f aca="false">MIN(1,MAX(0,11/'Your numbers'!$B$11))</f>
        <v>1</v>
      </c>
      <c r="M13" s="15" t="n">
        <f aca="false">MIN(1,MAX(0,12/'Your numbers'!$B$11))</f>
        <v>1</v>
      </c>
      <c r="N13" s="15" t="n">
        <f aca="false">MIN(1,MAX(0,13/'Your numbers'!$B$11))</f>
        <v>1</v>
      </c>
      <c r="O13" s="15" t="n">
        <f aca="false">MIN(1,MAX(0,14/'Your numbers'!$B$11))</f>
        <v>1</v>
      </c>
      <c r="P13" s="15" t="n">
        <f aca="false">MIN(1,MAX(0,15/'Your numbers'!$B$11))</f>
        <v>1</v>
      </c>
      <c r="Q13" s="2"/>
      <c r="R13" s="6" t="s">
        <v>42</v>
      </c>
    </row>
    <row r="14" customFormat="false" ht="15" hidden="false" customHeight="false" outlineLevel="0" collapsed="false">
      <c r="A14" s="9" t="s">
        <v>43</v>
      </c>
      <c r="B14" s="16" t="n">
        <f aca="false">B13*'Your numbers'!$B$10</f>
        <v>0.03</v>
      </c>
      <c r="C14" s="16" t="n">
        <f aca="false">C13*'Your numbers'!$B$10</f>
        <v>0.06</v>
      </c>
      <c r="D14" s="16" t="n">
        <f aca="false">D13*'Your numbers'!$B$10</f>
        <v>0.09</v>
      </c>
      <c r="E14" s="16" t="n">
        <f aca="false">E13*'Your numbers'!$B$10</f>
        <v>0.12</v>
      </c>
      <c r="F14" s="16" t="n">
        <f aca="false">F13*'Your numbers'!$B$10</f>
        <v>0.12</v>
      </c>
      <c r="G14" s="16" t="n">
        <f aca="false">G13*'Your numbers'!$B$10</f>
        <v>0.12</v>
      </c>
      <c r="H14" s="16" t="n">
        <f aca="false">H13*'Your numbers'!$B$10</f>
        <v>0.12</v>
      </c>
      <c r="I14" s="16" t="n">
        <f aca="false">I13*'Your numbers'!$B$10</f>
        <v>0.12</v>
      </c>
      <c r="J14" s="16" t="n">
        <f aca="false">J13*'Your numbers'!$B$10</f>
        <v>0.12</v>
      </c>
      <c r="K14" s="16" t="n">
        <f aca="false">K13*'Your numbers'!$B$10</f>
        <v>0.12</v>
      </c>
      <c r="L14" s="16" t="n">
        <f aca="false">L13*'Your numbers'!$B$10</f>
        <v>0.12</v>
      </c>
      <c r="M14" s="16" t="n">
        <f aca="false">M13*'Your numbers'!$B$10</f>
        <v>0.12</v>
      </c>
      <c r="N14" s="16" t="n">
        <f aca="false">N13*'Your numbers'!$B$10</f>
        <v>0.12</v>
      </c>
      <c r="O14" s="16" t="n">
        <f aca="false">O13*'Your numbers'!$B$10</f>
        <v>0.12</v>
      </c>
      <c r="P14" s="16" t="n">
        <f aca="false">P13*'Your numbers'!$B$10</f>
        <v>0.12</v>
      </c>
      <c r="Q14" s="2"/>
      <c r="R14" s="2"/>
    </row>
    <row r="15" customFormat="false" ht="15" hidden="false" customHeight="false" outlineLevel="0" collapsed="false">
      <c r="A15" s="4" t="s">
        <v>44</v>
      </c>
      <c r="B15" s="12" t="n">
        <v>737130.151233105</v>
      </c>
      <c r="C15" s="12" t="n">
        <v>793606.669249441</v>
      </c>
      <c r="D15" s="12" t="n">
        <v>973791.845154872</v>
      </c>
      <c r="E15" s="12" t="n">
        <v>1704841.10205784</v>
      </c>
      <c r="F15" s="12" t="n">
        <v>1781926.25021217</v>
      </c>
      <c r="G15" s="12" t="n">
        <v>2078739.72158601</v>
      </c>
      <c r="H15" s="12" t="n">
        <v>2788865.52166945</v>
      </c>
      <c r="I15" s="12" t="n">
        <v>3584726.63004211</v>
      </c>
      <c r="J15" s="12" t="n">
        <v>4191175.85367095</v>
      </c>
      <c r="K15" s="12" t="n">
        <v>5168218.95382355</v>
      </c>
      <c r="L15" s="12" t="n">
        <v>8245690.54355842</v>
      </c>
      <c r="M15" s="12" t="n">
        <v>9739722.17619467</v>
      </c>
      <c r="N15" s="12" t="n">
        <v>11353079.965143</v>
      </c>
      <c r="O15" s="12" t="n">
        <v>12401842.2665323</v>
      </c>
      <c r="P15" s="12" t="n">
        <v>13454921.9845546</v>
      </c>
      <c r="Q15" s="2"/>
      <c r="R15" s="2"/>
    </row>
    <row r="16" customFormat="false" ht="15" hidden="false" customHeight="false" outlineLevel="0" collapsed="false">
      <c r="A16" s="4" t="s">
        <v>45</v>
      </c>
      <c r="B16" s="12" t="n">
        <f aca="false">MAX(0,B15-'Your numbers'!$B$12)</f>
        <v>14615.751233105</v>
      </c>
      <c r="C16" s="12" t="n">
        <f aca="false">MAX(0,C15-'Your numbers'!$B$12)</f>
        <v>71092.269249441</v>
      </c>
      <c r="D16" s="12" t="n">
        <f aca="false">MAX(0,D15-'Your numbers'!$B$12)</f>
        <v>251277.445154872</v>
      </c>
      <c r="E16" s="12" t="n">
        <f aca="false">MAX(0,E15-'Your numbers'!$B$12)</f>
        <v>982326.70205784</v>
      </c>
      <c r="F16" s="12" t="n">
        <f aca="false">MAX(0,F15-'Your numbers'!$B$12)</f>
        <v>1059411.85021217</v>
      </c>
      <c r="G16" s="12" t="n">
        <f aca="false">MAX(0,G15-'Your numbers'!$B$12)</f>
        <v>1356225.32158601</v>
      </c>
      <c r="H16" s="12" t="n">
        <f aca="false">MAX(0,H15-'Your numbers'!$B$12)</f>
        <v>2066351.12166945</v>
      </c>
      <c r="I16" s="12" t="n">
        <f aca="false">MAX(0,I15-'Your numbers'!$B$12)</f>
        <v>2862212.23004211</v>
      </c>
      <c r="J16" s="12" t="n">
        <f aca="false">MAX(0,J15-'Your numbers'!$B$12)</f>
        <v>3468661.45367095</v>
      </c>
      <c r="K16" s="12" t="n">
        <f aca="false">MAX(0,K15-'Your numbers'!$B$12)</f>
        <v>4445704.55382355</v>
      </c>
      <c r="L16" s="12" t="n">
        <f aca="false">MAX(0,L15-'Your numbers'!$B$12)</f>
        <v>7523176.14355842</v>
      </c>
      <c r="M16" s="12" t="n">
        <f aca="false">MAX(0,M15-'Your numbers'!$B$12)</f>
        <v>9017207.77619467</v>
      </c>
      <c r="N16" s="12" t="n">
        <f aca="false">MAX(0,N15-'Your numbers'!$B$12)</f>
        <v>10630565.565143</v>
      </c>
      <c r="O16" s="12" t="n">
        <f aca="false">MAX(0,O15-'Your numbers'!$B$12)</f>
        <v>11679327.8665323</v>
      </c>
      <c r="P16" s="12" t="n">
        <f aca="false">MAX(0,P15-'Your numbers'!$B$12)</f>
        <v>12732407.5845546</v>
      </c>
      <c r="Q16" s="2"/>
      <c r="R16" s="2"/>
    </row>
    <row r="17" customFormat="false" ht="15" hidden="false" customHeight="false" outlineLevel="0" collapsed="false">
      <c r="A17" s="9" t="s">
        <v>46</v>
      </c>
      <c r="B17" s="11" t="n">
        <f aca="false">B14*B16</f>
        <v>438.472536993149</v>
      </c>
      <c r="C17" s="11" t="n">
        <f aca="false">C14*C16</f>
        <v>4265.53615496646</v>
      </c>
      <c r="D17" s="11" t="n">
        <f aca="false">D14*D16</f>
        <v>22614.9700639385</v>
      </c>
      <c r="E17" s="11" t="n">
        <f aca="false">E14*E16</f>
        <v>117879.204246941</v>
      </c>
      <c r="F17" s="11" t="n">
        <f aca="false">F14*F16</f>
        <v>127129.42202546</v>
      </c>
      <c r="G17" s="11" t="n">
        <f aca="false">G14*G16</f>
        <v>162747.038590321</v>
      </c>
      <c r="H17" s="11" t="n">
        <f aca="false">H14*H16</f>
        <v>247962.134600334</v>
      </c>
      <c r="I17" s="11" t="n">
        <f aca="false">I14*I16</f>
        <v>343465.467605053</v>
      </c>
      <c r="J17" s="11" t="n">
        <f aca="false">J14*J16</f>
        <v>416239.374440514</v>
      </c>
      <c r="K17" s="11" t="n">
        <f aca="false">K14*K16</f>
        <v>533484.546458826</v>
      </c>
      <c r="L17" s="11" t="n">
        <f aca="false">L14*L16</f>
        <v>902781.13722701</v>
      </c>
      <c r="M17" s="11" t="n">
        <f aca="false">M14*M16</f>
        <v>1082064.93314336</v>
      </c>
      <c r="N17" s="11" t="n">
        <f aca="false">N14*N16</f>
        <v>1275667.86781716</v>
      </c>
      <c r="O17" s="11" t="n">
        <f aca="false">O14*O16</f>
        <v>1401519.34398388</v>
      </c>
      <c r="P17" s="11" t="n">
        <f aca="false">P14*P16</f>
        <v>1527888.91014655</v>
      </c>
      <c r="Q17" s="2"/>
      <c r="R17" s="2"/>
    </row>
    <row r="18" customFormat="false" ht="15" hidden="false" customHeight="false" outlineLevel="0" collapsed="false">
      <c r="A18" s="17" t="s">
        <v>47</v>
      </c>
      <c r="B18" s="18"/>
      <c r="C18" s="18"/>
      <c r="D18" s="18"/>
      <c r="E18" s="18"/>
      <c r="F18" s="18"/>
      <c r="G18" s="18"/>
      <c r="H18" s="18"/>
      <c r="I18" s="18"/>
      <c r="J18" s="18"/>
      <c r="K18" s="18"/>
      <c r="L18" s="18"/>
      <c r="M18" s="18"/>
      <c r="N18" s="18"/>
      <c r="O18" s="18"/>
      <c r="P18" s="18"/>
      <c r="Q18" s="2"/>
      <c r="R18" s="18"/>
    </row>
    <row r="19" customFormat="false" ht="15" hidden="false" customHeight="false" outlineLevel="0" collapsed="false">
      <c r="A19" s="4" t="s">
        <v>48</v>
      </c>
      <c r="B19" s="12" t="n">
        <f aca="false">'Your numbers'!$B$13*(1.0275)^0</f>
        <v>128375</v>
      </c>
      <c r="C19" s="12" t="n">
        <f aca="false">'Your numbers'!$B$13*(1.0275)^1</f>
        <v>131905.3125</v>
      </c>
      <c r="D19" s="12" t="n">
        <f aca="false">'Your numbers'!$B$13*(1.0275)^2</f>
        <v>135532.70859375</v>
      </c>
      <c r="E19" s="12" t="n">
        <f aca="false">'Your numbers'!$B$13*(1.0275)^3</f>
        <v>139259.858080078</v>
      </c>
      <c r="F19" s="12" t="n">
        <f aca="false">'Your numbers'!$B$13*(1.0275)^4</f>
        <v>143089.50417728</v>
      </c>
      <c r="G19" s="12" t="n">
        <f aca="false">'Your numbers'!$B$13*(1.0275)^5</f>
        <v>147024.465542156</v>
      </c>
      <c r="H19" s="12" t="n">
        <f aca="false">'Your numbers'!$B$13*(1.0275)^6</f>
        <v>151067.638344565</v>
      </c>
      <c r="I19" s="12" t="n">
        <f aca="false">'Your numbers'!$B$13*(1.0275)^7</f>
        <v>155221.99839904</v>
      </c>
      <c r="J19" s="12" t="n">
        <f aca="false">'Your numbers'!$B$13*(1.0275)^8</f>
        <v>159490.603355014</v>
      </c>
      <c r="K19" s="12" t="n">
        <f aca="false">'Your numbers'!$B$13*(1.0275)^9</f>
        <v>163876.594947277</v>
      </c>
      <c r="L19" s="12" t="n">
        <f aca="false">'Your numbers'!$B$13*(1.0275)^10</f>
        <v>168383.201308327</v>
      </c>
      <c r="M19" s="12" t="n">
        <f aca="false">'Your numbers'!$B$13*(1.0275)^11</f>
        <v>173013.739344306</v>
      </c>
      <c r="N19" s="12" t="n">
        <f aca="false">'Your numbers'!$B$13*(1.0275)^12</f>
        <v>177771.617176274</v>
      </c>
      <c r="O19" s="12" t="n">
        <f aca="false">'Your numbers'!$B$13*(1.0275)^13</f>
        <v>182660.336648622</v>
      </c>
      <c r="P19" s="12" t="n">
        <f aca="false">'Your numbers'!$B$13*(1.0275)^14</f>
        <v>187683.495906459</v>
      </c>
      <c r="Q19" s="2"/>
      <c r="R19" s="6" t="s">
        <v>49</v>
      </c>
    </row>
    <row r="20" customFormat="false" ht="32.8" hidden="false" customHeight="false" outlineLevel="0" collapsed="false">
      <c r="A20" s="9" t="s">
        <v>50</v>
      </c>
      <c r="B20" s="11" t="n">
        <f aca="false">B19+'Your numbers'!$B$14*'Your numbers'!$B$15*52*(1.0275)^0</f>
        <v>165815</v>
      </c>
      <c r="C20" s="11" t="n">
        <f aca="false">C19+'Your numbers'!$B$14*'Your numbers'!$B$15*52*(1.0275)^1</f>
        <v>170374.9125</v>
      </c>
      <c r="D20" s="11" t="n">
        <f aca="false">D19+'Your numbers'!$B$14*'Your numbers'!$B$15*52*(1.0275)^2</f>
        <v>175060.22259375</v>
      </c>
      <c r="E20" s="11" t="n">
        <f aca="false">E19+'Your numbers'!$B$14*'Your numbers'!$B$15*52*(1.0275)^3</f>
        <v>179874.378715078</v>
      </c>
      <c r="F20" s="11" t="n">
        <f aca="false">F19+'Your numbers'!$B$14*'Your numbers'!$B$15*52*(1.0275)^4</f>
        <v>184820.924129743</v>
      </c>
      <c r="G20" s="11" t="n">
        <f aca="false">G19+'Your numbers'!$B$14*'Your numbers'!$B$15*52*(1.0275)^5</f>
        <v>189903.499543311</v>
      </c>
      <c r="H20" s="11" t="n">
        <f aca="false">H19+'Your numbers'!$B$14*'Your numbers'!$B$15*52*(1.0275)^6</f>
        <v>195125.845780752</v>
      </c>
      <c r="I20" s="11" t="n">
        <f aca="false">I19+'Your numbers'!$B$14*'Your numbers'!$B$15*52*(1.0275)^7</f>
        <v>200491.806539723</v>
      </c>
      <c r="J20" s="11" t="n">
        <f aca="false">J19+'Your numbers'!$B$14*'Your numbers'!$B$15*52*(1.0275)^8</f>
        <v>206005.331219565</v>
      </c>
      <c r="K20" s="11" t="n">
        <f aca="false">K19+'Your numbers'!$B$14*'Your numbers'!$B$15*52*(1.0275)^9</f>
        <v>211670.477828103</v>
      </c>
      <c r="L20" s="11" t="n">
        <f aca="false">L19+'Your numbers'!$B$14*'Your numbers'!$B$15*52*(1.0275)^10</f>
        <v>217491.415968376</v>
      </c>
      <c r="M20" s="11" t="n">
        <f aca="false">M19+'Your numbers'!$B$14*'Your numbers'!$B$15*52*(1.0275)^11</f>
        <v>223472.429907506</v>
      </c>
      <c r="N20" s="11" t="n">
        <f aca="false">N19+'Your numbers'!$B$14*'Your numbers'!$B$15*52*(1.0275)^12</f>
        <v>229617.921729963</v>
      </c>
      <c r="O20" s="11" t="n">
        <f aca="false">O19+'Your numbers'!$B$14*'Your numbers'!$B$15*52*(1.0275)^13</f>
        <v>235932.414577537</v>
      </c>
      <c r="P20" s="11" t="n">
        <f aca="false">P19+'Your numbers'!$B$14*'Your numbers'!$B$15*52*(1.0275)^14</f>
        <v>242420.555978419</v>
      </c>
      <c r="Q20" s="2"/>
      <c r="R20" s="6" t="s">
        <v>51</v>
      </c>
    </row>
    <row r="21" customFormat="false" ht="32.8" hidden="false" customHeight="false" outlineLevel="0" collapsed="false">
      <c r="A21" s="9" t="s">
        <v>52</v>
      </c>
      <c r="B21" s="11" t="n">
        <f aca="false">IF(1&lt;'Your numbers'!$B$16,0,B9-B20)</f>
        <v>0</v>
      </c>
      <c r="C21" s="11" t="n">
        <f aca="false">IF(2&lt;'Your numbers'!$B$16,0,C9-C20)</f>
        <v>-54474.9125</v>
      </c>
      <c r="D21" s="11" t="n">
        <f aca="false">IF(3&lt;'Your numbers'!$B$16,0,D9-D20)</f>
        <v>-59160.2225937501</v>
      </c>
      <c r="E21" s="11" t="n">
        <f aca="false">IF(4&lt;'Your numbers'!$B$16,0,E9-E20)</f>
        <v>-33474.3787150782</v>
      </c>
      <c r="F21" s="11" t="n">
        <f aca="false">IF(5&lt;'Your numbers'!$B$16,0,F9-F20)</f>
        <v>-38420.9241297428</v>
      </c>
      <c r="G21" s="11" t="n">
        <f aca="false">IF(6&lt;'Your numbers'!$B$16,0,G9-G20)</f>
        <v>-43503.4995433108</v>
      </c>
      <c r="H21" s="11" t="n">
        <f aca="false">IF(7&lt;'Your numbers'!$B$16,0,H9-H20)</f>
        <v>-6025.84578075184</v>
      </c>
      <c r="I21" s="11" t="n">
        <f aca="false">IF(8&lt;'Your numbers'!$B$16,0,I9-I20)</f>
        <v>-11391.8065397225</v>
      </c>
      <c r="J21" s="11" t="n">
        <f aca="false">IF(9&lt;'Your numbers'!$B$16,0,J9-J20)</f>
        <v>-16905.3312195649</v>
      </c>
      <c r="K21" s="11" t="n">
        <f aca="false">IF(10&lt;'Your numbers'!$B$16,0,K9-K20)</f>
        <v>-22570.477828103</v>
      </c>
      <c r="L21" s="11" t="n">
        <f aca="false">IF(11&lt;'Your numbers'!$B$16,0,L9-L20)</f>
        <v>-28391.4159683758</v>
      </c>
      <c r="M21" s="11" t="n">
        <f aca="false">IF(12&lt;'Your numbers'!$B$16,0,M9-M20)</f>
        <v>2227.57009249384</v>
      </c>
      <c r="N21" s="11" t="n">
        <f aca="false">IF(13&lt;'Your numbers'!$B$16,0,N9-N20)</f>
        <v>-3917.92172996257</v>
      </c>
      <c r="O21" s="11" t="n">
        <f aca="false">IF(14&lt;'Your numbers'!$B$16,0,O9-O20)</f>
        <v>-10232.4145775366</v>
      </c>
      <c r="P21" s="11" t="n">
        <f aca="false">IF(15&lt;'Your numbers'!$B$16,0,P9-P20)</f>
        <v>-16720.5559784189</v>
      </c>
      <c r="Q21" s="2"/>
      <c r="R21" s="6" t="s">
        <v>53</v>
      </c>
    </row>
    <row r="22" customFormat="false" ht="15" hidden="false" customHeight="false" outlineLevel="0" collapsed="false">
      <c r="A22" s="9" t="s">
        <v>54</v>
      </c>
      <c r="B22" s="11" t="n">
        <f aca="false">B21</f>
        <v>0</v>
      </c>
      <c r="C22" s="11" t="n">
        <f aca="false">B22+C21</f>
        <v>-54474.9125</v>
      </c>
      <c r="D22" s="11" t="n">
        <f aca="false">C22+D21</f>
        <v>-113635.13509375</v>
      </c>
      <c r="E22" s="11" t="n">
        <f aca="false">D22+E21</f>
        <v>-147109.513808828</v>
      </c>
      <c r="F22" s="11" t="n">
        <f aca="false">E22+F21</f>
        <v>-185530.437938571</v>
      </c>
      <c r="G22" s="11" t="n">
        <f aca="false">F22+G21</f>
        <v>-229033.937481882</v>
      </c>
      <c r="H22" s="11" t="n">
        <f aca="false">G22+H21</f>
        <v>-235059.783262634</v>
      </c>
      <c r="I22" s="11" t="n">
        <f aca="false">H22+I21</f>
        <v>-246451.589802356</v>
      </c>
      <c r="J22" s="11" t="n">
        <f aca="false">I22+J21</f>
        <v>-263356.921021921</v>
      </c>
      <c r="K22" s="11" t="n">
        <f aca="false">J22+K21</f>
        <v>-285927.398850024</v>
      </c>
      <c r="L22" s="11" t="n">
        <f aca="false">K22+L21</f>
        <v>-314318.8148184</v>
      </c>
      <c r="M22" s="11" t="n">
        <f aca="false">L22+M21</f>
        <v>-312091.244725906</v>
      </c>
      <c r="N22" s="11" t="n">
        <f aca="false">M22+N21</f>
        <v>-316009.166455869</v>
      </c>
      <c r="O22" s="11" t="n">
        <f aca="false">N22+O21</f>
        <v>-326241.581033405</v>
      </c>
      <c r="P22" s="11" t="n">
        <f aca="false">O22+P21</f>
        <v>-342962.137011824</v>
      </c>
      <c r="Q22" s="2"/>
      <c r="R22" s="2"/>
    </row>
    <row r="23" customFormat="false" ht="22.35" hidden="false" customHeight="false" outlineLevel="0" collapsed="false">
      <c r="A23" s="9" t="s">
        <v>55</v>
      </c>
      <c r="B23" s="11" t="n">
        <f aca="false">B22+B17</f>
        <v>438.472536993149</v>
      </c>
      <c r="C23" s="11" t="n">
        <f aca="false">C22+C17</f>
        <v>-50209.3763450336</v>
      </c>
      <c r="D23" s="11" t="n">
        <f aca="false">D22+D17</f>
        <v>-91020.1650298116</v>
      </c>
      <c r="E23" s="11" t="n">
        <f aca="false">E22+E17</f>
        <v>-29230.3095618874</v>
      </c>
      <c r="F23" s="11" t="n">
        <f aca="false">F22+F17</f>
        <v>-58401.0159131107</v>
      </c>
      <c r="G23" s="11" t="n">
        <f aca="false">G22+G17</f>
        <v>-66286.8988915606</v>
      </c>
      <c r="H23" s="11" t="n">
        <f aca="false">H22+H17</f>
        <v>12902.3513377004</v>
      </c>
      <c r="I23" s="11" t="n">
        <f aca="false">I22+I17</f>
        <v>97013.877802697</v>
      </c>
      <c r="J23" s="11" t="n">
        <f aca="false">J22+J17</f>
        <v>152882.453418593</v>
      </c>
      <c r="K23" s="11" t="n">
        <f aca="false">K22+K17</f>
        <v>247557.147608802</v>
      </c>
      <c r="L23" s="11" t="n">
        <f aca="false">L22+L17</f>
        <v>588462.322408611</v>
      </c>
      <c r="M23" s="11" t="n">
        <f aca="false">M22+M17</f>
        <v>769973.688417454</v>
      </c>
      <c r="N23" s="11" t="n">
        <f aca="false">N22+N17</f>
        <v>959658.701361291</v>
      </c>
      <c r="O23" s="11" t="n">
        <f aca="false">O22+O17</f>
        <v>1075277.76295047</v>
      </c>
      <c r="P23" s="11" t="n">
        <f aca="false">P22+P17</f>
        <v>1184926.77313473</v>
      </c>
      <c r="Q23" s="2"/>
      <c r="R23" s="6" t="s">
        <v>56</v>
      </c>
    </row>
    <row r="24" customFormat="false" ht="22.35" hidden="false" customHeight="false" outlineLevel="0" collapsed="false">
      <c r="A24" s="4" t="s">
        <v>57</v>
      </c>
      <c r="B24" s="19" t="str">
        <f aca="false">IF(1&lt;'Your numbers'!$B$16,"no change yet",IF(B23&gt;0,"AHEAD","behind"))</f>
        <v>no change yet</v>
      </c>
      <c r="C24" s="19" t="str">
        <f aca="false">IF(2&lt;'Your numbers'!$B$16,"no change yet",IF(C23&gt;0,"AHEAD","behind"))</f>
        <v>behind</v>
      </c>
      <c r="D24" s="19" t="str">
        <f aca="false">IF(3&lt;'Your numbers'!$B$16,"no change yet",IF(D23&gt;0,"AHEAD","behind"))</f>
        <v>behind</v>
      </c>
      <c r="E24" s="19" t="str">
        <f aca="false">IF(4&lt;'Your numbers'!$B$16,"no change yet",IF(E23&gt;0,"AHEAD","behind"))</f>
        <v>behind</v>
      </c>
      <c r="F24" s="19" t="str">
        <f aca="false">IF(5&lt;'Your numbers'!$B$16,"no change yet",IF(F23&gt;0,"AHEAD","behind"))</f>
        <v>behind</v>
      </c>
      <c r="G24" s="19" t="str">
        <f aca="false">IF(6&lt;'Your numbers'!$B$16,"no change yet",IF(G23&gt;0,"AHEAD","behind"))</f>
        <v>behind</v>
      </c>
      <c r="H24" s="19" t="str">
        <f aca="false">IF(7&lt;'Your numbers'!$B$16,"no change yet",IF(H23&gt;0,"AHEAD","behind"))</f>
        <v>AHEAD</v>
      </c>
      <c r="I24" s="19" t="str">
        <f aca="false">IF(8&lt;'Your numbers'!$B$16,"no change yet",IF(I23&gt;0,"AHEAD","behind"))</f>
        <v>AHEAD</v>
      </c>
      <c r="J24" s="19" t="str">
        <f aca="false">IF(9&lt;'Your numbers'!$B$16,"no change yet",IF(J23&gt;0,"AHEAD","behind"))</f>
        <v>AHEAD</v>
      </c>
      <c r="K24" s="19" t="str">
        <f aca="false">IF(10&lt;'Your numbers'!$B$16,"no change yet",IF(K23&gt;0,"AHEAD","behind"))</f>
        <v>AHEAD</v>
      </c>
      <c r="L24" s="19" t="str">
        <f aca="false">IF(11&lt;'Your numbers'!$B$16,"no change yet",IF(L23&gt;0,"AHEAD","behind"))</f>
        <v>AHEAD</v>
      </c>
      <c r="M24" s="19" t="str">
        <f aca="false">IF(12&lt;'Your numbers'!$B$16,"no change yet",IF(M23&gt;0,"AHEAD","behind"))</f>
        <v>AHEAD</v>
      </c>
      <c r="N24" s="19" t="str">
        <f aca="false">IF(13&lt;'Your numbers'!$B$16,"no change yet",IF(N23&gt;0,"AHEAD","behind"))</f>
        <v>AHEAD</v>
      </c>
      <c r="O24" s="19" t="str">
        <f aca="false">IF(14&lt;'Your numbers'!$B$16,"no change yet",IF(O23&gt;0,"AHEAD","behind"))</f>
        <v>AHEAD</v>
      </c>
      <c r="P24" s="19" t="str">
        <f aca="false">IF(15&lt;'Your numbers'!$B$16,"no change yet",IF(P23&gt;0,"AHEAD","behind"))</f>
        <v>AHEAD</v>
      </c>
      <c r="Q24" s="2"/>
      <c r="R24" s="6" t="s">
        <v>58</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59</v>
      </c>
      <c r="B1" s="2"/>
      <c r="C1" s="2"/>
      <c r="D1" s="2"/>
      <c r="E1" s="2"/>
      <c r="F1" s="2"/>
      <c r="G1" s="2"/>
      <c r="H1" s="2"/>
      <c r="I1" s="2"/>
      <c r="J1" s="2"/>
      <c r="K1" s="2"/>
      <c r="L1" s="2"/>
      <c r="M1" s="2"/>
      <c r="N1" s="2"/>
      <c r="O1" s="2"/>
      <c r="P1" s="2"/>
      <c r="Q1" s="2"/>
      <c r="R1" s="2"/>
    </row>
    <row r="2" customFormat="false" ht="15" hidden="false" customHeight="false" outlineLevel="0" collapsed="false">
      <c r="A2" s="3" t="s">
        <v>60</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0" t="s">
        <v>61</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9" t="s">
        <v>30</v>
      </c>
      <c r="B6" s="10" t="n">
        <v>1</v>
      </c>
      <c r="C6" s="10" t="n">
        <v>2</v>
      </c>
      <c r="D6" s="10" t="n">
        <v>3</v>
      </c>
      <c r="E6" s="10" t="n">
        <v>4</v>
      </c>
      <c r="F6" s="10" t="n">
        <v>5</v>
      </c>
      <c r="G6" s="10" t="n">
        <v>6</v>
      </c>
      <c r="H6" s="10" t="n">
        <v>7</v>
      </c>
      <c r="I6" s="10" t="n">
        <v>8</v>
      </c>
      <c r="J6" s="10" t="n">
        <v>9</v>
      </c>
      <c r="K6" s="10" t="n">
        <v>10</v>
      </c>
      <c r="L6" s="10" t="n">
        <v>11</v>
      </c>
      <c r="M6" s="10" t="n">
        <v>12</v>
      </c>
      <c r="N6" s="10" t="n">
        <v>13</v>
      </c>
      <c r="O6" s="10" t="n">
        <v>14</v>
      </c>
      <c r="P6" s="10" t="n">
        <v>15</v>
      </c>
      <c r="Q6" s="2"/>
      <c r="R6" s="9" t="s">
        <v>31</v>
      </c>
    </row>
    <row r="7" customFormat="false" ht="15" hidden="false" customHeight="false" outlineLevel="0" collapsed="false">
      <c r="A7" s="9" t="s">
        <v>62</v>
      </c>
      <c r="B7" s="11" t="n">
        <v>1107883.476</v>
      </c>
      <c r="C7" s="11" t="n">
        <v>1130224.27392</v>
      </c>
      <c r="D7" s="11" t="n">
        <v>1470581.13731659</v>
      </c>
      <c r="E7" s="11" t="n">
        <v>2128361.5241759</v>
      </c>
      <c r="F7" s="11" t="n">
        <v>2531696.60117519</v>
      </c>
      <c r="G7" s="11" t="n">
        <v>2960567.60023987</v>
      </c>
      <c r="H7" s="11" t="n">
        <v>3415973.30476096</v>
      </c>
      <c r="I7" s="11" t="n">
        <v>3898958.3702101</v>
      </c>
      <c r="J7" s="11" t="n">
        <v>4410614.70976327</v>
      </c>
      <c r="K7" s="11" t="n">
        <v>4952082.94628947</v>
      </c>
      <c r="L7" s="11" t="n">
        <v>5524553.93215493</v>
      </c>
      <c r="M7" s="11" t="n">
        <v>6129270.33838766</v>
      </c>
      <c r="N7" s="11" t="n">
        <v>6767528.314843</v>
      </c>
      <c r="O7" s="11" t="n">
        <v>7045784.99129078</v>
      </c>
      <c r="P7" s="11" t="n">
        <v>7328447.27269707</v>
      </c>
      <c r="Q7" s="2"/>
      <c r="R7" s="2"/>
    </row>
    <row r="8" customFormat="false" ht="15" hidden="false" customHeight="false" outlineLevel="0" collapsed="false">
      <c r="A8" s="4" t="s">
        <v>63</v>
      </c>
      <c r="B8" s="21" t="n">
        <v>2</v>
      </c>
      <c r="C8" s="21" t="n">
        <v>2</v>
      </c>
      <c r="D8" s="21" t="n">
        <v>2.5</v>
      </c>
      <c r="E8" s="21" t="n">
        <v>3.5</v>
      </c>
      <c r="F8" s="21" t="n">
        <v>4</v>
      </c>
      <c r="G8" s="21" t="n">
        <v>4.5</v>
      </c>
      <c r="H8" s="21" t="n">
        <v>5</v>
      </c>
      <c r="I8" s="21" t="n">
        <v>5.5</v>
      </c>
      <c r="J8" s="21" t="n">
        <v>6</v>
      </c>
      <c r="K8" s="21" t="n">
        <v>6.5</v>
      </c>
      <c r="L8" s="21" t="n">
        <v>7</v>
      </c>
      <c r="M8" s="21" t="n">
        <v>7.5</v>
      </c>
      <c r="N8" s="21" t="n">
        <v>8</v>
      </c>
      <c r="O8" s="21" t="n">
        <v>8</v>
      </c>
      <c r="P8" s="21" t="n">
        <v>8</v>
      </c>
      <c r="Q8" s="2"/>
      <c r="R8" s="2"/>
    </row>
    <row r="9" customFormat="false" ht="15" hidden="false" customHeight="false" outlineLevel="0" collapsed="false">
      <c r="A9" s="4" t="s">
        <v>64</v>
      </c>
      <c r="B9" s="19" t="n">
        <v>9</v>
      </c>
      <c r="C9" s="19" t="n">
        <v>9</v>
      </c>
      <c r="D9" s="19" t="n">
        <v>12</v>
      </c>
      <c r="E9" s="19" t="n">
        <v>16</v>
      </c>
      <c r="F9" s="19" t="n">
        <v>19</v>
      </c>
      <c r="G9" s="19" t="n">
        <v>22</v>
      </c>
      <c r="H9" s="19" t="n">
        <v>24</v>
      </c>
      <c r="I9" s="19" t="n">
        <v>26</v>
      </c>
      <c r="J9" s="19" t="n">
        <v>28</v>
      </c>
      <c r="K9" s="19" t="n">
        <v>30</v>
      </c>
      <c r="L9" s="19" t="n">
        <v>31</v>
      </c>
      <c r="M9" s="19" t="n">
        <v>34</v>
      </c>
      <c r="N9" s="19" t="n">
        <v>35</v>
      </c>
      <c r="O9" s="19" t="n">
        <v>35</v>
      </c>
      <c r="P9" s="19" t="n">
        <v>35</v>
      </c>
      <c r="Q9" s="2"/>
      <c r="R9" s="2"/>
    </row>
    <row r="10" customFormat="false" ht="15" hidden="false" customHeight="false" outlineLevel="0" collapsed="false">
      <c r="A10" s="9" t="s">
        <v>65</v>
      </c>
      <c r="B10" s="11" t="n">
        <v>309346.07309104</v>
      </c>
      <c r="C10" s="11" t="n">
        <v>298686.24221904</v>
      </c>
      <c r="D10" s="11" t="n">
        <v>355430.854335931</v>
      </c>
      <c r="E10" s="11" t="n">
        <v>480212.618568055</v>
      </c>
      <c r="F10" s="11" t="n">
        <v>471947.318307169</v>
      </c>
      <c r="G10" s="11" t="n">
        <v>514099.926862789</v>
      </c>
      <c r="H10" s="11" t="n">
        <v>646151.297211341</v>
      </c>
      <c r="I10" s="11" t="n">
        <v>785530.442582843</v>
      </c>
      <c r="J10" s="11" t="n">
        <v>869075.961720472</v>
      </c>
      <c r="K10" s="11" t="n">
        <v>1029166.33528225</v>
      </c>
      <c r="L10" s="11" t="n">
        <v>1197070.66564829</v>
      </c>
      <c r="M10" s="11" t="n">
        <v>1372827.40169565</v>
      </c>
      <c r="N10" s="11" t="n">
        <v>1556465.40590655</v>
      </c>
      <c r="O10" s="11" t="n">
        <v>1627343.6700041</v>
      </c>
      <c r="P10" s="11" t="n">
        <v>1696229.81094027</v>
      </c>
      <c r="Q10" s="2"/>
      <c r="R10" s="6" t="s">
        <v>66</v>
      </c>
    </row>
    <row r="11" customFormat="false" ht="15" hidden="false" customHeight="false" outlineLevel="0" collapsed="false">
      <c r="A11" s="4" t="s">
        <v>67</v>
      </c>
      <c r="B11" s="12" t="n">
        <v>61038.4292364159</v>
      </c>
      <c r="C11" s="12" t="n">
        <v>120512.926124032</v>
      </c>
      <c r="D11" s="12" t="n">
        <v>188835.267858404</v>
      </c>
      <c r="E11" s="12" t="n">
        <v>293220.315285626</v>
      </c>
      <c r="F11" s="12" t="n">
        <v>408149.242608494</v>
      </c>
      <c r="G11" s="12" t="n">
        <v>539939.213353609</v>
      </c>
      <c r="H11" s="12" t="n">
        <v>724549.732238146</v>
      </c>
      <c r="I11" s="12" t="n">
        <v>964911.909271283</v>
      </c>
      <c r="J11" s="12" t="n">
        <v>1238692.29395947</v>
      </c>
      <c r="K11" s="12" t="n">
        <v>1576508.82807237</v>
      </c>
      <c r="L11" s="12" t="n">
        <v>1981487.09433169</v>
      </c>
      <c r="M11" s="12" t="n">
        <v>2456768.05500994</v>
      </c>
      <c r="N11" s="12" t="n">
        <v>3005504.21737256</v>
      </c>
      <c r="O11" s="12" t="n">
        <v>3596441.6853742</v>
      </c>
      <c r="P11" s="12" t="n">
        <v>4214933.60975031</v>
      </c>
      <c r="Q11" s="2"/>
      <c r="R11" s="2"/>
    </row>
    <row r="12" customFormat="false" ht="32.8" hidden="false" customHeight="false" outlineLevel="0" collapsed="false">
      <c r="A12" s="9" t="s">
        <v>44</v>
      </c>
      <c r="B12" s="11" t="n">
        <v>737130.151233105</v>
      </c>
      <c r="C12" s="11" t="n">
        <v>793606.669249441</v>
      </c>
      <c r="D12" s="11" t="n">
        <v>973791.845154872</v>
      </c>
      <c r="E12" s="11" t="n">
        <v>1704841.10205784</v>
      </c>
      <c r="F12" s="11" t="n">
        <v>1781926.25021217</v>
      </c>
      <c r="G12" s="11" t="n">
        <v>2078739.72158601</v>
      </c>
      <c r="H12" s="11" t="n">
        <v>2788865.52166945</v>
      </c>
      <c r="I12" s="11" t="n">
        <v>3584726.63004211</v>
      </c>
      <c r="J12" s="11" t="n">
        <v>4191175.85367095</v>
      </c>
      <c r="K12" s="11" t="n">
        <v>5168218.95382355</v>
      </c>
      <c r="L12" s="11" t="n">
        <v>8245690.54355842</v>
      </c>
      <c r="M12" s="11" t="n">
        <v>9739722.17619467</v>
      </c>
      <c r="N12" s="11" t="n">
        <v>11353079.965143</v>
      </c>
      <c r="O12" s="11" t="n">
        <v>12401842.2665323</v>
      </c>
      <c r="P12" s="11" t="n">
        <v>13454921.9845546</v>
      </c>
      <c r="Q12" s="2"/>
      <c r="R12" s="6" t="s">
        <v>68</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69</v>
      </c>
      <c r="B1" s="2"/>
      <c r="C1" s="2"/>
      <c r="D1" s="2"/>
      <c r="E1" s="2"/>
      <c r="F1" s="2"/>
      <c r="G1" s="2"/>
      <c r="H1" s="2"/>
      <c r="I1" s="2"/>
      <c r="J1" s="2"/>
      <c r="K1" s="2"/>
      <c r="L1" s="2"/>
      <c r="M1" s="2"/>
      <c r="N1" s="2"/>
      <c r="O1" s="2"/>
      <c r="P1" s="2"/>
      <c r="Q1" s="2"/>
      <c r="R1" s="2"/>
    </row>
    <row r="2" customFormat="false" ht="15" hidden="false" customHeight="false" outlineLevel="0" collapsed="false">
      <c r="A2" s="3" t="s">
        <v>70</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71</v>
      </c>
      <c r="B4" s="7" t="n">
        <v>0.2</v>
      </c>
      <c r="C4" s="2"/>
      <c r="D4" s="20" t="s">
        <v>72</v>
      </c>
      <c r="E4" s="2"/>
      <c r="F4" s="2"/>
      <c r="G4" s="2"/>
      <c r="H4" s="2"/>
      <c r="I4" s="2"/>
      <c r="J4" s="2"/>
      <c r="K4" s="2"/>
      <c r="L4" s="2"/>
      <c r="M4" s="2"/>
      <c r="N4" s="2"/>
      <c r="O4" s="2"/>
      <c r="P4" s="2"/>
      <c r="Q4" s="2"/>
      <c r="R4" s="2"/>
    </row>
    <row r="5" customFormat="false" ht="15" hidden="false" customHeight="false" outlineLevel="0" collapsed="false">
      <c r="A5" s="4" t="s">
        <v>73</v>
      </c>
      <c r="B5" s="7" t="n">
        <v>0.0875</v>
      </c>
      <c r="C5" s="2"/>
      <c r="D5" s="20" t="s">
        <v>74</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9" t="s">
        <v>30</v>
      </c>
      <c r="B8" s="10" t="n">
        <v>1</v>
      </c>
      <c r="C8" s="10" t="n">
        <v>2</v>
      </c>
      <c r="D8" s="10" t="n">
        <v>3</v>
      </c>
      <c r="E8" s="10" t="n">
        <v>4</v>
      </c>
      <c r="F8" s="10" t="n">
        <v>5</v>
      </c>
      <c r="G8" s="10" t="n">
        <v>6</v>
      </c>
      <c r="H8" s="10" t="n">
        <v>7</v>
      </c>
      <c r="I8" s="10" t="n">
        <v>8</v>
      </c>
      <c r="J8" s="10" t="n">
        <v>9</v>
      </c>
      <c r="K8" s="10" t="n">
        <v>10</v>
      </c>
      <c r="L8" s="10" t="n">
        <v>11</v>
      </c>
      <c r="M8" s="10" t="n">
        <v>12</v>
      </c>
      <c r="N8" s="10" t="n">
        <v>13</v>
      </c>
      <c r="O8" s="10" t="n">
        <v>14</v>
      </c>
      <c r="P8" s="10" t="n">
        <v>15</v>
      </c>
      <c r="Q8" s="2"/>
      <c r="R8" s="9" t="s">
        <v>31</v>
      </c>
    </row>
    <row r="9" customFormat="false" ht="22.35" hidden="false" customHeight="false" outlineLevel="0" collapsed="false">
      <c r="A9" s="9" t="s">
        <v>75</v>
      </c>
      <c r="B9" s="11" t="n">
        <f aca="false">'Year by year'!B17</f>
        <v>438.472536993149</v>
      </c>
      <c r="C9" s="11" t="n">
        <f aca="false">'Year by year'!C17</f>
        <v>4265.53615496646</v>
      </c>
      <c r="D9" s="11" t="n">
        <f aca="false">'Year by year'!D17</f>
        <v>22614.9700639385</v>
      </c>
      <c r="E9" s="11" t="n">
        <f aca="false">'Year by year'!E17</f>
        <v>117879.204246941</v>
      </c>
      <c r="F9" s="11" t="n">
        <f aca="false">'Year by year'!F17</f>
        <v>127129.42202546</v>
      </c>
      <c r="G9" s="11" t="n">
        <f aca="false">'Year by year'!G17</f>
        <v>162747.038590321</v>
      </c>
      <c r="H9" s="11" t="n">
        <f aca="false">'Year by year'!H17</f>
        <v>247962.134600334</v>
      </c>
      <c r="I9" s="11" t="n">
        <f aca="false">'Year by year'!I17</f>
        <v>343465.467605053</v>
      </c>
      <c r="J9" s="11" t="n">
        <f aca="false">'Year by year'!J17</f>
        <v>416239.374440514</v>
      </c>
      <c r="K9" s="11" t="n">
        <f aca="false">'Year by year'!K17</f>
        <v>533484.546458826</v>
      </c>
      <c r="L9" s="11" t="n">
        <f aca="false">'Year by year'!L17</f>
        <v>902781.13722701</v>
      </c>
      <c r="M9" s="11" t="n">
        <f aca="false">'Year by year'!M17</f>
        <v>1082064.93314336</v>
      </c>
      <c r="N9" s="11" t="n">
        <f aca="false">'Year by year'!N17</f>
        <v>1275667.86781716</v>
      </c>
      <c r="O9" s="11" t="n">
        <f aca="false">'Year by year'!O17</f>
        <v>1401519.34398388</v>
      </c>
      <c r="P9" s="11" t="n">
        <f aca="false">'Year by year'!P17</f>
        <v>1527888.91014655</v>
      </c>
      <c r="Q9" s="2"/>
      <c r="R9" s="6" t="s">
        <v>76</v>
      </c>
    </row>
    <row r="10" customFormat="false" ht="15" hidden="false" customHeight="false" outlineLevel="0" collapsed="false">
      <c r="A10" s="9" t="s">
        <v>77</v>
      </c>
      <c r="B10" s="11" t="n">
        <f aca="false">B9*(1-$B$4)</f>
        <v>350.778029594519</v>
      </c>
      <c r="C10" s="11" t="n">
        <f aca="false">C9*(1-$B$4)</f>
        <v>3412.42892397317</v>
      </c>
      <c r="D10" s="11" t="n">
        <f aca="false">D9*(1-$B$4)</f>
        <v>18091.9760511508</v>
      </c>
      <c r="E10" s="11" t="n">
        <f aca="false">E9*(1-$B$4)</f>
        <v>94303.3633975526</v>
      </c>
      <c r="F10" s="11" t="n">
        <f aca="false">F9*(1-$B$4)</f>
        <v>101703.537620368</v>
      </c>
      <c r="G10" s="11" t="n">
        <f aca="false">G9*(1-$B$4)</f>
        <v>130197.630872257</v>
      </c>
      <c r="H10" s="11" t="n">
        <f aca="false">H9*(1-$B$4)</f>
        <v>198369.707680267</v>
      </c>
      <c r="I10" s="11" t="n">
        <f aca="false">I9*(1-$B$4)</f>
        <v>274772.374084043</v>
      </c>
      <c r="J10" s="11" t="n">
        <f aca="false">J9*(1-$B$4)</f>
        <v>332991.499552411</v>
      </c>
      <c r="K10" s="11" t="n">
        <f aca="false">K9*(1-$B$4)</f>
        <v>426787.637167061</v>
      </c>
      <c r="L10" s="11" t="n">
        <f aca="false">L9*(1-$B$4)</f>
        <v>722224.909781608</v>
      </c>
      <c r="M10" s="11" t="n">
        <f aca="false">M9*(1-$B$4)</f>
        <v>865651.946514688</v>
      </c>
      <c r="N10" s="11" t="n">
        <f aca="false">N9*(1-$B$4)</f>
        <v>1020534.29425373</v>
      </c>
      <c r="O10" s="11" t="n">
        <f aca="false">O9*(1-$B$4)</f>
        <v>1121215.4751871</v>
      </c>
      <c r="P10" s="11" t="n">
        <f aca="false">P9*(1-$B$4)</f>
        <v>1222311.12811724</v>
      </c>
      <c r="Q10" s="2"/>
      <c r="R10" s="2"/>
    </row>
    <row r="11" customFormat="false" ht="15" hidden="false" customHeight="false" outlineLevel="0" collapsed="false">
      <c r="A11" s="4" t="s">
        <v>78</v>
      </c>
      <c r="B11" s="12" t="n">
        <f aca="false">B10</f>
        <v>350.778029594519</v>
      </c>
      <c r="C11" s="12" t="n">
        <f aca="false">C10</f>
        <v>3412.42892397317</v>
      </c>
      <c r="D11" s="12" t="n">
        <f aca="false">D10</f>
        <v>18091.9760511508</v>
      </c>
      <c r="E11" s="12" t="n">
        <f aca="false">E10</f>
        <v>94303.3633975526</v>
      </c>
      <c r="F11" s="12" t="n">
        <f aca="false">F10</f>
        <v>101703.537620368</v>
      </c>
      <c r="G11" s="12" t="n">
        <f aca="false">G10</f>
        <v>130197.630872257</v>
      </c>
      <c r="H11" s="12" t="n">
        <f aca="false">H10</f>
        <v>198369.707680267</v>
      </c>
      <c r="I11" s="12" t="n">
        <f aca="false">I10</f>
        <v>274772.374084043</v>
      </c>
      <c r="J11" s="12" t="n">
        <f aca="false">J10</f>
        <v>332991.499552411</v>
      </c>
      <c r="K11" s="12" t="n">
        <f aca="false">K10</f>
        <v>426787.637167061</v>
      </c>
      <c r="L11" s="12" t="n">
        <f aca="false">L10</f>
        <v>722224.909781608</v>
      </c>
      <c r="M11" s="12" t="n">
        <f aca="false">M10</f>
        <v>865651.946514688</v>
      </c>
      <c r="N11" s="12" t="n">
        <f aca="false">N10</f>
        <v>1020534.29425373</v>
      </c>
      <c r="O11" s="12" t="n">
        <f aca="false">O10</f>
        <v>1121215.4751871</v>
      </c>
      <c r="P11" s="12" t="n">
        <f aca="false">P10</f>
        <v>1222311.12811724</v>
      </c>
      <c r="Q11" s="2"/>
      <c r="R11" s="2"/>
    </row>
    <row r="12" customFormat="false" ht="15" hidden="false" customHeight="false" outlineLevel="0" collapsed="false">
      <c r="A12" s="4" t="s">
        <v>79</v>
      </c>
      <c r="B12" s="12" t="n">
        <f aca="false">IF(B10=0,0,PMT($B$5/12,36,-B10))</f>
        <v>11.113878233567</v>
      </c>
      <c r="C12" s="12" t="n">
        <f aca="false">IF(C10=0,0,PMT($B$5/12,36,-C10))</f>
        <v>108.117716453278</v>
      </c>
      <c r="D12" s="12" t="n">
        <f aca="false">IF(D10=0,0,PMT($B$5/12,36,-D10))</f>
        <v>573.217253855747</v>
      </c>
      <c r="E12" s="12" t="n">
        <f aca="false">IF(E10=0,0,PMT($B$5/12,36,-E10))</f>
        <v>2987.86129515506</v>
      </c>
      <c r="F12" s="12" t="n">
        <f aca="false">IF(F10=0,0,PMT($B$5/12,36,-F10))</f>
        <v>3222.32476857905</v>
      </c>
      <c r="G12" s="12" t="n">
        <f aca="false">IF(G10=0,0,PMT($B$5/12,36,-G10))</f>
        <v>4125.11757787631</v>
      </c>
      <c r="H12" s="12" t="n">
        <f aca="false">IF(H10=0,0,PMT($B$5/12,36,-H10))</f>
        <v>6285.04806568199</v>
      </c>
      <c r="I12" s="12" t="n">
        <f aca="false">IF(I10=0,0,PMT($B$5/12,36,-I10))</f>
        <v>8705.75249837679</v>
      </c>
      <c r="J12" s="12" t="n">
        <f aca="false">IF(J10=0,0,PMT($B$5/12,36,-J10))</f>
        <v>10550.3385805443</v>
      </c>
      <c r="K12" s="12" t="n">
        <f aca="false">IF(K10=0,0,PMT($B$5/12,36,-K10))</f>
        <v>13522.1291839442</v>
      </c>
      <c r="L12" s="12" t="n">
        <f aca="false">IF(L10=0,0,PMT($B$5/12,36,-L10))</f>
        <v>22882.61814413</v>
      </c>
      <c r="M12" s="12" t="n">
        <f aca="false">IF(M10=0,0,PMT($B$5/12,36,-M10))</f>
        <v>27426.889698125</v>
      </c>
      <c r="N12" s="12" t="n">
        <f aca="false">IF(N10=0,0,PMT($B$5/12,36,-N10))</f>
        <v>32334.1056810942</v>
      </c>
      <c r="O12" s="12" t="n">
        <f aca="false">IF(O10=0,0,PMT($B$5/12,36,-O10))</f>
        <v>35524.0386041986</v>
      </c>
      <c r="P12" s="12" t="n">
        <f aca="false">IF(P10=0,0,PMT($B$5/12,36,-P10))</f>
        <v>38727.1034538054</v>
      </c>
      <c r="Q12" s="2"/>
      <c r="R12" s="2"/>
    </row>
    <row r="13" customFormat="false" ht="32.8" hidden="false" customHeight="false" outlineLevel="0" collapsed="false">
      <c r="A13" s="9" t="s">
        <v>80</v>
      </c>
      <c r="B13" s="11" t="n">
        <f aca="false">IF(B10=0,0,PMT($B$5/12,60,-B10))</f>
        <v>7.23908782522604</v>
      </c>
      <c r="C13" s="11" t="n">
        <f aca="false">IF(C10=0,0,PMT($B$5/12,60,-C10))</f>
        <v>70.4230897999472</v>
      </c>
      <c r="D13" s="11" t="n">
        <f aca="false">IF(D10=0,0,PMT($B$5/12,60,-D10))</f>
        <v>373.368319896091</v>
      </c>
      <c r="E13" s="11" t="n">
        <f aca="false">IF(E10=0,0,PMT($B$5/12,60,-E10))</f>
        <v>1946.16045548298</v>
      </c>
      <c r="F13" s="11" t="n">
        <f aca="false">IF(F10=0,0,PMT($B$5/12,60,-F10))</f>
        <v>2098.87957299117</v>
      </c>
      <c r="G13" s="11" t="n">
        <f aca="false">IF(G10=0,0,PMT($B$5/12,60,-G10))</f>
        <v>2686.91880620381</v>
      </c>
      <c r="H13" s="11" t="n">
        <f aca="false">IF(H10=0,0,PMT($B$5/12,60,-H10))</f>
        <v>4093.8018194065</v>
      </c>
      <c r="I13" s="11" t="n">
        <f aca="false">IF(I10=0,0,PMT($B$5/12,60,-I10))</f>
        <v>5670.54142541237</v>
      </c>
      <c r="J13" s="11" t="n">
        <f aca="false">IF(J10=0,0,PMT($B$5/12,60,-J10))</f>
        <v>6872.02306569798</v>
      </c>
      <c r="K13" s="11" t="n">
        <f aca="false">IF(K10=0,0,PMT($B$5/12,60,-K10))</f>
        <v>8807.71578466422</v>
      </c>
      <c r="L13" s="11" t="n">
        <f aca="false">IF(L10=0,0,PMT($B$5/12,60,-L10))</f>
        <v>14904.723529916</v>
      </c>
      <c r="M13" s="11" t="n">
        <f aca="false">IF(M10=0,0,PMT($B$5/12,60,-M10))</f>
        <v>17864.6606634443</v>
      </c>
      <c r="N13" s="11" t="n">
        <f aca="false">IF(N10=0,0,PMT($B$5/12,60,-N10))</f>
        <v>21061.003715933</v>
      </c>
      <c r="O13" s="11" t="n">
        <f aca="false">IF(O10=0,0,PMT($B$5/12,60,-O10))</f>
        <v>23138.7846760651</v>
      </c>
      <c r="P13" s="11" t="n">
        <f aca="false">IF(P10=0,0,PMT($B$5/12,60,-P10))</f>
        <v>25225.1191912451</v>
      </c>
      <c r="Q13" s="2"/>
      <c r="R13" s="6" t="s">
        <v>81</v>
      </c>
    </row>
    <row r="14" customFormat="false" ht="15" hidden="false" customHeight="false" outlineLevel="0" collapsed="false">
      <c r="A14" s="4" t="s">
        <v>82</v>
      </c>
      <c r="B14" s="12" t="n">
        <f aca="false">IF(B10=0,0,PMT($B$5/12,84,-B10))</f>
        <v>5.59929160095714</v>
      </c>
      <c r="C14" s="12" t="n">
        <f aca="false">IF(C10=0,0,PMT($B$5/12,84,-C10))</f>
        <v>54.470870467438</v>
      </c>
      <c r="D14" s="12" t="n">
        <f aca="false">IF(D10=0,0,PMT($B$5/12,84,-D10))</f>
        <v>288.793028642719</v>
      </c>
      <c r="E14" s="12" t="n">
        <f aca="false">IF(E10=0,0,PMT($B$5/12,84,-E10))</f>
        <v>1505.31671331954</v>
      </c>
      <c r="F14" s="12" t="n">
        <f aca="false">IF(F10=0,0,PMT($B$5/12,84,-F10))</f>
        <v>1623.44193746579</v>
      </c>
      <c r="G14" s="12" t="n">
        <f aca="false">IF(G10=0,0,PMT($B$5/12,84,-G10))</f>
        <v>2078.27868196377</v>
      </c>
      <c r="H14" s="12" t="n">
        <f aca="false">IF(H10=0,0,PMT($B$5/12,84,-H10))</f>
        <v>3166.47493397003</v>
      </c>
      <c r="I14" s="12" t="n">
        <f aca="false">IF(I10=0,0,PMT($B$5/12,84,-I10))</f>
        <v>4386.05190912981</v>
      </c>
      <c r="J14" s="12" t="n">
        <f aca="false">IF(J10=0,0,PMT($B$5/12,84,-J10))</f>
        <v>5315.37425188579</v>
      </c>
      <c r="K14" s="12" t="n">
        <f aca="false">IF(K10=0,0,PMT($B$5/12,84,-K10))</f>
        <v>6812.59437754481</v>
      </c>
      <c r="L14" s="12" t="n">
        <f aca="false">IF(L10=0,0,PMT($B$5/12,84,-L10))</f>
        <v>11528.5095706159</v>
      </c>
      <c r="M14" s="12" t="n">
        <f aca="false">IF(M10=0,0,PMT($B$5/12,84,-M10))</f>
        <v>13817.962541938</v>
      </c>
      <c r="N14" s="12" t="n">
        <f aca="false">IF(N10=0,0,PMT($B$5/12,84,-N10))</f>
        <v>16290.2708271354</v>
      </c>
      <c r="O14" s="12" t="n">
        <f aca="false">IF(O10=0,0,PMT($B$5/12,84,-O10))</f>
        <v>17897.3934038439</v>
      </c>
      <c r="P14" s="12" t="n">
        <f aca="false">IF(P10=0,0,PMT($B$5/12,84,-P10))</f>
        <v>19511.1319866148</v>
      </c>
      <c r="Q14" s="2"/>
      <c r="R14" s="2"/>
    </row>
    <row r="15" customFormat="false" ht="15" hidden="false" customHeight="false" outlineLevel="0" collapsed="false">
      <c r="A15" s="13" t="s">
        <v>83</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84</v>
      </c>
      <c r="B16" s="12" t="n">
        <v>309346.07309104</v>
      </c>
      <c r="C16" s="12" t="n">
        <v>298686.24221904</v>
      </c>
      <c r="D16" s="12" t="n">
        <v>355430.854335931</v>
      </c>
      <c r="E16" s="12" t="n">
        <v>480212.618568055</v>
      </c>
      <c r="F16" s="12" t="n">
        <v>471947.318307169</v>
      </c>
      <c r="G16" s="12" t="n">
        <v>514099.926862789</v>
      </c>
      <c r="H16" s="12" t="n">
        <v>646151.297211341</v>
      </c>
      <c r="I16" s="12" t="n">
        <v>785530.442582843</v>
      </c>
      <c r="J16" s="12" t="n">
        <v>869075.961720472</v>
      </c>
      <c r="K16" s="12" t="n">
        <v>1029166.33528225</v>
      </c>
      <c r="L16" s="12" t="n">
        <v>1197070.66564829</v>
      </c>
      <c r="M16" s="12" t="n">
        <v>1372827.40169565</v>
      </c>
      <c r="N16" s="12" t="n">
        <v>1556465.40590655</v>
      </c>
      <c r="O16" s="12" t="n">
        <v>1627343.6700041</v>
      </c>
      <c r="P16" s="12" t="n">
        <v>1696229.81094027</v>
      </c>
      <c r="Q16" s="2"/>
      <c r="R16" s="2"/>
    </row>
    <row r="17" customFormat="false" ht="15" hidden="false" customHeight="false" outlineLevel="0" collapsed="false">
      <c r="A17" s="4" t="s">
        <v>67</v>
      </c>
      <c r="B17" s="12" t="n">
        <v>61038.4292364159</v>
      </c>
      <c r="C17" s="12" t="n">
        <v>120512.926124032</v>
      </c>
      <c r="D17" s="12" t="n">
        <v>188835.267858404</v>
      </c>
      <c r="E17" s="12" t="n">
        <v>293220.315285626</v>
      </c>
      <c r="F17" s="12" t="n">
        <v>408149.242608494</v>
      </c>
      <c r="G17" s="12" t="n">
        <v>539939.213353609</v>
      </c>
      <c r="H17" s="12" t="n">
        <v>724549.732238146</v>
      </c>
      <c r="I17" s="12" t="n">
        <v>964911.909271283</v>
      </c>
      <c r="J17" s="12" t="n">
        <v>1238692.29395947</v>
      </c>
      <c r="K17" s="12" t="n">
        <v>1576508.82807237</v>
      </c>
      <c r="L17" s="12" t="n">
        <v>1981487.09433169</v>
      </c>
      <c r="M17" s="12" t="n">
        <v>2456768.05500994</v>
      </c>
      <c r="N17" s="12" t="n">
        <v>3005504.21737256</v>
      </c>
      <c r="O17" s="12" t="n">
        <v>3596441.6853742</v>
      </c>
      <c r="P17" s="12" t="n">
        <v>4214933.60975031</v>
      </c>
      <c r="Q17" s="2"/>
      <c r="R17" s="2"/>
    </row>
    <row r="18" customFormat="false" ht="22.35" hidden="false" customHeight="false" outlineLevel="0" collapsed="false">
      <c r="A18" s="9" t="s">
        <v>85</v>
      </c>
      <c r="B18" s="16" t="n">
        <f aca="false">IF(B16=0,0,B13*12/B16)</f>
        <v>0.000280815117627652</v>
      </c>
      <c r="C18" s="16" t="n">
        <f aca="false">IF(C16=0,0,C13*12/C16)</f>
        <v>0.00282931370163221</v>
      </c>
      <c r="D18" s="16" t="n">
        <f aca="false">IF(D16=0,0,D13*12/D16)</f>
        <v>0.0126056018606603</v>
      </c>
      <c r="E18" s="16" t="n">
        <f aca="false">IF(E16=0,0,E13*12/E16)</f>
        <v>0.0486324693745757</v>
      </c>
      <c r="F18" s="16" t="n">
        <f aca="false">IF(F16=0,0,F13*12/F16)</f>
        <v>0.0533673016010258</v>
      </c>
      <c r="G18" s="16" t="n">
        <f aca="false">IF(G16=0,0,G13*12/G16)</f>
        <v>0.0627174290243601</v>
      </c>
      <c r="H18" s="16" t="n">
        <f aca="false">IF(H16=0,0,H13*12/H16)</f>
        <v>0.0760280479895256</v>
      </c>
      <c r="I18" s="16" t="n">
        <f aca="false">IF(I16=0,0,I13*12/I16)</f>
        <v>0.0866249013611872</v>
      </c>
      <c r="J18" s="16" t="n">
        <f aca="false">IF(J16=0,0,J13*12/J16)</f>
        <v>0.0948873060821114</v>
      </c>
      <c r="K18" s="16" t="n">
        <f aca="false">IF(K16=0,0,K13*12/K16)</f>
        <v>0.102697285941621</v>
      </c>
      <c r="L18" s="16" t="n">
        <f aca="false">IF(L16=0,0,L13*12/L16)</f>
        <v>0.149411966637851</v>
      </c>
      <c r="M18" s="16" t="n">
        <f aca="false">IF(M16=0,0,M13*12/M16)</f>
        <v>0.156156504231009</v>
      </c>
      <c r="N18" s="16" t="n">
        <f aca="false">IF(N16=0,0,N13*12/N16)</f>
        <v>0.162375625974157</v>
      </c>
      <c r="O18" s="16" t="n">
        <f aca="false">IF(O16=0,0,O13*12/O16)</f>
        <v>0.170624940036226</v>
      </c>
      <c r="P18" s="16" t="n">
        <f aca="false">IF(P16=0,0,P13*12/P16)</f>
        <v>0.178455435898243</v>
      </c>
      <c r="Q18" s="2"/>
      <c r="R18" s="6" t="s">
        <v>86</v>
      </c>
    </row>
    <row r="19" customFormat="false" ht="15" hidden="false" customHeight="false" outlineLevel="0" collapsed="false">
      <c r="A19" s="4" t="s">
        <v>87</v>
      </c>
      <c r="B19" s="19" t="str">
        <f aca="false">IF(B10=0,"-",IF(B17&gt;=B10,"yes","no - needs a note"))</f>
        <v>yes</v>
      </c>
      <c r="C19" s="19" t="str">
        <f aca="false">IF(C10=0,"-",IF(C17&gt;=C10,"yes","no - needs a note"))</f>
        <v>yes</v>
      </c>
      <c r="D19" s="19" t="str">
        <f aca="false">IF(D10=0,"-",IF(D17&gt;=D10,"yes","no - needs a note"))</f>
        <v>yes</v>
      </c>
      <c r="E19" s="19" t="str">
        <f aca="false">IF(E10=0,"-",IF(E17&gt;=E10,"yes","no - needs a note"))</f>
        <v>yes</v>
      </c>
      <c r="F19" s="19" t="str">
        <f aca="false">IF(F10=0,"-",IF(F17&gt;=F10,"yes","no - needs a note"))</f>
        <v>yes</v>
      </c>
      <c r="G19" s="19" t="str">
        <f aca="false">IF(G10=0,"-",IF(G17&gt;=G10,"yes","no - needs a note"))</f>
        <v>yes</v>
      </c>
      <c r="H19" s="19" t="str">
        <f aca="false">IF(H10=0,"-",IF(H17&gt;=H10,"yes","no - needs a note"))</f>
        <v>yes</v>
      </c>
      <c r="I19" s="19" t="str">
        <f aca="false">IF(I10=0,"-",IF(I17&gt;=I10,"yes","no - needs a note"))</f>
        <v>yes</v>
      </c>
      <c r="J19" s="19" t="str">
        <f aca="false">IF(J10=0,"-",IF(J17&gt;=J10,"yes","no - needs a note"))</f>
        <v>yes</v>
      </c>
      <c r="K19" s="19" t="str">
        <f aca="false">IF(K10=0,"-",IF(K17&gt;=K10,"yes","no - needs a note"))</f>
        <v>yes</v>
      </c>
      <c r="L19" s="19" t="str">
        <f aca="false">IF(L10=0,"-",IF(L17&gt;=L10,"yes","no - needs a note"))</f>
        <v>yes</v>
      </c>
      <c r="M19" s="19" t="str">
        <f aca="false">IF(M10=0,"-",IF(M17&gt;=M10,"yes","no - needs a note"))</f>
        <v>yes</v>
      </c>
      <c r="N19" s="19" t="str">
        <f aca="false">IF(N10=0,"-",IF(N17&gt;=N10,"yes","no - needs a note"))</f>
        <v>yes</v>
      </c>
      <c r="O19" s="19" t="str">
        <f aca="false">IF(O10=0,"-",IF(O17&gt;=O10,"yes","no - needs a note"))</f>
        <v>yes</v>
      </c>
      <c r="P19" s="19"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7" t="s">
        <v>88</v>
      </c>
      <c r="B21" s="18"/>
      <c r="C21" s="18"/>
      <c r="D21" s="18"/>
      <c r="E21" s="18"/>
      <c r="F21" s="18"/>
      <c r="G21" s="18"/>
      <c r="H21" s="18"/>
      <c r="I21" s="18"/>
      <c r="J21" s="18"/>
      <c r="K21" s="18"/>
      <c r="L21" s="18"/>
      <c r="M21" s="18"/>
      <c r="N21" s="18"/>
      <c r="O21" s="18"/>
      <c r="P21" s="18"/>
      <c r="Q21" s="2"/>
      <c r="R21" s="18"/>
    </row>
    <row r="22" customFormat="false" ht="27.75" hidden="false" customHeight="true" outlineLevel="0" collapsed="false">
      <c r="A22" s="22" t="s">
        <v>89</v>
      </c>
      <c r="B22" s="22"/>
      <c r="C22" s="22"/>
      <c r="D22" s="22"/>
      <c r="E22" s="22"/>
      <c r="F22" s="22"/>
      <c r="G22" s="22"/>
      <c r="H22" s="22"/>
      <c r="I22" s="22"/>
      <c r="J22" s="22"/>
      <c r="K22" s="22"/>
      <c r="L22" s="22"/>
      <c r="M22" s="22"/>
      <c r="N22" s="22"/>
      <c r="O22" s="22"/>
      <c r="P22" s="22"/>
      <c r="Q22" s="22"/>
      <c r="R22" s="22"/>
    </row>
    <row r="23" customFormat="false" ht="27.75" hidden="false" customHeight="true" outlineLevel="0" collapsed="false">
      <c r="A23" s="22" t="s">
        <v>90</v>
      </c>
      <c r="B23" s="22"/>
      <c r="C23" s="22"/>
      <c r="D23" s="22"/>
      <c r="E23" s="22"/>
      <c r="F23" s="22"/>
      <c r="G23" s="22"/>
      <c r="H23" s="22"/>
      <c r="I23" s="22"/>
      <c r="J23" s="22"/>
      <c r="K23" s="22"/>
      <c r="L23" s="22"/>
      <c r="M23" s="22"/>
      <c r="N23" s="22"/>
      <c r="O23" s="22"/>
      <c r="P23" s="22"/>
      <c r="Q23" s="22"/>
      <c r="R23" s="22"/>
    </row>
    <row r="24" customFormat="false" ht="27.75" hidden="false" customHeight="true" outlineLevel="0" collapsed="false">
      <c r="A24" s="22" t="s">
        <v>91</v>
      </c>
      <c r="B24" s="22"/>
      <c r="C24" s="22"/>
      <c r="D24" s="22"/>
      <c r="E24" s="22"/>
      <c r="F24" s="22"/>
      <c r="G24" s="22"/>
      <c r="H24" s="22"/>
      <c r="I24" s="22"/>
      <c r="J24" s="22"/>
      <c r="K24" s="22"/>
      <c r="L24" s="22"/>
      <c r="M24" s="22"/>
      <c r="N24" s="22"/>
      <c r="O24" s="22"/>
      <c r="P24" s="22"/>
      <c r="Q24" s="22"/>
      <c r="R24" s="22"/>
    </row>
    <row r="25" customFormat="false" ht="27.75" hidden="false" customHeight="true" outlineLevel="0" collapsed="false">
      <c r="A25" s="22" t="s">
        <v>92</v>
      </c>
      <c r="B25" s="22"/>
      <c r="C25" s="22"/>
      <c r="D25" s="22"/>
      <c r="E25" s="22"/>
      <c r="F25" s="22"/>
      <c r="G25" s="22"/>
      <c r="H25" s="22"/>
      <c r="I25" s="22"/>
      <c r="J25" s="22"/>
      <c r="K25" s="22"/>
      <c r="L25" s="22"/>
      <c r="M25" s="22"/>
      <c r="N25" s="22"/>
      <c r="O25" s="22"/>
      <c r="P25" s="22"/>
      <c r="Q25" s="22"/>
      <c r="R25" s="22"/>
    </row>
    <row r="26" customFormat="false" ht="27.75" hidden="false" customHeight="true" outlineLevel="0" collapsed="false">
      <c r="A26" s="22" t="s">
        <v>93</v>
      </c>
      <c r="B26" s="22"/>
      <c r="C26" s="22"/>
      <c r="D26" s="22"/>
      <c r="E26" s="22"/>
      <c r="F26" s="22"/>
      <c r="G26" s="22"/>
      <c r="H26" s="22"/>
      <c r="I26" s="22"/>
      <c r="J26" s="22"/>
      <c r="K26" s="22"/>
      <c r="L26" s="22"/>
      <c r="M26" s="22"/>
      <c r="N26" s="22"/>
      <c r="O26" s="22"/>
      <c r="P26" s="22"/>
      <c r="Q26" s="22"/>
      <c r="R26" s="22"/>
    </row>
    <row r="27" customFormat="false" ht="27.75" hidden="false" customHeight="true" outlineLevel="0" collapsed="false">
      <c r="A27" s="22" t="s">
        <v>94</v>
      </c>
      <c r="B27" s="22"/>
      <c r="C27" s="22"/>
      <c r="D27" s="22"/>
      <c r="E27" s="22"/>
      <c r="F27" s="22"/>
      <c r="G27" s="22"/>
      <c r="H27" s="22"/>
      <c r="I27" s="22"/>
      <c r="J27" s="22"/>
      <c r="K27" s="22"/>
      <c r="L27" s="22"/>
      <c r="M27" s="22"/>
      <c r="N27" s="22"/>
      <c r="O27" s="22"/>
      <c r="P27" s="22"/>
      <c r="Q27" s="22"/>
      <c r="R27" s="22"/>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95</v>
      </c>
      <c r="B1" s="2"/>
      <c r="C1" s="2"/>
    </row>
    <row r="2" customFormat="false" ht="15" hidden="false" customHeight="false" outlineLevel="0" collapsed="false">
      <c r="A2" s="3" t="s">
        <v>96</v>
      </c>
      <c r="B2" s="2"/>
      <c r="C2" s="2"/>
    </row>
    <row r="3" customFormat="false" ht="15" hidden="false" customHeight="false" outlineLevel="0" collapsed="false">
      <c r="A3" s="2"/>
      <c r="B3" s="2"/>
      <c r="C3" s="2"/>
    </row>
    <row r="4" customFormat="false" ht="15" hidden="false" customHeight="false" outlineLevel="0" collapsed="false">
      <c r="A4" s="17" t="s">
        <v>97</v>
      </c>
      <c r="B4" s="18"/>
      <c r="C4" s="18"/>
    </row>
    <row r="5" customFormat="false" ht="15" hidden="false" customHeight="false" outlineLevel="0" collapsed="false">
      <c r="A5" s="23" t="s">
        <v>98</v>
      </c>
      <c r="B5" s="23" t="s">
        <v>99</v>
      </c>
      <c r="C5" s="23" t="s">
        <v>100</v>
      </c>
    </row>
    <row r="6" customFormat="false" ht="39" hidden="false" customHeight="true" outlineLevel="0" collapsed="false">
      <c r="A6" s="24" t="s">
        <v>101</v>
      </c>
      <c r="B6" s="25" t="s">
        <v>102</v>
      </c>
      <c r="C6" s="25" t="s">
        <v>103</v>
      </c>
    </row>
    <row r="7" customFormat="false" ht="39" hidden="false" customHeight="true" outlineLevel="0" collapsed="false">
      <c r="A7" s="24" t="s">
        <v>104</v>
      </c>
      <c r="B7" s="25" t="s">
        <v>105</v>
      </c>
      <c r="C7" s="25" t="s">
        <v>106</v>
      </c>
    </row>
    <row r="8" customFormat="false" ht="39" hidden="false" customHeight="true" outlineLevel="0" collapsed="false">
      <c r="A8" s="24" t="s">
        <v>107</v>
      </c>
      <c r="B8" s="25" t="s">
        <v>108</v>
      </c>
      <c r="C8" s="25" t="s">
        <v>109</v>
      </c>
    </row>
    <row r="9" customFormat="false" ht="39" hidden="false" customHeight="true" outlineLevel="0" collapsed="false">
      <c r="A9" s="24" t="s">
        <v>110</v>
      </c>
      <c r="B9" s="25" t="s">
        <v>111</v>
      </c>
      <c r="C9" s="25" t="s">
        <v>112</v>
      </c>
    </row>
    <row r="10" customFormat="false" ht="25.5" hidden="false" customHeight="true" outlineLevel="0" collapsed="false">
      <c r="A10" s="24" t="s">
        <v>113</v>
      </c>
      <c r="B10" s="25" t="s">
        <v>114</v>
      </c>
      <c r="C10" s="25" t="s">
        <v>115</v>
      </c>
    </row>
    <row r="11" customFormat="false" ht="15" hidden="false" customHeight="false" outlineLevel="0" collapsed="false">
      <c r="A11" s="2"/>
      <c r="B11" s="2"/>
      <c r="C11" s="2"/>
    </row>
    <row r="12" customFormat="false" ht="15" hidden="false" customHeight="false" outlineLevel="0" collapsed="false">
      <c r="A12" s="26" t="s">
        <v>116</v>
      </c>
      <c r="B12" s="27"/>
      <c r="C12" s="27"/>
    </row>
    <row r="13" customFormat="false" ht="15" hidden="false" customHeight="false" outlineLevel="0" collapsed="false">
      <c r="A13" s="23" t="s">
        <v>98</v>
      </c>
      <c r="B13" s="23" t="s">
        <v>99</v>
      </c>
      <c r="C13" s="23" t="s">
        <v>100</v>
      </c>
    </row>
    <row r="14" customFormat="false" ht="51.75" hidden="false" customHeight="true" outlineLevel="0" collapsed="false">
      <c r="A14" s="24" t="s">
        <v>117</v>
      </c>
      <c r="B14" s="25" t="s">
        <v>118</v>
      </c>
      <c r="C14" s="25" t="s">
        <v>119</v>
      </c>
    </row>
    <row r="15" customFormat="false" ht="51.75" hidden="false" customHeight="true" outlineLevel="0" collapsed="false">
      <c r="A15" s="24" t="s">
        <v>120</v>
      </c>
      <c r="B15" s="25" t="s">
        <v>121</v>
      </c>
      <c r="C15" s="25" t="s">
        <v>122</v>
      </c>
    </row>
    <row r="16" customFormat="false" ht="51.75" hidden="false" customHeight="true" outlineLevel="0" collapsed="false">
      <c r="A16" s="24" t="s">
        <v>123</v>
      </c>
      <c r="B16" s="25" t="s">
        <v>124</v>
      </c>
      <c r="C16" s="25" t="s">
        <v>125</v>
      </c>
    </row>
    <row r="17" customFormat="false" ht="51.75" hidden="false" customHeight="true" outlineLevel="0" collapsed="false">
      <c r="A17" s="24" t="s">
        <v>126</v>
      </c>
      <c r="B17" s="25" t="s">
        <v>127</v>
      </c>
      <c r="C17" s="25" t="s">
        <v>128</v>
      </c>
    </row>
    <row r="18" customFormat="false" ht="25.5" hidden="false" customHeight="true" outlineLevel="0" collapsed="false">
      <c r="A18" s="24" t="s">
        <v>129</v>
      </c>
      <c r="B18" s="25" t="s">
        <v>130</v>
      </c>
      <c r="C18" s="25" t="s">
        <v>131</v>
      </c>
    </row>
    <row r="19" customFormat="false" ht="15" hidden="false" customHeight="false" outlineLevel="0" collapsed="false">
      <c r="A19" s="2"/>
      <c r="B19" s="2"/>
      <c r="C19" s="2"/>
    </row>
    <row r="20" customFormat="false" ht="15" hidden="false" customHeight="false" outlineLevel="0" collapsed="false">
      <c r="A20" s="28" t="s">
        <v>132</v>
      </c>
      <c r="B20" s="29"/>
      <c r="C20" s="29"/>
    </row>
    <row r="21" customFormat="false" ht="15" hidden="false" customHeight="false" outlineLevel="0" collapsed="false">
      <c r="A21" s="23" t="s">
        <v>133</v>
      </c>
      <c r="B21" s="23" t="s">
        <v>134</v>
      </c>
      <c r="C21" s="23" t="s">
        <v>135</v>
      </c>
    </row>
    <row r="22" customFormat="false" ht="39" hidden="false" customHeight="true" outlineLevel="0" collapsed="false">
      <c r="A22" s="24" t="s">
        <v>136</v>
      </c>
      <c r="B22" s="25" t="s">
        <v>137</v>
      </c>
      <c r="C22" s="25" t="s">
        <v>138</v>
      </c>
    </row>
    <row r="23" customFormat="false" ht="64.5" hidden="false" customHeight="true" outlineLevel="0" collapsed="false">
      <c r="A23" s="24" t="s">
        <v>139</v>
      </c>
      <c r="B23" s="25" t="s">
        <v>140</v>
      </c>
      <c r="C23" s="25" t="s">
        <v>141</v>
      </c>
    </row>
    <row r="24" customFormat="false" ht="39" hidden="false" customHeight="true" outlineLevel="0" collapsed="false">
      <c r="A24" s="24" t="s">
        <v>142</v>
      </c>
      <c r="B24" s="25" t="s">
        <v>143</v>
      </c>
      <c r="C24" s="25" t="s">
        <v>144</v>
      </c>
    </row>
    <row r="25" customFormat="false" ht="64.5" hidden="false" customHeight="true" outlineLevel="0" collapsed="false">
      <c r="A25" s="24" t="s">
        <v>145</v>
      </c>
      <c r="B25" s="25" t="s">
        <v>146</v>
      </c>
      <c r="C25" s="25" t="s">
        <v>147</v>
      </c>
    </row>
    <row r="26" customFormat="false" ht="51.75" hidden="false" customHeight="true" outlineLevel="0" collapsed="false">
      <c r="A26" s="24" t="s">
        <v>148</v>
      </c>
      <c r="B26" s="25" t="s">
        <v>149</v>
      </c>
      <c r="C26" s="25" t="s">
        <v>150</v>
      </c>
    </row>
    <row r="27" customFormat="false" ht="51.75" hidden="false" customHeight="true" outlineLevel="0" collapsed="false">
      <c r="A27" s="24" t="s">
        <v>151</v>
      </c>
      <c r="B27" s="25" t="s">
        <v>152</v>
      </c>
      <c r="C27" s="25" t="s">
        <v>153</v>
      </c>
    </row>
    <row r="28" customFormat="false" ht="15" hidden="false" customHeight="false" outlineLevel="0" collapsed="false">
      <c r="A28" s="2"/>
      <c r="B28" s="2"/>
      <c r="C28" s="2"/>
    </row>
    <row r="29" customFormat="false" ht="15" hidden="false" customHeight="false" outlineLevel="0" collapsed="false">
      <c r="A29" s="28" t="s">
        <v>154</v>
      </c>
      <c r="B29" s="29"/>
      <c r="C29" s="29"/>
    </row>
    <row r="30" customFormat="false" ht="12.75" hidden="false" customHeight="true" outlineLevel="0" collapsed="false">
      <c r="A30" s="2" t="s">
        <v>155</v>
      </c>
      <c r="B30" s="30" t="s">
        <v>156</v>
      </c>
      <c r="C30" s="30"/>
    </row>
    <row r="31" customFormat="false" ht="25.5" hidden="false" customHeight="true" outlineLevel="0" collapsed="false">
      <c r="A31" s="2" t="s">
        <v>155</v>
      </c>
      <c r="B31" s="30" t="s">
        <v>157</v>
      </c>
      <c r="C31" s="30"/>
    </row>
    <row r="32" customFormat="false" ht="12.75" hidden="false" customHeight="true" outlineLevel="0" collapsed="false">
      <c r="A32" s="2" t="s">
        <v>155</v>
      </c>
      <c r="B32" s="30" t="s">
        <v>158</v>
      </c>
      <c r="C32" s="30"/>
    </row>
    <row r="33" customFormat="false" ht="12.75" hidden="false" customHeight="true" outlineLevel="0" collapsed="false">
      <c r="A33" s="2" t="s">
        <v>155</v>
      </c>
      <c r="B33" s="30" t="s">
        <v>159</v>
      </c>
      <c r="C33" s="30"/>
    </row>
    <row r="34" customFormat="false" ht="12.75" hidden="false" customHeight="true" outlineLevel="0" collapsed="false">
      <c r="A34" s="2" t="s">
        <v>155</v>
      </c>
      <c r="B34" s="30" t="s">
        <v>160</v>
      </c>
      <c r="C34" s="30"/>
    </row>
    <row r="35" customFormat="false" ht="25.5" hidden="false" customHeight="true" outlineLevel="0" collapsed="false">
      <c r="A35" s="2" t="s">
        <v>155</v>
      </c>
      <c r="B35" s="30" t="s">
        <v>161</v>
      </c>
      <c r="C35" s="30"/>
    </row>
    <row r="36" customFormat="false" ht="15" hidden="false" customHeight="false" outlineLevel="0" collapsed="false">
      <c r="A36" s="2"/>
      <c r="B36" s="2"/>
      <c r="C36" s="2"/>
    </row>
    <row r="37" customFormat="false" ht="25.5" hidden="false" customHeight="true" outlineLevel="0" collapsed="false">
      <c r="A37" s="31" t="s">
        <v>162</v>
      </c>
      <c r="B37" s="31"/>
      <c r="C37" s="31"/>
    </row>
    <row r="38" customFormat="false" ht="15" hidden="false" customHeight="false" outlineLevel="0" collapsed="false">
      <c r="A38" s="2"/>
      <c r="B38" s="2"/>
      <c r="C38" s="2"/>
    </row>
    <row r="39" customFormat="false" ht="39" hidden="false" customHeight="true" outlineLevel="0" collapsed="false">
      <c r="A39" s="31" t="s">
        <v>163</v>
      </c>
      <c r="B39" s="31"/>
      <c r="C39" s="31"/>
    </row>
    <row r="40" customFormat="false" ht="15" hidden="false" customHeight="false" outlineLevel="0" collapsed="false">
      <c r="A40" s="2"/>
      <c r="B40" s="2"/>
      <c r="C40" s="2"/>
    </row>
    <row r="41" customFormat="false" ht="25.5" hidden="false" customHeight="true" outlineLevel="0" collapsed="false">
      <c r="A41" s="31" t="s">
        <v>164</v>
      </c>
      <c r="B41" s="31"/>
      <c r="C41" s="31"/>
    </row>
  </sheetData>
  <sheetProtection sheet="true" password="ef11" formatCells="false" formatColumns="false" formatRows="false"/>
  <mergeCells count="9">
    <mergeCell ref="B30:C30"/>
    <mergeCell ref="B31:C31"/>
    <mergeCell ref="B32:C32"/>
    <mergeCell ref="B33:C33"/>
    <mergeCell ref="B34:C34"/>
    <mergeCell ref="B35:C35"/>
    <mergeCell ref="A37:C37"/>
    <mergeCell ref="A39:C39"/>
    <mergeCell ref="A41:C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2026-09-17T05:08:17Z</dcterms:created>
  <dc:creator>openpyxl</dc:creator>
  <dc:description/>
  <dc:language>en-US</dc:language>
  <cp:lastModifiedBy/>
  <dcterms:modified xsi:type="dcterms:W3CDTF">2026-09-17T05:08:17Z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