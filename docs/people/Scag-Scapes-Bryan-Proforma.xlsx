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our numbers" sheetId="1" state="visible" r:id="rId3"/>
    <sheet name="Year by year" sheetId="2" state="visible" r:id="rId4"/>
    <sheet name="The company" sheetId="3" state="visible" r:id="rId5"/>
    <sheet name="Buyout options" sheetId="4" state="visible" r:id="rId6"/>
    <sheet name="Obliga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<sst xmlns="http://schemas.openxmlformats.org/spreadsheetml/2006/main" count="174" uniqueCount="160">
  <si>
    <t xml:space="preserve">Bryan Rogers - Chief Operating Officer</t>
  </si>
  <si>
    <t xml:space="preserve">Blue = change it. This file is yours alone - it contains nobody else's compensation, and nobody else's file contains yours.</t>
  </si>
  <si>
    <t xml:space="preserve">Base salary while revenue is under $1.5M ($/yr)</t>
  </si>
  <si>
    <t xml:space="preserve">BLS May 2025, Baton Rouge metro, General and Operations Managers: median $107,140, mean $136,200, 25th percentile $74,000. This sits just under the local median because that is what a two-crew company can carry.</t>
  </si>
  <si>
    <t xml:space="preserve">Base salary at $1.5M to $3M revenue ($/yr)</t>
  </si>
  <si>
    <t xml:space="preserve">Roughly the Baton Rouge metro mean for the occupation.</t>
  </si>
  <si>
    <t xml:space="preserve">Base salary at $3M to $6M revenue ($/yr)</t>
  </si>
  <si>
    <t xml:space="preserve">Between the local mean and the 75th percentile ($167,430). At this size it is a genuinely different job.</t>
  </si>
  <si>
    <t xml:space="preserve">Base salary above $6M revenue ($/yr)</t>
  </si>
  <si>
    <t xml:space="preserve">Approaching the CFMA survey band for a construction Operations Manager, though those respondents are much larger contractors.</t>
  </si>
  <si>
    <t xml:space="preserve">Target bonus (% of base)</t>
  </si>
  <si>
    <t xml:space="preserve">20-30% is the norm for a COO. Tied to gross profit per crew-day, job margin, callbacks and crews staffed - deliberately NOT to net profit, which the owner controls through discretionary spending.</t>
  </si>
  <si>
    <t xml:space="preserve">Share of the bonus actually earned (1.0 = full target)</t>
  </si>
  <si>
    <t xml:space="preserve">Drop it to 0.7 or 0.5 to see a year where the targets are missed.</t>
  </si>
  <si>
    <t xml:space="preserve">Equity granted (% of the company)</t>
  </si>
  <si>
    <t xml:space="preserve">Recruited COOs in venture-backed companies get 1-5%, but that band does not fit a cash-flow business with no exit in sight. An operating partner who sells a business to join sits at 10-25%. This is judgment, not survey data, and it is the most negotiable number here.</t>
  </si>
  <si>
    <t xml:space="preserve">Years to fully vest</t>
  </si>
  <si>
    <t xml:space="preserve">Four years with a one-year cliff. Nothing at all vests if you leave inside twelve months.</t>
  </si>
  <si>
    <t xml:space="preserve">The hurdle - what the company is worth the day you start ($)</t>
  </si>
  <si>
    <t xml:space="preserve">Written as a profits interest, so it pays on growth from your start date and nothing on what Charlie already built. That is what makes it untaxed at grant.</t>
  </si>
  <si>
    <t xml:space="preserve">What the bar pays you today ($/yr)</t>
  </si>
  <si>
    <t xml:space="preserve">BizBuySell 2025: median seller's discretionary earnings for a bar was $128,375 on $800,000 of revenue - pre-tax and before debt service. REPLACE THIS WITH YOUR REAL NUMBER. The whole comparison turns on it.</t>
  </si>
  <si>
    <t xml:space="preserve">Share of full-time you work today (%)</t>
  </si>
  <si>
    <t xml:space="preserve">About three days a week while the bar is still yours. Salary and bonus below are scaled by this until the year you go full-time.</t>
  </si>
  <si>
    <t xml:space="preserve">Year you go full-time (1-15)</t>
  </si>
  <si>
    <t xml:space="preserve">The year the bar is sold or handed off and you are at 100%. Change it if that timeline moves.</t>
  </si>
  <si>
    <t xml:space="preserve">What you earn, year by year</t>
  </si>
  <si>
    <t xml:space="preserve">Every figure is a formula off your own inputs and the locked company snapshot.</t>
  </si>
  <si>
    <t xml:space="preserve">Year</t>
  </si>
  <si>
    <t xml:space="preserve">Notes</t>
  </si>
  <si>
    <t xml:space="preserve">Company revenue</t>
  </si>
  <si>
    <t xml:space="preserve">Base salary (steps with the size of the company, ramped while you still run the bar)</t>
  </si>
  <si>
    <t xml:space="preserve">The raise happens when the business gets there - and you are the person most able to make it get there. Scaled down to your actual share of full-time until the year you go full-time, set above.</t>
  </si>
  <si>
    <t xml:space="preserve">Bonus earned</t>
  </si>
  <si>
    <t xml:space="preserve">TOTAL CASH TO YOU</t>
  </si>
  <si>
    <t xml:space="preserve">Less the operations manager you replace</t>
  </si>
  <si>
    <t xml:space="preserve">The plan always intended to hire an operations manager once it hit three crews. You replace that hire, so your real cost to the business is lower than your package.</t>
  </si>
  <si>
    <t xml:space="preserve">NET COST OF YOU TO THE BUSINESS</t>
  </si>
  <si>
    <t xml:space="preserve">EQUITY - EARNED OVER TIME, NOT GIVEN ON DAY ONE</t>
  </si>
  <si>
    <t xml:space="preserve">Vested share of the grant</t>
  </si>
  <si>
    <t xml:space="preserve">One-year cliff, then a quarter a year. Unvested equity is forfeited on departure; vested equity is bought at the formula price on the Buyout tab.</t>
  </si>
  <si>
    <t xml:space="preserve">Equity you have actually earned (%)</t>
  </si>
  <si>
    <t xml:space="preserve">What the whole company is worth</t>
  </si>
  <si>
    <t xml:space="preserve">Value created since you joined</t>
  </si>
  <si>
    <t xml:space="preserve">WHAT YOUR STAKE IS WORTH</t>
  </si>
  <si>
    <t xml:space="preserve">AGAINST WHAT YOU ALREADY HAVE - THE ACTUAL DECISION</t>
  </si>
  <si>
    <t xml:space="preserve">What the bar pays you</t>
  </si>
  <si>
    <t xml:space="preserve">Grown at inflation. Replace the input with your real number.</t>
  </si>
  <si>
    <t xml:space="preserve">Cash difference that year</t>
  </si>
  <si>
    <t xml:space="preserve">Negative early. That is the honest shape of this - you take a pay cut to buy equity in something bigger.</t>
  </si>
  <si>
    <t xml:space="preserve">Cumulative cash difference</t>
  </si>
  <si>
    <t xml:space="preserve">CASH DIFFERENCE PLUS EQUITY EARNED</t>
  </si>
  <si>
    <t xml:space="preserve">The year this turns positive is the year the move has paid for itself. The bar's sale proceeds sit on top - that money is yours either way.</t>
  </si>
  <si>
    <t xml:space="preserve">Are you ahead yet?</t>
  </si>
  <si>
    <t xml:space="preserve">Scag Scapes - the plan these numbers sit on top of</t>
  </si>
  <si>
    <t xml:space="preserve">A fixed snapshot from the master model, dated September 2026. These are NOT inputs - they are the agreed plan, and they are locked so nothing here can be changed by accident. Everything on your own tabs is live and yours to change.</t>
  </si>
  <si>
    <t xml:space="preserve">If the company's plan itself changes, this snapshot gets reissued. Ask for a fresh copy rather than editing this one.</t>
  </si>
  <si>
    <t xml:space="preserve">Total revenue</t>
  </si>
  <si>
    <t xml:space="preserve">Crews running</t>
  </si>
  <si>
    <t xml:space="preserve">People on the payroll</t>
  </si>
  <si>
    <t xml:space="preserve">Operating profit before Charlie's draw and before any partner is paid</t>
  </si>
  <si>
    <t xml:space="preserve">The pot that everyone - Charlie, and anyone else with a share - is paid out of.</t>
  </si>
  <si>
    <t xml:space="preserve">Cash in the company at year end</t>
  </si>
  <si>
    <t xml:space="preserve">Priced on owner's cash under $2M of revenue and on EBITDA above it, because the size of the company decides who is allowed to buy it. Full workings are in the master model.</t>
  </si>
  <si>
    <t xml:space="preserve">Buying Bryan out - what it costs in any year</t>
  </si>
  <si>
    <t xml:space="preserve">Blue = change it. Neither side should ever have to guess what a separation costs. This is the formula, agreed in advance, while everyone still likes each other. A buyout is almost never paid in one cheque - the monthly figures are what it actually looks like.</t>
  </si>
  <si>
    <t xml:space="preserve">Discount for an internal buyout (a minority stake, no control, no market)</t>
  </si>
  <si>
    <t xml:space="preserve">A stake nobody else can buy is worth less than a proportionate slice of the whole. 20% is a common working figure - it is a negotiating position, not a published fact.</t>
  </si>
  <si>
    <t xml:space="preserve">Interest rate on a buyout paid over time (APR)</t>
  </si>
  <si>
    <t xml:space="preserve">Roughly what the business itself can borrow at. Paying a departing partner is not cheaper than paying a bank.</t>
  </si>
  <si>
    <t xml:space="preserve">What the stake is worth that year</t>
  </si>
  <si>
    <t xml:space="preserve">Straight from your own proforma tab. Only the VESTED portion is ever bought - that is what the vesting column above is for.</t>
  </si>
  <si>
    <t xml:space="preserve">Buyout price after the internal discount</t>
  </si>
  <si>
    <t xml:space="preserve">Paid as a lump sum</t>
  </si>
  <si>
    <t xml:space="preserve">Or monthly over 3 years</t>
  </si>
  <si>
    <t xml:space="preserve">Or monthly over 5 years</t>
  </si>
  <si>
    <t xml:space="preserve">Five years is the usual shape. It is long enough that the payment comes out of the profit the departing partner helped build, rather than out of the company's working capital.</t>
  </si>
  <si>
    <t xml:space="preserve">Or monthly over 7 years</t>
  </si>
  <si>
    <t xml:space="preserve">CAN THE COMPANY ACTUALLY PAY IT?</t>
  </si>
  <si>
    <t xml:space="preserve">Operating profit that year</t>
  </si>
  <si>
    <t xml:space="preserve">The 5-year payment as a share of that year's profit</t>
  </si>
  <si>
    <t xml:space="preserve">Above roughly 25% and the buyout is eating the business rather than being funded by it. That is the number to argue about, not the headline price.</t>
  </si>
  <si>
    <t xml:space="preserve">Could it be paid in cash outright?</t>
  </si>
  <si>
    <t xml:space="preserve">THE RULES THAT MAKE THIS WORK</t>
  </si>
  <si>
    <t xml:space="preserve">1.  The price is a FORMULA, not a negotiation. It is agreed now, in writing, and applied whenever it is needed. Nobody gets to re-open the multiple in the middle of an argument.</t>
  </si>
  <si>
    <t xml:space="preserve">2.  The company has the first right to buy. If it declines, the other partners may. If they decline, the stake can be offered outside - with the company holding a right to match.</t>
  </si>
  <si>
    <t xml:space="preserve">3.  Payment terms are the company's choice from the options above, but the term may not exceed seven years and the rate may not be below the rate above.</t>
  </si>
  <si>
    <t xml:space="preserve">4.  A departure for cause is different: unvested value is forfeited, and vested value is bought at the lower of cost or formula. 'Cause' is defined narrowly on the Obligations tab - not 'we fell out'.</t>
  </si>
  <si>
    <t xml:space="preserve">5.  Death or disability is treated as a good-leaver departure at full formula value, paid to the estate on the same terms. Consider funding this with a small term life policy; it costs very little at these ages.</t>
  </si>
  <si>
    <t xml:space="preserve">6.  Any dispute over the number goes to the company's CPA, whose determination binds both sides. Two friends have no other way to break a tie, and courts are worse.</t>
  </si>
  <si>
    <t xml:space="preserve">What each side owes the other</t>
  </si>
  <si>
    <t xml:space="preserve">We are friends, which is exactly why this is written down. Friendship makes the hard conversation more expensive, not less - so the rules get agreed while everyone is comfortable, and there is deliberate slack built into every one of them.</t>
  </si>
  <si>
    <t xml:space="preserve">WHAT BRYAN OWES THE COMPANY</t>
  </si>
  <si>
    <t xml:space="preserve">The obligation</t>
  </si>
  <si>
    <t xml:space="preserve">What it actually means</t>
  </si>
  <si>
    <t xml:space="preserve">How we know it is being met</t>
  </si>
  <si>
    <t xml:space="preserve">Run the field</t>
  </si>
  <si>
    <t xml:space="preserve">Everything after a job is sold: scheduling, dispatch, crews, quality, equipment, purchasing. If it happens on a job site, it is yours.</t>
  </si>
  <si>
    <t xml:space="preserve">Weekly operating review. The measure is the baseline set in your first 90 days, improved - not an industry benchmark, because none exists for this work.</t>
  </si>
  <si>
    <t xml:space="preserve">Safety, and the competent-person programme</t>
  </si>
  <si>
    <t xml:space="preserve">OSHA 29 CFR 1926 Subpart P requires a designated competent person with authority to pull crews out of a trench. Build the programme, own the training records, own the daily inspections.</t>
  </si>
  <si>
    <t xml:space="preserve">Designations current, records kept, inspections logged. This one is a legal obligation, not a preference.</t>
  </si>
  <si>
    <t xml:space="preserve">Job costing</t>
  </si>
  <si>
    <t xml:space="preserve">Every finished job costed against its estimate - labour hours, machine hours, fuel, materials, dump fees - every week.</t>
  </si>
  <si>
    <t xml:space="preserve">A weekly job-cost report. Contractors do not fail because they cannot dig; they fail because they bid wrong and find out too late.</t>
  </si>
  <si>
    <t xml:space="preserve">Keep the crews</t>
  </si>
  <si>
    <t xml:space="preserve">Hire, train and retain foremen and laborers. Turnover is the most expensive line item that never appears on a P&amp;L.</t>
  </si>
  <si>
    <t xml:space="preserve">Turnover tracked against the baseline. Construction runs about 4.0% monthly separations against 3.6% for private industry overall.</t>
  </si>
  <si>
    <t xml:space="preserve">Full time and undivided</t>
  </si>
  <si>
    <t xml:space="preserve">This is the job, not one of the jobs. If the bar has not sold, it is being run by somebody else.</t>
  </si>
  <si>
    <t xml:space="preserve">Agreed in writing before the start date, including what happens if the bar takes longer to sell than expected.</t>
  </si>
  <si>
    <t xml:space="preserve">WHAT THE COMPANY OWES BRYAN</t>
  </si>
  <si>
    <t xml:space="preserve">Do not overrule you in front of a crew</t>
  </si>
  <si>
    <t xml:space="preserve">The single most common way this arrangement fails. If Charlie reverses a decision in front of the men, the crew learns who really decides, and every instruction afterwards routes around you. Disagreements happen away from the crew, every time.</t>
  </si>
  <si>
    <t xml:space="preserve">A standing rule, agreed out loud, with the right to call it out when it happens. This one belongs in writing more than anything else on this page.</t>
  </si>
  <si>
    <t xml:space="preserve">Written decision rights</t>
  </si>
  <si>
    <t xml:space="preserve">Your spending limit, your hiring authority, the discount floor below which pricing comes back to Charlie. Written once, at the start, so disagreements are procedural rather than personal.</t>
  </si>
  <si>
    <t xml:space="preserve">A one-page authority schedule, signed. Reviewed annually.</t>
  </si>
  <si>
    <t xml:space="preserve">Pay and equity on schedule</t>
  </si>
  <si>
    <t xml:space="preserve">Salary on the same day each month. The bonus calculated and paid within 90 days of year end. The equity granted when agreed, papered by an attorney, with the hurdle valued contemporaneously.</t>
  </si>
  <si>
    <t xml:space="preserve">Late or undocumented equity is a Step 2 event immediately. A promise of equity that is never papered is not equity.</t>
  </si>
  <si>
    <t xml:space="preserve">Let go of the work</t>
  </si>
  <si>
    <t xml:space="preserve">Charlie has done every one of these jobs himself for years and the instinct to take them back is muscle memory, not malice. Delegation has to be real, and it has to survive the first time you do something differently than he would.</t>
  </si>
  <si>
    <t xml:space="preserve">Reviewed every quarter: what has actually transferred, and what has quietly come back.</t>
  </si>
  <si>
    <t xml:space="preserve">Tell you the truth about money</t>
  </si>
  <si>
    <t xml:space="preserve">Full access to the numbers you are held accountable for. Nobody can be measured on a figure they are not allowed to see.</t>
  </si>
  <si>
    <t xml:space="preserve">Read access to job costing and the monthly P&amp;L from day one.</t>
  </si>
  <si>
    <t xml:space="preserve">IF SOMEBODY IS NOT HOLDING UP THEIR END</t>
  </si>
  <si>
    <t xml:space="preserve">Stage</t>
  </si>
  <si>
    <t xml:space="preserve">What happens</t>
  </si>
  <si>
    <t xml:space="preserve">The consequence</t>
  </si>
  <si>
    <t xml:space="preserve">Step 1 - Say it out loud</t>
  </si>
  <si>
    <t xml:space="preserve">A conversation, in private, naming the specific thing. Not a mood, not a hint, not a comment in front of the crew. Most problems die here and never get further.</t>
  </si>
  <si>
    <t xml:space="preserve">No paperwork. No consequence. This step is free and it is the one most often skipped.</t>
  </si>
  <si>
    <t xml:space="preserve">Step 2 - Put it in writing</t>
  </si>
  <si>
    <t xml:space="preserve">If it is still happening 30 days later: one page, dated, naming the obligation, what was missed, and what fixing it looks like. Both sides sign that they have read it. This is not a disciplinary letter - it is a shared record so that in six months nobody is arguing about what was said.</t>
  </si>
  <si>
    <t xml:space="preserve">A signed note in the file. Nothing else changes - no pay cut, no equity change.</t>
  </si>
  <si>
    <t xml:space="preserve">Step 3 - A real cure period</t>
  </si>
  <si>
    <t xml:space="preserve">90 days to fix it, with a specific, measurable definition of fixed agreed at the start of the 90 days rather than judged at the end of it.</t>
  </si>
  <si>
    <t xml:space="preserve">Reviewed at the end of the 90 days by both parties, in writing.</t>
  </si>
  <si>
    <t xml:space="preserve">Step 4 - Consequence</t>
  </si>
  <si>
    <t xml:space="preserve">If the same obligation is missed twice in twelve months after a Step 3 cure: vesting pauses until it is corrected. Vesting PAUSES - nothing already earned is taken away. If the miss is on the company's side instead, the partner's notice period shortens and vesting accelerates by the same amount.</t>
  </si>
  <si>
    <t xml:space="preserve">The vesting clock stops. It restarts when the cure is confirmed.</t>
  </si>
  <si>
    <t xml:space="preserve">Step 5 - Separation, on good terms</t>
  </si>
  <si>
    <t xml:space="preserve">Either side may end it on 90 days' written notice, for any reason or none. Everything vested is bought at the formula price on the Buyout tab. This is the normal exit and it is nobody's failure.</t>
  </si>
  <si>
    <t xml:space="preserve">Formula price, standard payment terms.</t>
  </si>
  <si>
    <t xml:space="preserve">Cause - the narrow exception</t>
  </si>
  <si>
    <t xml:space="preserve">Only for the items listed below. Cause requires written notice, a 15-day cure where a cure is possible, and the CPA's concurrence that it qualifies. Unvested value is forfeited and vested value is bought at the lower of cost or formula.</t>
  </si>
  <si>
    <t xml:space="preserve">Deliberately hard to invoke. 'We disagree' and 'it is not working' are Step 5, not cause.</t>
  </si>
  <si>
    <t xml:space="preserve">WHAT COUNTS AS CAUSE - AND NOTHING ELSE DOES</t>
  </si>
  <si>
    <t xml:space="preserve">•</t>
  </si>
  <si>
    <t xml:space="preserve">Dishonesty about money - taking it, hiding it, or misreporting it.</t>
  </si>
  <si>
    <t xml:space="preserve">A wilful safety violation, or falsifying a safety or inspection record. In trench work this is the one that can kill somebody.</t>
  </si>
  <si>
    <t xml:space="preserve">Working against the company: competing, or soliciting its customers or crews for somebody else.</t>
  </si>
  <si>
    <t xml:space="preserve">A criminal act that materially damages the business or its reputation.</t>
  </si>
  <si>
    <t xml:space="preserve">Complete and sustained abandonment of the role.</t>
  </si>
  <si>
    <t xml:space="preserve">Nothing else. A bad quarter, a wrong call, a clash with Charlie, or growth that did not arrive are NOT cause. They are Step 5, on good terms, at the formula price.</t>
  </si>
  <si>
    <t xml:space="preserve">The tiebreaker: any disagreement about whether an obligation has been met goes to the company's CPA. Their call binds both sides. It is not a court, it is not a lawyer, and it costs almost nothing - which is the point.</t>
  </si>
  <si>
    <t xml:space="preserve">The slack is deliberate. Two conversations and ninety days before anything at all happens to anyone's money. That is more rope than any employer would give, and it is there because these are friendships first. What the slack is NOT is permission for a problem to go unnamed for a year and then surface as a fight.</t>
  </si>
  <si>
    <t xml:space="preserve">None of this is legal drafting. It is the commercial agreement in plain words so that an attorney can paper it quickly and cheaply, and so that both signers actually understand what they signed.</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</si>
</sst>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9"/>
      <name val="Arial"/>
      <family val="0"/>
      <charset val="1"/>
    </font>
    <font>
      <sz val="10"/>
      <name val="Arial"/>
      <family val="0"/>
      <charset val="1"/>
    </font>
    <font>
      <sz val="10"/>
      <color rgb="FF0000FF"/>
      <name val="Arial"/>
      <family val="0"/>
      <charset val="1"/>
    </font>
    <font>
      <sz val="9"/>
      <color rgb="FF46524E"/>
      <name val="Arial"/>
      <family val="0"/>
      <charset val="1"/>
    </font>
    <font>
      <b val="true"/>
      <sz val="10"/>
      <name val="Arial"/>
      <family val="0"/>
      <charset val="1"/>
    </font>
    <font>
      <b val="true"/>
      <sz val="11"/>
      <color rgb="FF1F5A6E"/>
      <name val="Arial"/>
      <family val="0"/>
      <charset val="1"/>
    </font>
    <font>
      <sz val="9.5"/>
      <name val="Arial"/>
      <family val="0"/>
      <charset val="1"/>
    </font>
    <font>
      <i val="true"/>
      <sz val="1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EEF1EF"/>
        <bgColor rgb="FFDCEEE1"/>
      </patternFill>
    </fill>
    <fill>
      <patternFill patternType="solid">
        <fgColor rgb="FFD8E7EC"/>
        <bgColor rgb="FFDCEEE1"/>
      </patternFill>
    </fill>
    <fill>
      <patternFill patternType="solid">
        <fgColor rgb="FFDCEEE1"/>
        <bgColor rgb="FFD8E7EC"/>
      </patternFill>
    </fill>
    <fill>
      <patternFill patternType="solid">
        <fgColor rgb="FFF6E9CF"/>
        <bgColor rgb="FFEEF1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8" fillId="2" borderId="0" xfId="0" applyFont="true" applyBorder="false" applyAlignment="false" applyProtection="true">
      <alignment horizontal="general" vertical="bottom" textRotation="0" wrapText="false" indent="0" shrinkToFit="false"/>
      <protection locked="false" hidden="false"/>
    </xf>
    <xf numFmtId="167" fontId="8" fillId="2" borderId="0" xfId="0" applyFont="true" applyBorder="false" applyAlignment="false" applyProtection="true">
      <alignment horizontal="general" vertical="bottom" textRotation="0" wrapText="false" indent="0" shrinkToFit="false"/>
      <protection locked="fals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F1EF"/>
      <rgbColor rgb="FFFF0000"/>
      <rgbColor rgb="FF00FF00"/>
      <rgbColor rgb="FF0000FF"/>
      <rgbColor rgb="FFFFFF00"/>
      <rgbColor rgb="FFFF00FF"/>
      <rgbColor rgb="FF00FFFF"/>
      <rgbColor rgb="FF800000"/>
      <rgbColor rgb="FF008000"/>
      <rgbColor rgb="FF000080"/>
      <rgbColor rgb="FF808000"/>
      <rgbColor rgb="FF800080"/>
      <rgbColor rgb="FF1F5A6E"/>
      <rgbColor rgb="FFC0C0C0"/>
      <rgbColor rgb="FF808080"/>
      <rgbColor rgb="FF9999FF"/>
      <rgbColor rgb="FF993366"/>
      <rgbColor rgb="FFF6E9CF"/>
      <rgbColor rgb="FFD8E7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E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52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5"/>
    <col collapsed="false" customWidth="true" hidden="false" outlineLevel="0" max="3" min="3" style="0" width="86"/>
  </cols>
  <sheetData>
    <row r="1" customFormat="false" ht="17.35" hidden="false" customHeight="false" outlineLevel="0" collapsed="false">
      <c r="A1" s="1" t="s">
        <v>0</v>
      </c>
      <c r="B1" s="2"/>
      <c r="C1" s="2"/>
    </row>
    <row r="2" customFormat="false" ht="15" hidden="false" customHeight="false" outlineLevel="0" collapsed="false">
      <c r="A2" s="3" t="s">
        <v>1</v>
      </c>
      <c r="B2" s="2"/>
      <c r="C2" s="2"/>
    </row>
    <row r="3" customFormat="false" ht="15" hidden="false" customHeight="false" outlineLevel="0" collapsed="false">
      <c r="A3" s="2"/>
      <c r="B3" s="2"/>
      <c r="C3" s="2"/>
    </row>
    <row r="4" customFormat="false" ht="39" hidden="false" customHeight="true" outlineLevel="0" collapsed="false">
      <c r="A4" s="4" t="s">
        <v>2</v>
      </c>
      <c r="B4" s="5" t="n">
        <v>95000</v>
      </c>
      <c r="C4" s="6" t="s">
        <v>3</v>
      </c>
    </row>
    <row r="5" customFormat="false" ht="12.75" hidden="false" customHeight="true" outlineLevel="0" collapsed="false">
      <c r="A5" s="4" t="s">
        <v>4</v>
      </c>
      <c r="B5" s="5" t="n">
        <v>120000</v>
      </c>
      <c r="C5" s="6" t="s">
        <v>5</v>
      </c>
    </row>
    <row r="6" customFormat="false" ht="25.5" hidden="false" customHeight="true" outlineLevel="0" collapsed="false">
      <c r="A6" s="4" t="s">
        <v>6</v>
      </c>
      <c r="B6" s="5" t="n">
        <v>155000</v>
      </c>
      <c r="C6" s="6" t="s">
        <v>7</v>
      </c>
    </row>
    <row r="7" customFormat="false" ht="25.5" hidden="false" customHeight="true" outlineLevel="0" collapsed="false">
      <c r="A7" s="4" t="s">
        <v>8</v>
      </c>
      <c r="B7" s="5" t="n">
        <v>185000</v>
      </c>
      <c r="C7" s="6" t="s">
        <v>9</v>
      </c>
    </row>
    <row r="8" customFormat="false" ht="39" hidden="false" customHeight="true" outlineLevel="0" collapsed="false">
      <c r="A8" s="4" t="s">
        <v>10</v>
      </c>
      <c r="B8" s="7" t="n">
        <v>0.22</v>
      </c>
      <c r="C8" s="6" t="s">
        <v>11</v>
      </c>
    </row>
    <row r="9" customFormat="false" ht="12.75" hidden="false" customHeight="true" outlineLevel="0" collapsed="false">
      <c r="A9" s="4" t="s">
        <v>12</v>
      </c>
      <c r="B9" s="5" t="n">
        <v>1</v>
      </c>
      <c r="C9" s="6" t="s">
        <v>13</v>
      </c>
    </row>
    <row r="10" customFormat="false" ht="51.75" hidden="false" customHeight="true" outlineLevel="0" collapsed="false">
      <c r="A10" s="4" t="s">
        <v>14</v>
      </c>
      <c r="B10" s="7" t="n">
        <v>0.12</v>
      </c>
      <c r="C10" s="6" t="s">
        <v>15</v>
      </c>
    </row>
    <row r="11" customFormat="false" ht="25.5" hidden="false" customHeight="true" outlineLevel="0" collapsed="false">
      <c r="A11" s="4" t="s">
        <v>16</v>
      </c>
      <c r="B11" s="8" t="n">
        <v>4</v>
      </c>
      <c r="C11" s="6" t="s">
        <v>17</v>
      </c>
    </row>
    <row r="12" customFormat="false" ht="25.5" hidden="false" customHeight="true" outlineLevel="0" collapsed="false">
      <c r="A12" s="4" t="s">
        <v>18</v>
      </c>
      <c r="B12" s="5" t="n">
        <v>722514.4</v>
      </c>
      <c r="C12" s="6" t="s">
        <v>19</v>
      </c>
    </row>
    <row r="13" customFormat="false" ht="39" hidden="false" customHeight="true" outlineLevel="0" collapsed="false">
      <c r="A13" s="4" t="s">
        <v>20</v>
      </c>
      <c r="B13" s="5" t="n">
        <v>128375</v>
      </c>
      <c r="C13" s="6" t="s">
        <v>21</v>
      </c>
    </row>
    <row r="14" customFormat="false" ht="25.5" hidden="false" customHeight="true" outlineLevel="0" collapsed="false">
      <c r="A14" s="4" t="s">
        <v>22</v>
      </c>
      <c r="B14" s="7" t="n">
        <v>0.6</v>
      </c>
      <c r="C14" s="6" t="s">
        <v>23</v>
      </c>
    </row>
    <row r="15" customFormat="false" ht="25.5" hidden="false" customHeight="true" outlineLevel="0" collapsed="false">
      <c r="A15" s="4" t="s">
        <v>24</v>
      </c>
      <c r="B15" s="8" t="n">
        <v>2</v>
      </c>
      <c r="C15" s="6" t="s">
        <v>25</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6" min="2" style="0" width="12"/>
    <col collapsed="false" customWidth="true" hidden="false" outlineLevel="0" max="18" min="18" style="0" width="62"/>
  </cols>
  <sheetData>
    <row r="1" customFormat="false" ht="17.35" hidden="false" customHeight="false" outlineLevel="0" collapsed="false">
      <c r="A1" s="1" t="s">
        <v>26</v>
      </c>
      <c r="B1" s="2"/>
      <c r="C1" s="2"/>
      <c r="D1" s="2"/>
      <c r="E1" s="2"/>
      <c r="F1" s="2"/>
      <c r="G1" s="2"/>
      <c r="H1" s="2"/>
      <c r="I1" s="2"/>
      <c r="J1" s="2"/>
      <c r="K1" s="2"/>
      <c r="L1" s="2"/>
      <c r="M1" s="2"/>
      <c r="N1" s="2"/>
      <c r="O1" s="2"/>
      <c r="P1" s="2"/>
      <c r="Q1" s="2"/>
      <c r="R1" s="2"/>
    </row>
    <row r="2" customFormat="false" ht="15" hidden="false" customHeight="false" outlineLevel="0" collapsed="false">
      <c r="A2" s="3" t="s">
        <v>27</v>
      </c>
      <c r="B2" s="2"/>
      <c r="C2" s="2"/>
      <c r="D2" s="2"/>
      <c r="E2" s="2"/>
      <c r="F2" s="2"/>
      <c r="G2" s="2"/>
      <c r="H2" s="2"/>
      <c r="I2" s="2"/>
      <c r="J2" s="2"/>
      <c r="K2" s="2"/>
      <c r="L2" s="2"/>
      <c r="M2" s="2"/>
      <c r="N2" s="2"/>
      <c r="O2" s="2"/>
      <c r="P2" s="2"/>
      <c r="Q2" s="2"/>
      <c r="R2" s="2"/>
    </row>
    <row r="3" customFormat="false" ht="15" hidden="false" customHeight="false" outlineLevel="0" collapsed="false">
      <c r="A3" s="2"/>
      <c r="B3" s="2"/>
      <c r="C3" s="2"/>
      <c r="D3" s="2"/>
      <c r="E3" s="2"/>
      <c r="F3" s="2"/>
      <c r="G3" s="2"/>
      <c r="H3" s="2"/>
      <c r="I3" s="2"/>
      <c r="J3" s="2"/>
      <c r="K3" s="2"/>
      <c r="L3" s="2"/>
      <c r="M3" s="2"/>
      <c r="N3" s="2"/>
      <c r="O3" s="2"/>
      <c r="P3" s="2"/>
      <c r="Q3" s="2"/>
      <c r="R3" s="2"/>
    </row>
    <row r="4" customFormat="false" ht="15" hidden="false" customHeight="false" outlineLevel="0" collapsed="false">
      <c r="A4" s="2"/>
      <c r="B4" s="2"/>
      <c r="C4" s="2"/>
      <c r="D4" s="2"/>
      <c r="E4" s="2"/>
      <c r="F4" s="2"/>
      <c r="G4" s="2"/>
      <c r="H4" s="2"/>
      <c r="I4" s="2"/>
      <c r="J4" s="2"/>
      <c r="K4" s="2"/>
      <c r="L4" s="2"/>
      <c r="M4" s="2"/>
      <c r="N4" s="2"/>
      <c r="O4" s="2"/>
      <c r="P4" s="2"/>
      <c r="Q4" s="2"/>
      <c r="R4" s="2"/>
    </row>
    <row r="5" customFormat="false" ht="15" hidden="false" customHeight="false" outlineLevel="0" collapsed="false">
      <c r="A5" s="9" t="s">
        <v>28</v>
      </c>
      <c r="B5" s="10" t="n">
        <v>1</v>
      </c>
      <c r="C5" s="10" t="n">
        <v>2</v>
      </c>
      <c r="D5" s="10" t="n">
        <v>3</v>
      </c>
      <c r="E5" s="10" t="n">
        <v>4</v>
      </c>
      <c r="F5" s="10" t="n">
        <v>5</v>
      </c>
      <c r="G5" s="10" t="n">
        <v>6</v>
      </c>
      <c r="H5" s="10" t="n">
        <v>7</v>
      </c>
      <c r="I5" s="10" t="n">
        <v>8</v>
      </c>
      <c r="J5" s="10" t="n">
        <v>9</v>
      </c>
      <c r="K5" s="10" t="n">
        <v>10</v>
      </c>
      <c r="L5" s="10" t="n">
        <v>11</v>
      </c>
      <c r="M5" s="10" t="n">
        <v>12</v>
      </c>
      <c r="N5" s="10" t="n">
        <v>13</v>
      </c>
      <c r="O5" s="10" t="n">
        <v>14</v>
      </c>
      <c r="P5" s="10" t="n">
        <v>15</v>
      </c>
      <c r="Q5" s="2"/>
      <c r="R5" s="9" t="s">
        <v>29</v>
      </c>
    </row>
    <row r="6" customFormat="false" ht="15" hidden="false" customHeight="false" outlineLevel="0" collapsed="false">
      <c r="A6" s="9" t="s">
        <v>30</v>
      </c>
      <c r="B6" s="11" t="n">
        <v>1107883.476</v>
      </c>
      <c r="C6" s="11" t="n">
        <v>1130224.27392</v>
      </c>
      <c r="D6" s="11" t="n">
        <v>1470581.13731659</v>
      </c>
      <c r="E6" s="11" t="n">
        <v>2128361.5241759</v>
      </c>
      <c r="F6" s="11" t="n">
        <v>2531696.60117519</v>
      </c>
      <c r="G6" s="11" t="n">
        <v>2960567.60023987</v>
      </c>
      <c r="H6" s="11" t="n">
        <v>3415973.30476096</v>
      </c>
      <c r="I6" s="11" t="n">
        <v>3898958.3702101</v>
      </c>
      <c r="J6" s="11" t="n">
        <v>4410614.70976327</v>
      </c>
      <c r="K6" s="11" t="n">
        <v>4952082.94628947</v>
      </c>
      <c r="L6" s="11" t="n">
        <v>5524553.93215493</v>
      </c>
      <c r="M6" s="11" t="n">
        <v>6129270.33838766</v>
      </c>
      <c r="N6" s="11" t="n">
        <v>6767528.314843</v>
      </c>
      <c r="O6" s="11" t="n">
        <v>7045784.99129078</v>
      </c>
      <c r="P6" s="11" t="n">
        <v>7328447.27269707</v>
      </c>
      <c r="Q6" s="2"/>
      <c r="R6" s="2"/>
    </row>
    <row r="7" customFormat="false" ht="32.8" hidden="false" customHeight="false" outlineLevel="0" collapsed="false">
      <c r="A7" s="4" t="s">
        <v>31</v>
      </c>
      <c r="B7" s="12" t="n">
        <f aca="false">IF(B6&gt;=6000000,'Your numbers'!$B$7,IF(B6&gt;=3000000,'Your numbers'!$B$6,IF(B6&gt;=1500000,'Your numbers'!$B$5,'Your numbers'!$B$4)))*IF(1&gt;='Your numbers'!$B$15,1,'Your numbers'!$B$14)</f>
        <v>57000</v>
      </c>
      <c r="C7" s="12" t="n">
        <f aca="false">IF(C6&gt;=6000000,'Your numbers'!$B$7,IF(C6&gt;=3000000,'Your numbers'!$B$6,IF(C6&gt;=1500000,'Your numbers'!$B$5,'Your numbers'!$B$4)))*IF(2&gt;='Your numbers'!$B$15,1,'Your numbers'!$B$14)</f>
        <v>95000</v>
      </c>
      <c r="D7" s="12" t="n">
        <f aca="false">IF(D6&gt;=6000000,'Your numbers'!$B$7,IF(D6&gt;=3000000,'Your numbers'!$B$6,IF(D6&gt;=1500000,'Your numbers'!$B$5,'Your numbers'!$B$4)))*IF(3&gt;='Your numbers'!$B$15,1,'Your numbers'!$B$14)</f>
        <v>95000</v>
      </c>
      <c r="E7" s="12" t="n">
        <f aca="false">IF(E6&gt;=6000000,'Your numbers'!$B$7,IF(E6&gt;=3000000,'Your numbers'!$B$6,IF(E6&gt;=1500000,'Your numbers'!$B$5,'Your numbers'!$B$4)))*IF(4&gt;='Your numbers'!$B$15,1,'Your numbers'!$B$14)</f>
        <v>120000</v>
      </c>
      <c r="F7" s="12" t="n">
        <f aca="false">IF(F6&gt;=6000000,'Your numbers'!$B$7,IF(F6&gt;=3000000,'Your numbers'!$B$6,IF(F6&gt;=1500000,'Your numbers'!$B$5,'Your numbers'!$B$4)))*IF(5&gt;='Your numbers'!$B$15,1,'Your numbers'!$B$14)</f>
        <v>120000</v>
      </c>
      <c r="G7" s="12" t="n">
        <f aca="false">IF(G6&gt;=6000000,'Your numbers'!$B$7,IF(G6&gt;=3000000,'Your numbers'!$B$6,IF(G6&gt;=1500000,'Your numbers'!$B$5,'Your numbers'!$B$4)))*IF(6&gt;='Your numbers'!$B$15,1,'Your numbers'!$B$14)</f>
        <v>120000</v>
      </c>
      <c r="H7" s="12" t="n">
        <f aca="false">IF(H6&gt;=6000000,'Your numbers'!$B$7,IF(H6&gt;=3000000,'Your numbers'!$B$6,IF(H6&gt;=1500000,'Your numbers'!$B$5,'Your numbers'!$B$4)))*IF(7&gt;='Your numbers'!$B$15,1,'Your numbers'!$B$14)</f>
        <v>155000</v>
      </c>
      <c r="I7" s="12" t="n">
        <f aca="false">IF(I6&gt;=6000000,'Your numbers'!$B$7,IF(I6&gt;=3000000,'Your numbers'!$B$6,IF(I6&gt;=1500000,'Your numbers'!$B$5,'Your numbers'!$B$4)))*IF(8&gt;='Your numbers'!$B$15,1,'Your numbers'!$B$14)</f>
        <v>155000</v>
      </c>
      <c r="J7" s="12" t="n">
        <f aca="false">IF(J6&gt;=6000000,'Your numbers'!$B$7,IF(J6&gt;=3000000,'Your numbers'!$B$6,IF(J6&gt;=1500000,'Your numbers'!$B$5,'Your numbers'!$B$4)))*IF(9&gt;='Your numbers'!$B$15,1,'Your numbers'!$B$14)</f>
        <v>155000</v>
      </c>
      <c r="K7" s="12" t="n">
        <f aca="false">IF(K6&gt;=6000000,'Your numbers'!$B$7,IF(K6&gt;=3000000,'Your numbers'!$B$6,IF(K6&gt;=1500000,'Your numbers'!$B$5,'Your numbers'!$B$4)))*IF(10&gt;='Your numbers'!$B$15,1,'Your numbers'!$B$14)</f>
        <v>155000</v>
      </c>
      <c r="L7" s="12" t="n">
        <f aca="false">IF(L6&gt;=6000000,'Your numbers'!$B$7,IF(L6&gt;=3000000,'Your numbers'!$B$6,IF(L6&gt;=1500000,'Your numbers'!$B$5,'Your numbers'!$B$4)))*IF(11&gt;='Your numbers'!$B$15,1,'Your numbers'!$B$14)</f>
        <v>155000</v>
      </c>
      <c r="M7" s="12" t="n">
        <f aca="false">IF(M6&gt;=6000000,'Your numbers'!$B$7,IF(M6&gt;=3000000,'Your numbers'!$B$6,IF(M6&gt;=1500000,'Your numbers'!$B$5,'Your numbers'!$B$4)))*IF(12&gt;='Your numbers'!$B$15,1,'Your numbers'!$B$14)</f>
        <v>185000</v>
      </c>
      <c r="N7" s="12" t="n">
        <f aca="false">IF(N6&gt;=6000000,'Your numbers'!$B$7,IF(N6&gt;=3000000,'Your numbers'!$B$6,IF(N6&gt;=1500000,'Your numbers'!$B$5,'Your numbers'!$B$4)))*IF(13&gt;='Your numbers'!$B$15,1,'Your numbers'!$B$14)</f>
        <v>185000</v>
      </c>
      <c r="O7" s="12" t="n">
        <f aca="false">IF(O6&gt;=6000000,'Your numbers'!$B$7,IF(O6&gt;=3000000,'Your numbers'!$B$6,IF(O6&gt;=1500000,'Your numbers'!$B$5,'Your numbers'!$B$4)))*IF(14&gt;='Your numbers'!$B$15,1,'Your numbers'!$B$14)</f>
        <v>185000</v>
      </c>
      <c r="P7" s="12" t="n">
        <f aca="false">IF(P6&gt;=6000000,'Your numbers'!$B$7,IF(P6&gt;=3000000,'Your numbers'!$B$6,IF(P6&gt;=1500000,'Your numbers'!$B$5,'Your numbers'!$B$4)))*IF(15&gt;='Your numbers'!$B$15,1,'Your numbers'!$B$14)</f>
        <v>185000</v>
      </c>
      <c r="Q7" s="2"/>
      <c r="R7" s="6" t="s">
        <v>32</v>
      </c>
    </row>
    <row r="8" customFormat="false" ht="15" hidden="false" customHeight="false" outlineLevel="0" collapsed="false">
      <c r="A8" s="4" t="s">
        <v>33</v>
      </c>
      <c r="B8" s="12" t="n">
        <f aca="false">B7*'Your numbers'!$B$8*'Your numbers'!$B$9</f>
        <v>12540</v>
      </c>
      <c r="C8" s="12" t="n">
        <f aca="false">C7*'Your numbers'!$B$8*'Your numbers'!$B$9</f>
        <v>20900</v>
      </c>
      <c r="D8" s="12" t="n">
        <f aca="false">D7*'Your numbers'!$B$8*'Your numbers'!$B$9</f>
        <v>20900</v>
      </c>
      <c r="E8" s="12" t="n">
        <f aca="false">E7*'Your numbers'!$B$8*'Your numbers'!$B$9</f>
        <v>26400</v>
      </c>
      <c r="F8" s="12" t="n">
        <f aca="false">F7*'Your numbers'!$B$8*'Your numbers'!$B$9</f>
        <v>26400</v>
      </c>
      <c r="G8" s="12" t="n">
        <f aca="false">G7*'Your numbers'!$B$8*'Your numbers'!$B$9</f>
        <v>26400</v>
      </c>
      <c r="H8" s="12" t="n">
        <f aca="false">H7*'Your numbers'!$B$8*'Your numbers'!$B$9</f>
        <v>34100</v>
      </c>
      <c r="I8" s="12" t="n">
        <f aca="false">I7*'Your numbers'!$B$8*'Your numbers'!$B$9</f>
        <v>34100</v>
      </c>
      <c r="J8" s="12" t="n">
        <f aca="false">J7*'Your numbers'!$B$8*'Your numbers'!$B$9</f>
        <v>34100</v>
      </c>
      <c r="K8" s="12" t="n">
        <f aca="false">K7*'Your numbers'!$B$8*'Your numbers'!$B$9</f>
        <v>34100</v>
      </c>
      <c r="L8" s="12" t="n">
        <f aca="false">L7*'Your numbers'!$B$8*'Your numbers'!$B$9</f>
        <v>34100</v>
      </c>
      <c r="M8" s="12" t="n">
        <f aca="false">M7*'Your numbers'!$B$8*'Your numbers'!$B$9</f>
        <v>40700</v>
      </c>
      <c r="N8" s="12" t="n">
        <f aca="false">N7*'Your numbers'!$B$8*'Your numbers'!$B$9</f>
        <v>40700</v>
      </c>
      <c r="O8" s="12" t="n">
        <f aca="false">O7*'Your numbers'!$B$8*'Your numbers'!$B$9</f>
        <v>40700</v>
      </c>
      <c r="P8" s="12" t="n">
        <f aca="false">P7*'Your numbers'!$B$8*'Your numbers'!$B$9</f>
        <v>40700</v>
      </c>
      <c r="Q8" s="2"/>
      <c r="R8" s="2"/>
    </row>
    <row r="9" customFormat="false" ht="15" hidden="false" customHeight="false" outlineLevel="0" collapsed="false">
      <c r="A9" s="9" t="s">
        <v>34</v>
      </c>
      <c r="B9" s="11" t="n">
        <f aca="false">B7+B8</f>
        <v>69540</v>
      </c>
      <c r="C9" s="11" t="n">
        <f aca="false">C7+C8</f>
        <v>115900</v>
      </c>
      <c r="D9" s="11" t="n">
        <f aca="false">D7+D8</f>
        <v>115900</v>
      </c>
      <c r="E9" s="11" t="n">
        <f aca="false">E7+E8</f>
        <v>146400</v>
      </c>
      <c r="F9" s="11" t="n">
        <f aca="false">F7+F8</f>
        <v>146400</v>
      </c>
      <c r="G9" s="11" t="n">
        <f aca="false">G7+G8</f>
        <v>146400</v>
      </c>
      <c r="H9" s="11" t="n">
        <f aca="false">H7+H8</f>
        <v>189100</v>
      </c>
      <c r="I9" s="11" t="n">
        <f aca="false">I7+I8</f>
        <v>189100</v>
      </c>
      <c r="J9" s="11" t="n">
        <f aca="false">J7+J8</f>
        <v>189100</v>
      </c>
      <c r="K9" s="11" t="n">
        <f aca="false">K7+K8</f>
        <v>189100</v>
      </c>
      <c r="L9" s="11" t="n">
        <f aca="false">L7+L8</f>
        <v>189100</v>
      </c>
      <c r="M9" s="11" t="n">
        <f aca="false">M7+M8</f>
        <v>225700</v>
      </c>
      <c r="N9" s="11" t="n">
        <f aca="false">N7+N8</f>
        <v>225700</v>
      </c>
      <c r="O9" s="11" t="n">
        <f aca="false">O7+O8</f>
        <v>225700</v>
      </c>
      <c r="P9" s="11" t="n">
        <f aca="false">P7+P8</f>
        <v>225700</v>
      </c>
      <c r="Q9" s="2"/>
      <c r="R9" s="2"/>
    </row>
    <row r="10" customFormat="false" ht="22.35" hidden="false" customHeight="false" outlineLevel="0" collapsed="false">
      <c r="A10" s="4" t="s">
        <v>35</v>
      </c>
      <c r="B10" s="12" t="n">
        <v>0</v>
      </c>
      <c r="C10" s="12" t="n">
        <v>0</v>
      </c>
      <c r="D10" s="12" t="n">
        <v>0</v>
      </c>
      <c r="E10" s="12" t="n">
        <v>79827.687</v>
      </c>
      <c r="F10" s="12" t="n">
        <v>82621.656045</v>
      </c>
      <c r="G10" s="12" t="n">
        <v>85513.414006575</v>
      </c>
      <c r="H10" s="12" t="n">
        <v>88506.3834968051</v>
      </c>
      <c r="I10" s="12" t="n">
        <v>91604.1069191933</v>
      </c>
      <c r="J10" s="12" t="n">
        <v>94810.250661365</v>
      </c>
      <c r="K10" s="12" t="n">
        <v>98128.6094345128</v>
      </c>
      <c r="L10" s="12" t="n">
        <v>101563.110764721</v>
      </c>
      <c r="M10" s="12" t="n">
        <v>105117.819641486</v>
      </c>
      <c r="N10" s="12" t="n">
        <v>108796.943328938</v>
      </c>
      <c r="O10" s="12" t="n">
        <v>112604.836345451</v>
      </c>
      <c r="P10" s="12" t="n">
        <v>116546.005617542</v>
      </c>
      <c r="Q10" s="2"/>
      <c r="R10" s="6" t="s">
        <v>36</v>
      </c>
    </row>
    <row r="11" customFormat="false" ht="15" hidden="false" customHeight="false" outlineLevel="0" collapsed="false">
      <c r="A11" s="9" t="s">
        <v>37</v>
      </c>
      <c r="B11" s="11" t="n">
        <f aca="false">B9-B10</f>
        <v>69540</v>
      </c>
      <c r="C11" s="11" t="n">
        <f aca="false">C9-C10</f>
        <v>115900</v>
      </c>
      <c r="D11" s="11" t="n">
        <f aca="false">D9-D10</f>
        <v>115900</v>
      </c>
      <c r="E11" s="11" t="n">
        <f aca="false">E9-E10</f>
        <v>66572.313</v>
      </c>
      <c r="F11" s="11" t="n">
        <f aca="false">F9-F10</f>
        <v>63778.343955</v>
      </c>
      <c r="G11" s="11" t="n">
        <f aca="false">G9-G10</f>
        <v>60886.585993425</v>
      </c>
      <c r="H11" s="11" t="n">
        <f aca="false">H9-H10</f>
        <v>100593.616503195</v>
      </c>
      <c r="I11" s="11" t="n">
        <f aca="false">I9-I10</f>
        <v>97495.8930808067</v>
      </c>
      <c r="J11" s="11" t="n">
        <f aca="false">J9-J10</f>
        <v>94289.749338635</v>
      </c>
      <c r="K11" s="11" t="n">
        <f aca="false">K9-K10</f>
        <v>90971.3905654872</v>
      </c>
      <c r="L11" s="11" t="n">
        <f aca="false">L9-L10</f>
        <v>87536.889235279</v>
      </c>
      <c r="M11" s="11" t="n">
        <f aca="false">M9-M10</f>
        <v>120582.180358514</v>
      </c>
      <c r="N11" s="11" t="n">
        <f aca="false">N9-N10</f>
        <v>116903.056671062</v>
      </c>
      <c r="O11" s="11" t="n">
        <f aca="false">O9-O10</f>
        <v>113095.163654549</v>
      </c>
      <c r="P11" s="11" t="n">
        <f aca="false">P9-P10</f>
        <v>109153.994382458</v>
      </c>
      <c r="Q11" s="2"/>
      <c r="R11" s="2"/>
    </row>
    <row r="12" customFormat="false" ht="15" hidden="false" customHeight="false" outlineLevel="0" collapsed="false">
      <c r="A12" s="13" t="s">
        <v>38</v>
      </c>
      <c r="B12" s="14"/>
      <c r="C12" s="14"/>
      <c r="D12" s="14"/>
      <c r="E12" s="14"/>
      <c r="F12" s="14"/>
      <c r="G12" s="14"/>
      <c r="H12" s="14"/>
      <c r="I12" s="14"/>
      <c r="J12" s="14"/>
      <c r="K12" s="14"/>
      <c r="L12" s="14"/>
      <c r="M12" s="14"/>
      <c r="N12" s="14"/>
      <c r="O12" s="14"/>
      <c r="P12" s="14"/>
      <c r="Q12" s="2"/>
      <c r="R12" s="14"/>
    </row>
    <row r="13" customFormat="false" ht="22.35" hidden="false" customHeight="false" outlineLevel="0" collapsed="false">
      <c r="A13" s="4" t="s">
        <v>39</v>
      </c>
      <c r="B13" s="15" t="n">
        <f aca="false">MIN(1,MAX(0,1/'Your numbers'!$B$11))</f>
        <v>0.25</v>
      </c>
      <c r="C13" s="15" t="n">
        <f aca="false">MIN(1,MAX(0,2/'Your numbers'!$B$11))</f>
        <v>0.5</v>
      </c>
      <c r="D13" s="15" t="n">
        <f aca="false">MIN(1,MAX(0,3/'Your numbers'!$B$11))</f>
        <v>0.75</v>
      </c>
      <c r="E13" s="15" t="n">
        <f aca="false">MIN(1,MAX(0,4/'Your numbers'!$B$11))</f>
        <v>1</v>
      </c>
      <c r="F13" s="15" t="n">
        <f aca="false">MIN(1,MAX(0,5/'Your numbers'!$B$11))</f>
        <v>1</v>
      </c>
      <c r="G13" s="15" t="n">
        <f aca="false">MIN(1,MAX(0,6/'Your numbers'!$B$11))</f>
        <v>1</v>
      </c>
      <c r="H13" s="15" t="n">
        <f aca="false">MIN(1,MAX(0,7/'Your numbers'!$B$11))</f>
        <v>1</v>
      </c>
      <c r="I13" s="15" t="n">
        <f aca="false">MIN(1,MAX(0,8/'Your numbers'!$B$11))</f>
        <v>1</v>
      </c>
      <c r="J13" s="15" t="n">
        <f aca="false">MIN(1,MAX(0,9/'Your numbers'!$B$11))</f>
        <v>1</v>
      </c>
      <c r="K13" s="15" t="n">
        <f aca="false">MIN(1,MAX(0,10/'Your numbers'!$B$11))</f>
        <v>1</v>
      </c>
      <c r="L13" s="15" t="n">
        <f aca="false">MIN(1,MAX(0,11/'Your numbers'!$B$11))</f>
        <v>1</v>
      </c>
      <c r="M13" s="15" t="n">
        <f aca="false">MIN(1,MAX(0,12/'Your numbers'!$B$11))</f>
        <v>1</v>
      </c>
      <c r="N13" s="15" t="n">
        <f aca="false">MIN(1,MAX(0,13/'Your numbers'!$B$11))</f>
        <v>1</v>
      </c>
      <c r="O13" s="15" t="n">
        <f aca="false">MIN(1,MAX(0,14/'Your numbers'!$B$11))</f>
        <v>1</v>
      </c>
      <c r="P13" s="15" t="n">
        <f aca="false">MIN(1,MAX(0,15/'Your numbers'!$B$11))</f>
        <v>1</v>
      </c>
      <c r="Q13" s="2"/>
      <c r="R13" s="6" t="s">
        <v>40</v>
      </c>
    </row>
    <row r="14" customFormat="false" ht="15" hidden="false" customHeight="false" outlineLevel="0" collapsed="false">
      <c r="A14" s="9" t="s">
        <v>41</v>
      </c>
      <c r="B14" s="16" t="n">
        <f aca="false">B13*'Your numbers'!$B$10</f>
        <v>0.03</v>
      </c>
      <c r="C14" s="16" t="n">
        <f aca="false">C13*'Your numbers'!$B$10</f>
        <v>0.06</v>
      </c>
      <c r="D14" s="16" t="n">
        <f aca="false">D13*'Your numbers'!$B$10</f>
        <v>0.09</v>
      </c>
      <c r="E14" s="16" t="n">
        <f aca="false">E13*'Your numbers'!$B$10</f>
        <v>0.12</v>
      </c>
      <c r="F14" s="16" t="n">
        <f aca="false">F13*'Your numbers'!$B$10</f>
        <v>0.12</v>
      </c>
      <c r="G14" s="16" t="n">
        <f aca="false">G13*'Your numbers'!$B$10</f>
        <v>0.12</v>
      </c>
      <c r="H14" s="16" t="n">
        <f aca="false">H13*'Your numbers'!$B$10</f>
        <v>0.12</v>
      </c>
      <c r="I14" s="16" t="n">
        <f aca="false">I13*'Your numbers'!$B$10</f>
        <v>0.12</v>
      </c>
      <c r="J14" s="16" t="n">
        <f aca="false">J13*'Your numbers'!$B$10</f>
        <v>0.12</v>
      </c>
      <c r="K14" s="16" t="n">
        <f aca="false">K13*'Your numbers'!$B$10</f>
        <v>0.12</v>
      </c>
      <c r="L14" s="16" t="n">
        <f aca="false">L13*'Your numbers'!$B$10</f>
        <v>0.12</v>
      </c>
      <c r="M14" s="16" t="n">
        <f aca="false">M13*'Your numbers'!$B$10</f>
        <v>0.12</v>
      </c>
      <c r="N14" s="16" t="n">
        <f aca="false">N13*'Your numbers'!$B$10</f>
        <v>0.12</v>
      </c>
      <c r="O14" s="16" t="n">
        <f aca="false">O13*'Your numbers'!$B$10</f>
        <v>0.12</v>
      </c>
      <c r="P14" s="16" t="n">
        <f aca="false">P13*'Your numbers'!$B$10</f>
        <v>0.12</v>
      </c>
      <c r="Q14" s="2"/>
      <c r="R14" s="2"/>
    </row>
    <row r="15" customFormat="false" ht="15" hidden="false" customHeight="false" outlineLevel="0" collapsed="false">
      <c r="A15" s="4" t="s">
        <v>42</v>
      </c>
      <c r="B15" s="12" t="n">
        <v>737130.151233105</v>
      </c>
      <c r="C15" s="12" t="n">
        <v>793606.669249441</v>
      </c>
      <c r="D15" s="12" t="n">
        <v>973791.845154872</v>
      </c>
      <c r="E15" s="12" t="n">
        <v>1704841.10205784</v>
      </c>
      <c r="F15" s="12" t="n">
        <v>1781926.25021217</v>
      </c>
      <c r="G15" s="12" t="n">
        <v>2078739.72158601</v>
      </c>
      <c r="H15" s="12" t="n">
        <v>2788865.52166945</v>
      </c>
      <c r="I15" s="12" t="n">
        <v>3584726.63004211</v>
      </c>
      <c r="J15" s="12" t="n">
        <v>4191175.85367095</v>
      </c>
      <c r="K15" s="12" t="n">
        <v>5168218.95382355</v>
      </c>
      <c r="L15" s="12" t="n">
        <v>8245690.54355842</v>
      </c>
      <c r="M15" s="12" t="n">
        <v>9739722.17619467</v>
      </c>
      <c r="N15" s="12" t="n">
        <v>11353079.965143</v>
      </c>
      <c r="O15" s="12" t="n">
        <v>12401842.2665323</v>
      </c>
      <c r="P15" s="12" t="n">
        <v>13454921.9845546</v>
      </c>
      <c r="Q15" s="2"/>
      <c r="R15" s="2"/>
    </row>
    <row r="16" customFormat="false" ht="15" hidden="false" customHeight="false" outlineLevel="0" collapsed="false">
      <c r="A16" s="4" t="s">
        <v>43</v>
      </c>
      <c r="B16" s="12" t="n">
        <f aca="false">MAX(0,B15-'Your numbers'!$B$12)</f>
        <v>14615.751233105</v>
      </c>
      <c r="C16" s="12" t="n">
        <f aca="false">MAX(0,C15-'Your numbers'!$B$12)</f>
        <v>71092.269249441</v>
      </c>
      <c r="D16" s="12" t="n">
        <f aca="false">MAX(0,D15-'Your numbers'!$B$12)</f>
        <v>251277.445154872</v>
      </c>
      <c r="E16" s="12" t="n">
        <f aca="false">MAX(0,E15-'Your numbers'!$B$12)</f>
        <v>982326.70205784</v>
      </c>
      <c r="F16" s="12" t="n">
        <f aca="false">MAX(0,F15-'Your numbers'!$B$12)</f>
        <v>1059411.85021217</v>
      </c>
      <c r="G16" s="12" t="n">
        <f aca="false">MAX(0,G15-'Your numbers'!$B$12)</f>
        <v>1356225.32158601</v>
      </c>
      <c r="H16" s="12" t="n">
        <f aca="false">MAX(0,H15-'Your numbers'!$B$12)</f>
        <v>2066351.12166945</v>
      </c>
      <c r="I16" s="12" t="n">
        <f aca="false">MAX(0,I15-'Your numbers'!$B$12)</f>
        <v>2862212.23004211</v>
      </c>
      <c r="J16" s="12" t="n">
        <f aca="false">MAX(0,J15-'Your numbers'!$B$12)</f>
        <v>3468661.45367095</v>
      </c>
      <c r="K16" s="12" t="n">
        <f aca="false">MAX(0,K15-'Your numbers'!$B$12)</f>
        <v>4445704.55382355</v>
      </c>
      <c r="L16" s="12" t="n">
        <f aca="false">MAX(0,L15-'Your numbers'!$B$12)</f>
        <v>7523176.14355842</v>
      </c>
      <c r="M16" s="12" t="n">
        <f aca="false">MAX(0,M15-'Your numbers'!$B$12)</f>
        <v>9017207.77619467</v>
      </c>
      <c r="N16" s="12" t="n">
        <f aca="false">MAX(0,N15-'Your numbers'!$B$12)</f>
        <v>10630565.565143</v>
      </c>
      <c r="O16" s="12" t="n">
        <f aca="false">MAX(0,O15-'Your numbers'!$B$12)</f>
        <v>11679327.8665323</v>
      </c>
      <c r="P16" s="12" t="n">
        <f aca="false">MAX(0,P15-'Your numbers'!$B$12)</f>
        <v>12732407.5845546</v>
      </c>
      <c r="Q16" s="2"/>
      <c r="R16" s="2"/>
    </row>
    <row r="17" customFormat="false" ht="15" hidden="false" customHeight="false" outlineLevel="0" collapsed="false">
      <c r="A17" s="9" t="s">
        <v>44</v>
      </c>
      <c r="B17" s="11" t="n">
        <f aca="false">B14*B16</f>
        <v>438.472536993149</v>
      </c>
      <c r="C17" s="11" t="n">
        <f aca="false">C14*C16</f>
        <v>4265.53615496646</v>
      </c>
      <c r="D17" s="11" t="n">
        <f aca="false">D14*D16</f>
        <v>22614.9700639385</v>
      </c>
      <c r="E17" s="11" t="n">
        <f aca="false">E14*E16</f>
        <v>117879.204246941</v>
      </c>
      <c r="F17" s="11" t="n">
        <f aca="false">F14*F16</f>
        <v>127129.42202546</v>
      </c>
      <c r="G17" s="11" t="n">
        <f aca="false">G14*G16</f>
        <v>162747.038590321</v>
      </c>
      <c r="H17" s="11" t="n">
        <f aca="false">H14*H16</f>
        <v>247962.134600334</v>
      </c>
      <c r="I17" s="11" t="n">
        <f aca="false">I14*I16</f>
        <v>343465.467605053</v>
      </c>
      <c r="J17" s="11" t="n">
        <f aca="false">J14*J16</f>
        <v>416239.374440514</v>
      </c>
      <c r="K17" s="11" t="n">
        <f aca="false">K14*K16</f>
        <v>533484.546458826</v>
      </c>
      <c r="L17" s="11" t="n">
        <f aca="false">L14*L16</f>
        <v>902781.13722701</v>
      </c>
      <c r="M17" s="11" t="n">
        <f aca="false">M14*M16</f>
        <v>1082064.93314336</v>
      </c>
      <c r="N17" s="11" t="n">
        <f aca="false">N14*N16</f>
        <v>1275667.86781716</v>
      </c>
      <c r="O17" s="11" t="n">
        <f aca="false">O14*O16</f>
        <v>1401519.34398388</v>
      </c>
      <c r="P17" s="11" t="n">
        <f aca="false">P14*P16</f>
        <v>1527888.91014655</v>
      </c>
      <c r="Q17" s="2"/>
      <c r="R17" s="2"/>
    </row>
    <row r="18" customFormat="false" ht="15" hidden="false" customHeight="false" outlineLevel="0" collapsed="false">
      <c r="A18" s="17" t="s">
        <v>45</v>
      </c>
      <c r="B18" s="18"/>
      <c r="C18" s="18"/>
      <c r="D18" s="18"/>
      <c r="E18" s="18"/>
      <c r="F18" s="18"/>
      <c r="G18" s="18"/>
      <c r="H18" s="18"/>
      <c r="I18" s="18"/>
      <c r="J18" s="18"/>
      <c r="K18" s="18"/>
      <c r="L18" s="18"/>
      <c r="M18" s="18"/>
      <c r="N18" s="18"/>
      <c r="O18" s="18"/>
      <c r="P18" s="18"/>
      <c r="Q18" s="2"/>
      <c r="R18" s="18"/>
    </row>
    <row r="19" customFormat="false" ht="15" hidden="false" customHeight="false" outlineLevel="0" collapsed="false">
      <c r="A19" s="4" t="s">
        <v>46</v>
      </c>
      <c r="B19" s="12" t="n">
        <f aca="false">'Your numbers'!$B$13*(1.0275)^0</f>
        <v>128375</v>
      </c>
      <c r="C19" s="12" t="n">
        <f aca="false">'Your numbers'!$B$13*(1.0275)^1</f>
        <v>131905.3125</v>
      </c>
      <c r="D19" s="12" t="n">
        <f aca="false">'Your numbers'!$B$13*(1.0275)^2</f>
        <v>135532.70859375</v>
      </c>
      <c r="E19" s="12" t="n">
        <f aca="false">'Your numbers'!$B$13*(1.0275)^3</f>
        <v>139259.858080078</v>
      </c>
      <c r="F19" s="12" t="n">
        <f aca="false">'Your numbers'!$B$13*(1.0275)^4</f>
        <v>143089.50417728</v>
      </c>
      <c r="G19" s="12" t="n">
        <f aca="false">'Your numbers'!$B$13*(1.0275)^5</f>
        <v>147024.465542156</v>
      </c>
      <c r="H19" s="12" t="n">
        <f aca="false">'Your numbers'!$B$13*(1.0275)^6</f>
        <v>151067.638344565</v>
      </c>
      <c r="I19" s="12" t="n">
        <f aca="false">'Your numbers'!$B$13*(1.0275)^7</f>
        <v>155221.99839904</v>
      </c>
      <c r="J19" s="12" t="n">
        <f aca="false">'Your numbers'!$B$13*(1.0275)^8</f>
        <v>159490.603355014</v>
      </c>
      <c r="K19" s="12" t="n">
        <f aca="false">'Your numbers'!$B$13*(1.0275)^9</f>
        <v>163876.594947277</v>
      </c>
      <c r="L19" s="12" t="n">
        <f aca="false">'Your numbers'!$B$13*(1.0275)^10</f>
        <v>168383.201308327</v>
      </c>
      <c r="M19" s="12" t="n">
        <f aca="false">'Your numbers'!$B$13*(1.0275)^11</f>
        <v>173013.739344306</v>
      </c>
      <c r="N19" s="12" t="n">
        <f aca="false">'Your numbers'!$B$13*(1.0275)^12</f>
        <v>177771.617176274</v>
      </c>
      <c r="O19" s="12" t="n">
        <f aca="false">'Your numbers'!$B$13*(1.0275)^13</f>
        <v>182660.336648622</v>
      </c>
      <c r="P19" s="12" t="n">
        <f aca="false">'Your numbers'!$B$13*(1.0275)^14</f>
        <v>187683.495906459</v>
      </c>
      <c r="Q19" s="2"/>
      <c r="R19" s="6" t="s">
        <v>47</v>
      </c>
    </row>
    <row r="20" customFormat="false" ht="22.35" hidden="false" customHeight="false" outlineLevel="0" collapsed="false">
      <c r="A20" s="9" t="s">
        <v>48</v>
      </c>
      <c r="B20" s="11" t="n">
        <f aca="false">B9-B19</f>
        <v>-58835</v>
      </c>
      <c r="C20" s="11" t="n">
        <f aca="false">C9-C19</f>
        <v>-16005.3125</v>
      </c>
      <c r="D20" s="11" t="n">
        <f aca="false">D9-D19</f>
        <v>-19632.70859375</v>
      </c>
      <c r="E20" s="11" t="n">
        <f aca="false">E9-E19</f>
        <v>7140.14191992185</v>
      </c>
      <c r="F20" s="11" t="n">
        <f aca="false">F9-F19</f>
        <v>3310.49582271971</v>
      </c>
      <c r="G20" s="11" t="n">
        <f aca="false">G9-G19</f>
        <v>-624.465542155551</v>
      </c>
      <c r="H20" s="11" t="n">
        <f aca="false">H9-H19</f>
        <v>38032.3616554352</v>
      </c>
      <c r="I20" s="11" t="n">
        <f aca="false">I9-I19</f>
        <v>33878.0016009596</v>
      </c>
      <c r="J20" s="11" t="n">
        <f aca="false">J9-J19</f>
        <v>29609.396644986</v>
      </c>
      <c r="K20" s="11" t="n">
        <f aca="false">K9-K19</f>
        <v>25223.4050527231</v>
      </c>
      <c r="L20" s="11" t="n">
        <f aca="false">L9-L19</f>
        <v>20716.798691673</v>
      </c>
      <c r="M20" s="11" t="n">
        <f aca="false">M9-M19</f>
        <v>52686.260655694</v>
      </c>
      <c r="N20" s="11" t="n">
        <f aca="false">N9-N19</f>
        <v>47928.3828237256</v>
      </c>
      <c r="O20" s="11" t="n">
        <f aca="false">O9-O19</f>
        <v>43039.663351378</v>
      </c>
      <c r="P20" s="11" t="n">
        <f aca="false">P9-P19</f>
        <v>38016.5040935409</v>
      </c>
      <c r="Q20" s="2"/>
      <c r="R20" s="6" t="s">
        <v>49</v>
      </c>
    </row>
    <row r="21" customFormat="false" ht="15" hidden="false" customHeight="false" outlineLevel="0" collapsed="false">
      <c r="A21" s="9" t="s">
        <v>50</v>
      </c>
      <c r="B21" s="11" t="n">
        <f aca="false">B20</f>
        <v>-58835</v>
      </c>
      <c r="C21" s="11" t="n">
        <f aca="false">B21+C20</f>
        <v>-74840.3125</v>
      </c>
      <c r="D21" s="11" t="n">
        <f aca="false">C21+D20</f>
        <v>-94473.02109375</v>
      </c>
      <c r="E21" s="11" t="n">
        <f aca="false">D21+E20</f>
        <v>-87332.8791738282</v>
      </c>
      <c r="F21" s="11" t="n">
        <f aca="false">E21+F20</f>
        <v>-84022.3833511085</v>
      </c>
      <c r="G21" s="11" t="n">
        <f aca="false">F21+G20</f>
        <v>-84646.848893264</v>
      </c>
      <c r="H21" s="11" t="n">
        <f aca="false">G21+H20</f>
        <v>-46614.4872378288</v>
      </c>
      <c r="I21" s="11" t="n">
        <f aca="false">H21+I20</f>
        <v>-12736.4856368692</v>
      </c>
      <c r="J21" s="11" t="n">
        <f aca="false">I21+J20</f>
        <v>16872.9110081168</v>
      </c>
      <c r="K21" s="11" t="n">
        <f aca="false">J21+K20</f>
        <v>42096.3160608399</v>
      </c>
      <c r="L21" s="11" t="n">
        <f aca="false">K21+L20</f>
        <v>62813.1147525129</v>
      </c>
      <c r="M21" s="11" t="n">
        <f aca="false">L21+M20</f>
        <v>115499.375408207</v>
      </c>
      <c r="N21" s="11" t="n">
        <f aca="false">M21+N20</f>
        <v>163427.758231932</v>
      </c>
      <c r="O21" s="11" t="n">
        <f aca="false">N21+O20</f>
        <v>206467.42158331</v>
      </c>
      <c r="P21" s="11" t="n">
        <f aca="false">O21+P20</f>
        <v>244483.925676851</v>
      </c>
      <c r="Q21" s="2"/>
      <c r="R21" s="2"/>
    </row>
    <row r="22" customFormat="false" ht="22.35" hidden="false" customHeight="false" outlineLevel="0" collapsed="false">
      <c r="A22" s="9" t="s">
        <v>51</v>
      </c>
      <c r="B22" s="11" t="n">
        <f aca="false">B21+B17</f>
        <v>-58396.5274630069</v>
      </c>
      <c r="C22" s="11" t="n">
        <f aca="false">C21+C17</f>
        <v>-70574.7763450336</v>
      </c>
      <c r="D22" s="11" t="n">
        <f aca="false">D21+D17</f>
        <v>-71858.0510298115</v>
      </c>
      <c r="E22" s="11" t="n">
        <f aca="false">E21+E17</f>
        <v>30546.3250731126</v>
      </c>
      <c r="F22" s="11" t="n">
        <f aca="false">F21+F17</f>
        <v>43107.0386743519</v>
      </c>
      <c r="G22" s="11" t="n">
        <f aca="false">G21+G17</f>
        <v>78100.1896970572</v>
      </c>
      <c r="H22" s="11" t="n">
        <f aca="false">H21+H17</f>
        <v>201347.647362505</v>
      </c>
      <c r="I22" s="11" t="n">
        <f aca="false">I21+I17</f>
        <v>330728.981968184</v>
      </c>
      <c r="J22" s="11" t="n">
        <f aca="false">J21+J17</f>
        <v>433112.285448631</v>
      </c>
      <c r="K22" s="11" t="n">
        <f aca="false">K21+K17</f>
        <v>575580.862519666</v>
      </c>
      <c r="L22" s="11" t="n">
        <f aca="false">L21+L17</f>
        <v>965594.251979523</v>
      </c>
      <c r="M22" s="11" t="n">
        <f aca="false">M21+M17</f>
        <v>1197564.30855157</v>
      </c>
      <c r="N22" s="11" t="n">
        <f aca="false">N21+N17</f>
        <v>1439095.62604909</v>
      </c>
      <c r="O22" s="11" t="n">
        <f aca="false">O21+O17</f>
        <v>1607986.76556719</v>
      </c>
      <c r="P22" s="11" t="n">
        <f aca="false">P21+P17</f>
        <v>1772372.8358234</v>
      </c>
      <c r="Q22" s="2"/>
      <c r="R22" s="6" t="s">
        <v>52</v>
      </c>
    </row>
    <row r="23" customFormat="false" ht="15" hidden="false" customHeight="false" outlineLevel="0" collapsed="false">
      <c r="A23" s="4" t="s">
        <v>53</v>
      </c>
      <c r="B23" s="19" t="str">
        <f aca="false">IF(B22&gt;0,"AHEAD","behind")</f>
        <v>behind</v>
      </c>
      <c r="C23" s="19" t="str">
        <f aca="false">IF(C22&gt;0,"AHEAD","behind")</f>
        <v>behind</v>
      </c>
      <c r="D23" s="19" t="str">
        <f aca="false">IF(D22&gt;0,"AHEAD","behind")</f>
        <v>behind</v>
      </c>
      <c r="E23" s="19" t="str">
        <f aca="false">IF(E22&gt;0,"AHEAD","behind")</f>
        <v>AHEAD</v>
      </c>
      <c r="F23" s="19" t="str">
        <f aca="false">IF(F22&gt;0,"AHEAD","behind")</f>
        <v>AHEAD</v>
      </c>
      <c r="G23" s="19" t="str">
        <f aca="false">IF(G22&gt;0,"AHEAD","behind")</f>
        <v>AHEAD</v>
      </c>
      <c r="H23" s="19" t="str">
        <f aca="false">IF(H22&gt;0,"AHEAD","behind")</f>
        <v>AHEAD</v>
      </c>
      <c r="I23" s="19" t="str">
        <f aca="false">IF(I22&gt;0,"AHEAD","behind")</f>
        <v>AHEAD</v>
      </c>
      <c r="J23" s="19" t="str">
        <f aca="false">IF(J22&gt;0,"AHEAD","behind")</f>
        <v>AHEAD</v>
      </c>
      <c r="K23" s="19" t="str">
        <f aca="false">IF(K22&gt;0,"AHEAD","behind")</f>
        <v>AHEAD</v>
      </c>
      <c r="L23" s="19" t="str">
        <f aca="false">IF(L22&gt;0,"AHEAD","behind")</f>
        <v>AHEAD</v>
      </c>
      <c r="M23" s="19" t="str">
        <f aca="false">IF(M22&gt;0,"AHEAD","behind")</f>
        <v>AHEAD</v>
      </c>
      <c r="N23" s="19" t="str">
        <f aca="false">IF(N22&gt;0,"AHEAD","behind")</f>
        <v>AHEAD</v>
      </c>
      <c r="O23" s="19" t="str">
        <f aca="false">IF(O22&gt;0,"AHEAD","behind")</f>
        <v>AHEAD</v>
      </c>
      <c r="P23" s="19" t="str">
        <f aca="false">IF(P22&gt;0,"AHEAD","behind")</f>
        <v>AHEAD</v>
      </c>
      <c r="Q23" s="2"/>
      <c r="R23" s="2"/>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6" min="2" style="0" width="12"/>
    <col collapsed="false" customWidth="true" hidden="false" outlineLevel="0" max="18" min="18" style="0" width="62"/>
  </cols>
  <sheetData>
    <row r="1" customFormat="false" ht="17.35" hidden="false" customHeight="false" outlineLevel="0" collapsed="false">
      <c r="A1" s="1" t="s">
        <v>54</v>
      </c>
      <c r="B1" s="2"/>
      <c r="C1" s="2"/>
      <c r="D1" s="2"/>
      <c r="E1" s="2"/>
      <c r="F1" s="2"/>
      <c r="G1" s="2"/>
      <c r="H1" s="2"/>
      <c r="I1" s="2"/>
      <c r="J1" s="2"/>
      <c r="K1" s="2"/>
      <c r="L1" s="2"/>
      <c r="M1" s="2"/>
      <c r="N1" s="2"/>
      <c r="O1" s="2"/>
      <c r="P1" s="2"/>
      <c r="Q1" s="2"/>
      <c r="R1" s="2"/>
    </row>
    <row r="2" customFormat="false" ht="15" hidden="false" customHeight="false" outlineLevel="0" collapsed="false">
      <c r="A2" s="3" t="s">
        <v>55</v>
      </c>
      <c r="B2" s="2"/>
      <c r="C2" s="2"/>
      <c r="D2" s="2"/>
      <c r="E2" s="2"/>
      <c r="F2" s="2"/>
      <c r="G2" s="2"/>
      <c r="H2" s="2"/>
      <c r="I2" s="2"/>
      <c r="J2" s="2"/>
      <c r="K2" s="2"/>
      <c r="L2" s="2"/>
      <c r="M2" s="2"/>
      <c r="N2" s="2"/>
      <c r="O2" s="2"/>
      <c r="P2" s="2"/>
      <c r="Q2" s="2"/>
      <c r="R2" s="2"/>
    </row>
    <row r="3" customFormat="false" ht="15" hidden="false" customHeight="false" outlineLevel="0" collapsed="false">
      <c r="A3" s="2"/>
      <c r="B3" s="2"/>
      <c r="C3" s="2"/>
      <c r="D3" s="2"/>
      <c r="E3" s="2"/>
      <c r="F3" s="2"/>
      <c r="G3" s="2"/>
      <c r="H3" s="2"/>
      <c r="I3" s="2"/>
      <c r="J3" s="2"/>
      <c r="K3" s="2"/>
      <c r="L3" s="2"/>
      <c r="M3" s="2"/>
      <c r="N3" s="2"/>
      <c r="O3" s="2"/>
      <c r="P3" s="2"/>
      <c r="Q3" s="2"/>
      <c r="R3" s="2"/>
    </row>
    <row r="4" customFormat="false" ht="15" hidden="false" customHeight="false" outlineLevel="0" collapsed="false">
      <c r="A4" s="20" t="s">
        <v>56</v>
      </c>
      <c r="B4" s="2"/>
      <c r="C4" s="2"/>
      <c r="D4" s="2"/>
      <c r="E4" s="2"/>
      <c r="F4" s="2"/>
      <c r="G4" s="2"/>
      <c r="H4" s="2"/>
      <c r="I4" s="2"/>
      <c r="J4" s="2"/>
      <c r="K4" s="2"/>
      <c r="L4" s="2"/>
      <c r="M4" s="2"/>
      <c r="N4" s="2"/>
      <c r="O4" s="2"/>
      <c r="P4" s="2"/>
      <c r="Q4" s="2"/>
      <c r="R4" s="2"/>
    </row>
    <row r="5" customFormat="false" ht="15" hidden="false" customHeight="false" outlineLevel="0" collapsed="false">
      <c r="A5" s="2"/>
      <c r="B5" s="2"/>
      <c r="C5" s="2"/>
      <c r="D5" s="2"/>
      <c r="E5" s="2"/>
      <c r="F5" s="2"/>
      <c r="G5" s="2"/>
      <c r="H5" s="2"/>
      <c r="I5" s="2"/>
      <c r="J5" s="2"/>
      <c r="K5" s="2"/>
      <c r="L5" s="2"/>
      <c r="M5" s="2"/>
      <c r="N5" s="2"/>
      <c r="O5" s="2"/>
      <c r="P5" s="2"/>
      <c r="Q5" s="2"/>
      <c r="R5" s="2"/>
    </row>
    <row r="6" customFormat="false" ht="15" hidden="false" customHeight="false" outlineLevel="0" collapsed="false">
      <c r="A6" s="9" t="s">
        <v>28</v>
      </c>
      <c r="B6" s="10" t="n">
        <v>1</v>
      </c>
      <c r="C6" s="10" t="n">
        <v>2</v>
      </c>
      <c r="D6" s="10" t="n">
        <v>3</v>
      </c>
      <c r="E6" s="10" t="n">
        <v>4</v>
      </c>
      <c r="F6" s="10" t="n">
        <v>5</v>
      </c>
      <c r="G6" s="10" t="n">
        <v>6</v>
      </c>
      <c r="H6" s="10" t="n">
        <v>7</v>
      </c>
      <c r="I6" s="10" t="n">
        <v>8</v>
      </c>
      <c r="J6" s="10" t="n">
        <v>9</v>
      </c>
      <c r="K6" s="10" t="n">
        <v>10</v>
      </c>
      <c r="L6" s="10" t="n">
        <v>11</v>
      </c>
      <c r="M6" s="10" t="n">
        <v>12</v>
      </c>
      <c r="N6" s="10" t="n">
        <v>13</v>
      </c>
      <c r="O6" s="10" t="n">
        <v>14</v>
      </c>
      <c r="P6" s="10" t="n">
        <v>15</v>
      </c>
      <c r="Q6" s="2"/>
      <c r="R6" s="9" t="s">
        <v>29</v>
      </c>
    </row>
    <row r="7" customFormat="false" ht="15" hidden="false" customHeight="false" outlineLevel="0" collapsed="false">
      <c r="A7" s="9" t="s">
        <v>57</v>
      </c>
      <c r="B7" s="11" t="n">
        <v>1107883.476</v>
      </c>
      <c r="C7" s="11" t="n">
        <v>1130224.27392</v>
      </c>
      <c r="D7" s="11" t="n">
        <v>1470581.13731659</v>
      </c>
      <c r="E7" s="11" t="n">
        <v>2128361.5241759</v>
      </c>
      <c r="F7" s="11" t="n">
        <v>2531696.60117519</v>
      </c>
      <c r="G7" s="11" t="n">
        <v>2960567.60023987</v>
      </c>
      <c r="H7" s="11" t="n">
        <v>3415973.30476096</v>
      </c>
      <c r="I7" s="11" t="n">
        <v>3898958.3702101</v>
      </c>
      <c r="J7" s="11" t="n">
        <v>4410614.70976327</v>
      </c>
      <c r="K7" s="11" t="n">
        <v>4952082.94628947</v>
      </c>
      <c r="L7" s="11" t="n">
        <v>5524553.93215493</v>
      </c>
      <c r="M7" s="11" t="n">
        <v>6129270.33838766</v>
      </c>
      <c r="N7" s="11" t="n">
        <v>6767528.314843</v>
      </c>
      <c r="O7" s="11" t="n">
        <v>7045784.99129078</v>
      </c>
      <c r="P7" s="11" t="n">
        <v>7328447.27269707</v>
      </c>
      <c r="Q7" s="2"/>
      <c r="R7" s="2"/>
    </row>
    <row r="8" customFormat="false" ht="15" hidden="false" customHeight="false" outlineLevel="0" collapsed="false">
      <c r="A8" s="4" t="s">
        <v>58</v>
      </c>
      <c r="B8" s="21" t="n">
        <v>2</v>
      </c>
      <c r="C8" s="21" t="n">
        <v>2</v>
      </c>
      <c r="D8" s="21" t="n">
        <v>2.5</v>
      </c>
      <c r="E8" s="21" t="n">
        <v>3.5</v>
      </c>
      <c r="F8" s="21" t="n">
        <v>4</v>
      </c>
      <c r="G8" s="21" t="n">
        <v>4.5</v>
      </c>
      <c r="H8" s="21" t="n">
        <v>5</v>
      </c>
      <c r="I8" s="21" t="n">
        <v>5.5</v>
      </c>
      <c r="J8" s="21" t="n">
        <v>6</v>
      </c>
      <c r="K8" s="21" t="n">
        <v>6.5</v>
      </c>
      <c r="L8" s="21" t="n">
        <v>7</v>
      </c>
      <c r="M8" s="21" t="n">
        <v>7.5</v>
      </c>
      <c r="N8" s="21" t="n">
        <v>8</v>
      </c>
      <c r="O8" s="21" t="n">
        <v>8</v>
      </c>
      <c r="P8" s="21" t="n">
        <v>8</v>
      </c>
      <c r="Q8" s="2"/>
      <c r="R8" s="2"/>
    </row>
    <row r="9" customFormat="false" ht="15" hidden="false" customHeight="false" outlineLevel="0" collapsed="false">
      <c r="A9" s="4" t="s">
        <v>59</v>
      </c>
      <c r="B9" s="19" t="n">
        <v>9</v>
      </c>
      <c r="C9" s="19" t="n">
        <v>9</v>
      </c>
      <c r="D9" s="19" t="n">
        <v>12</v>
      </c>
      <c r="E9" s="19" t="n">
        <v>16</v>
      </c>
      <c r="F9" s="19" t="n">
        <v>19</v>
      </c>
      <c r="G9" s="19" t="n">
        <v>22</v>
      </c>
      <c r="H9" s="19" t="n">
        <v>24</v>
      </c>
      <c r="I9" s="19" t="n">
        <v>26</v>
      </c>
      <c r="J9" s="19" t="n">
        <v>28</v>
      </c>
      <c r="K9" s="19" t="n">
        <v>30</v>
      </c>
      <c r="L9" s="19" t="n">
        <v>31</v>
      </c>
      <c r="M9" s="19" t="n">
        <v>34</v>
      </c>
      <c r="N9" s="19" t="n">
        <v>35</v>
      </c>
      <c r="O9" s="19" t="n">
        <v>35</v>
      </c>
      <c r="P9" s="19" t="n">
        <v>35</v>
      </c>
      <c r="Q9" s="2"/>
      <c r="R9" s="2"/>
    </row>
    <row r="10" customFormat="false" ht="15" hidden="false" customHeight="false" outlineLevel="0" collapsed="false">
      <c r="A10" s="9" t="s">
        <v>60</v>
      </c>
      <c r="B10" s="11" t="n">
        <v>309346.07309104</v>
      </c>
      <c r="C10" s="11" t="n">
        <v>298686.24221904</v>
      </c>
      <c r="D10" s="11" t="n">
        <v>355430.854335931</v>
      </c>
      <c r="E10" s="11" t="n">
        <v>480212.618568055</v>
      </c>
      <c r="F10" s="11" t="n">
        <v>471947.318307169</v>
      </c>
      <c r="G10" s="11" t="n">
        <v>514099.926862789</v>
      </c>
      <c r="H10" s="11" t="n">
        <v>646151.297211341</v>
      </c>
      <c r="I10" s="11" t="n">
        <v>785530.442582843</v>
      </c>
      <c r="J10" s="11" t="n">
        <v>869075.961720472</v>
      </c>
      <c r="K10" s="11" t="n">
        <v>1029166.33528225</v>
      </c>
      <c r="L10" s="11" t="n">
        <v>1197070.66564829</v>
      </c>
      <c r="M10" s="11" t="n">
        <v>1372827.40169565</v>
      </c>
      <c r="N10" s="11" t="n">
        <v>1556465.40590655</v>
      </c>
      <c r="O10" s="11" t="n">
        <v>1627343.6700041</v>
      </c>
      <c r="P10" s="11" t="n">
        <v>1696229.81094027</v>
      </c>
      <c r="Q10" s="2"/>
      <c r="R10" s="6" t="s">
        <v>61</v>
      </c>
    </row>
    <row r="11" customFormat="false" ht="15" hidden="false" customHeight="false" outlineLevel="0" collapsed="false">
      <c r="A11" s="4" t="s">
        <v>62</v>
      </c>
      <c r="B11" s="12" t="n">
        <v>61038.4292364159</v>
      </c>
      <c r="C11" s="12" t="n">
        <v>120512.926124032</v>
      </c>
      <c r="D11" s="12" t="n">
        <v>188835.267858404</v>
      </c>
      <c r="E11" s="12" t="n">
        <v>293220.315285626</v>
      </c>
      <c r="F11" s="12" t="n">
        <v>408149.242608494</v>
      </c>
      <c r="G11" s="12" t="n">
        <v>539939.213353609</v>
      </c>
      <c r="H11" s="12" t="n">
        <v>724549.732238146</v>
      </c>
      <c r="I11" s="12" t="n">
        <v>964911.909271283</v>
      </c>
      <c r="J11" s="12" t="n">
        <v>1238692.29395947</v>
      </c>
      <c r="K11" s="12" t="n">
        <v>1576508.82807237</v>
      </c>
      <c r="L11" s="12" t="n">
        <v>1981487.09433169</v>
      </c>
      <c r="M11" s="12" t="n">
        <v>2456768.05500994</v>
      </c>
      <c r="N11" s="12" t="n">
        <v>3005504.21737256</v>
      </c>
      <c r="O11" s="12" t="n">
        <v>3596441.6853742</v>
      </c>
      <c r="P11" s="12" t="n">
        <v>4214933.60975031</v>
      </c>
      <c r="Q11" s="2"/>
      <c r="R11" s="2"/>
    </row>
    <row r="12" customFormat="false" ht="32.8" hidden="false" customHeight="false" outlineLevel="0" collapsed="false">
      <c r="A12" s="9" t="s">
        <v>42</v>
      </c>
      <c r="B12" s="11" t="n">
        <v>737130.151233105</v>
      </c>
      <c r="C12" s="11" t="n">
        <v>793606.669249441</v>
      </c>
      <c r="D12" s="11" t="n">
        <v>973791.845154872</v>
      </c>
      <c r="E12" s="11" t="n">
        <v>1704841.10205784</v>
      </c>
      <c r="F12" s="11" t="n">
        <v>1781926.25021217</v>
      </c>
      <c r="G12" s="11" t="n">
        <v>2078739.72158601</v>
      </c>
      <c r="H12" s="11" t="n">
        <v>2788865.52166945</v>
      </c>
      <c r="I12" s="11" t="n">
        <v>3584726.63004211</v>
      </c>
      <c r="J12" s="11" t="n">
        <v>4191175.85367095</v>
      </c>
      <c r="K12" s="11" t="n">
        <v>5168218.95382355</v>
      </c>
      <c r="L12" s="11" t="n">
        <v>8245690.54355842</v>
      </c>
      <c r="M12" s="11" t="n">
        <v>9739722.17619467</v>
      </c>
      <c r="N12" s="11" t="n">
        <v>11353079.965143</v>
      </c>
      <c r="O12" s="11" t="n">
        <v>12401842.2665323</v>
      </c>
      <c r="P12" s="11" t="n">
        <v>13454921.9845546</v>
      </c>
      <c r="Q12" s="2"/>
      <c r="R12" s="6" t="s">
        <v>63</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6" min="2" style="0" width="12"/>
    <col collapsed="false" customWidth="true" hidden="false" outlineLevel="0" max="18" min="18" style="0" width="62"/>
  </cols>
  <sheetData>
    <row r="1" customFormat="false" ht="17.35" hidden="false" customHeight="false" outlineLevel="0" collapsed="false">
      <c r="A1" s="1" t="s">
        <v>64</v>
      </c>
      <c r="B1" s="2"/>
      <c r="C1" s="2"/>
      <c r="D1" s="2"/>
      <c r="E1" s="2"/>
      <c r="F1" s="2"/>
      <c r="G1" s="2"/>
      <c r="H1" s="2"/>
      <c r="I1" s="2"/>
      <c r="J1" s="2"/>
      <c r="K1" s="2"/>
      <c r="L1" s="2"/>
      <c r="M1" s="2"/>
      <c r="N1" s="2"/>
      <c r="O1" s="2"/>
      <c r="P1" s="2"/>
      <c r="Q1" s="2"/>
      <c r="R1" s="2"/>
    </row>
    <row r="2" customFormat="false" ht="15" hidden="false" customHeight="false" outlineLevel="0" collapsed="false">
      <c r="A2" s="3" t="s">
        <v>65</v>
      </c>
      <c r="B2" s="2"/>
      <c r="C2" s="2"/>
      <c r="D2" s="2"/>
      <c r="E2" s="2"/>
      <c r="F2" s="2"/>
      <c r="G2" s="2"/>
      <c r="H2" s="2"/>
      <c r="I2" s="2"/>
      <c r="J2" s="2"/>
      <c r="K2" s="2"/>
      <c r="L2" s="2"/>
      <c r="M2" s="2"/>
      <c r="N2" s="2"/>
      <c r="O2" s="2"/>
      <c r="P2" s="2"/>
      <c r="Q2" s="2"/>
      <c r="R2" s="2"/>
    </row>
    <row r="3" customFormat="false" ht="15" hidden="false" customHeight="false" outlineLevel="0" collapsed="false">
      <c r="A3" s="2"/>
      <c r="B3" s="2"/>
      <c r="C3" s="2"/>
      <c r="D3" s="2"/>
      <c r="E3" s="2"/>
      <c r="F3" s="2"/>
      <c r="G3" s="2"/>
      <c r="H3" s="2"/>
      <c r="I3" s="2"/>
      <c r="J3" s="2"/>
      <c r="K3" s="2"/>
      <c r="L3" s="2"/>
      <c r="M3" s="2"/>
      <c r="N3" s="2"/>
      <c r="O3" s="2"/>
      <c r="P3" s="2"/>
      <c r="Q3" s="2"/>
      <c r="R3" s="2"/>
    </row>
    <row r="4" customFormat="false" ht="15" hidden="false" customHeight="false" outlineLevel="0" collapsed="false">
      <c r="A4" s="4" t="s">
        <v>66</v>
      </c>
      <c r="B4" s="7" t="n">
        <v>0.2</v>
      </c>
      <c r="C4" s="2"/>
      <c r="D4" s="20" t="s">
        <v>67</v>
      </c>
      <c r="E4" s="2"/>
      <c r="F4" s="2"/>
      <c r="G4" s="2"/>
      <c r="H4" s="2"/>
      <c r="I4" s="2"/>
      <c r="J4" s="2"/>
      <c r="K4" s="2"/>
      <c r="L4" s="2"/>
      <c r="M4" s="2"/>
      <c r="N4" s="2"/>
      <c r="O4" s="2"/>
      <c r="P4" s="2"/>
      <c r="Q4" s="2"/>
      <c r="R4" s="2"/>
    </row>
    <row r="5" customFormat="false" ht="15" hidden="false" customHeight="false" outlineLevel="0" collapsed="false">
      <c r="A5" s="4" t="s">
        <v>68</v>
      </c>
      <c r="B5" s="7" t="n">
        <v>0.0875</v>
      </c>
      <c r="C5" s="2"/>
      <c r="D5" s="20" t="s">
        <v>69</v>
      </c>
      <c r="E5" s="2"/>
      <c r="F5" s="2"/>
      <c r="G5" s="2"/>
      <c r="H5" s="2"/>
      <c r="I5" s="2"/>
      <c r="J5" s="2"/>
      <c r="K5" s="2"/>
      <c r="L5" s="2"/>
      <c r="M5" s="2"/>
      <c r="N5" s="2"/>
      <c r="O5" s="2"/>
      <c r="P5" s="2"/>
      <c r="Q5" s="2"/>
      <c r="R5" s="2"/>
    </row>
    <row r="6" customFormat="false" ht="15" hidden="false" customHeight="false" outlineLevel="0" collapsed="false">
      <c r="A6" s="2"/>
      <c r="B6" s="2"/>
      <c r="C6" s="2"/>
      <c r="D6" s="2"/>
      <c r="E6" s="2"/>
      <c r="F6" s="2"/>
      <c r="G6" s="2"/>
      <c r="H6" s="2"/>
      <c r="I6" s="2"/>
      <c r="J6" s="2"/>
      <c r="K6" s="2"/>
      <c r="L6" s="2"/>
      <c r="M6" s="2"/>
      <c r="N6" s="2"/>
      <c r="O6" s="2"/>
      <c r="P6" s="2"/>
      <c r="Q6" s="2"/>
      <c r="R6" s="2"/>
    </row>
    <row r="7" customFormat="false" ht="15" hidden="false" customHeight="false" outlineLevel="0" collapsed="false">
      <c r="A7" s="2"/>
      <c r="B7" s="2"/>
      <c r="C7" s="2"/>
      <c r="D7" s="2"/>
      <c r="E7" s="2"/>
      <c r="F7" s="2"/>
      <c r="G7" s="2"/>
      <c r="H7" s="2"/>
      <c r="I7" s="2"/>
      <c r="J7" s="2"/>
      <c r="K7" s="2"/>
      <c r="L7" s="2"/>
      <c r="M7" s="2"/>
      <c r="N7" s="2"/>
      <c r="O7" s="2"/>
      <c r="P7" s="2"/>
      <c r="Q7" s="2"/>
      <c r="R7" s="2"/>
    </row>
    <row r="8" customFormat="false" ht="15" hidden="false" customHeight="false" outlineLevel="0" collapsed="false">
      <c r="A8" s="9" t="s">
        <v>28</v>
      </c>
      <c r="B8" s="10" t="n">
        <v>1</v>
      </c>
      <c r="C8" s="10" t="n">
        <v>2</v>
      </c>
      <c r="D8" s="10" t="n">
        <v>3</v>
      </c>
      <c r="E8" s="10" t="n">
        <v>4</v>
      </c>
      <c r="F8" s="10" t="n">
        <v>5</v>
      </c>
      <c r="G8" s="10" t="n">
        <v>6</v>
      </c>
      <c r="H8" s="10" t="n">
        <v>7</v>
      </c>
      <c r="I8" s="10" t="n">
        <v>8</v>
      </c>
      <c r="J8" s="10" t="n">
        <v>9</v>
      </c>
      <c r="K8" s="10" t="n">
        <v>10</v>
      </c>
      <c r="L8" s="10" t="n">
        <v>11</v>
      </c>
      <c r="M8" s="10" t="n">
        <v>12</v>
      </c>
      <c r="N8" s="10" t="n">
        <v>13</v>
      </c>
      <c r="O8" s="10" t="n">
        <v>14</v>
      </c>
      <c r="P8" s="10" t="n">
        <v>15</v>
      </c>
      <c r="Q8" s="2"/>
      <c r="R8" s="9" t="s">
        <v>29</v>
      </c>
    </row>
    <row r="9" customFormat="false" ht="22.35" hidden="false" customHeight="false" outlineLevel="0" collapsed="false">
      <c r="A9" s="9" t="s">
        <v>70</v>
      </c>
      <c r="B9" s="11" t="n">
        <f aca="false">'Year by year'!B17</f>
        <v>438.472536993149</v>
      </c>
      <c r="C9" s="11" t="n">
        <f aca="false">'Year by year'!C17</f>
        <v>4265.53615496646</v>
      </c>
      <c r="D9" s="11" t="n">
        <f aca="false">'Year by year'!D17</f>
        <v>22614.9700639385</v>
      </c>
      <c r="E9" s="11" t="n">
        <f aca="false">'Year by year'!E17</f>
        <v>117879.204246941</v>
      </c>
      <c r="F9" s="11" t="n">
        <f aca="false">'Year by year'!F17</f>
        <v>127129.42202546</v>
      </c>
      <c r="G9" s="11" t="n">
        <f aca="false">'Year by year'!G17</f>
        <v>162747.038590321</v>
      </c>
      <c r="H9" s="11" t="n">
        <f aca="false">'Year by year'!H17</f>
        <v>247962.134600334</v>
      </c>
      <c r="I9" s="11" t="n">
        <f aca="false">'Year by year'!I17</f>
        <v>343465.467605053</v>
      </c>
      <c r="J9" s="11" t="n">
        <f aca="false">'Year by year'!J17</f>
        <v>416239.374440514</v>
      </c>
      <c r="K9" s="11" t="n">
        <f aca="false">'Year by year'!K17</f>
        <v>533484.546458826</v>
      </c>
      <c r="L9" s="11" t="n">
        <f aca="false">'Year by year'!L17</f>
        <v>902781.13722701</v>
      </c>
      <c r="M9" s="11" t="n">
        <f aca="false">'Year by year'!M17</f>
        <v>1082064.93314336</v>
      </c>
      <c r="N9" s="11" t="n">
        <f aca="false">'Year by year'!N17</f>
        <v>1275667.86781716</v>
      </c>
      <c r="O9" s="11" t="n">
        <f aca="false">'Year by year'!O17</f>
        <v>1401519.34398388</v>
      </c>
      <c r="P9" s="11" t="n">
        <f aca="false">'Year by year'!P17</f>
        <v>1527888.91014655</v>
      </c>
      <c r="Q9" s="2"/>
      <c r="R9" s="6" t="s">
        <v>71</v>
      </c>
    </row>
    <row r="10" customFormat="false" ht="15" hidden="false" customHeight="false" outlineLevel="0" collapsed="false">
      <c r="A10" s="9" t="s">
        <v>72</v>
      </c>
      <c r="B10" s="11" t="n">
        <f aca="false">B9*(1-$B$4)</f>
        <v>350.778029594519</v>
      </c>
      <c r="C10" s="11" t="n">
        <f aca="false">C9*(1-$B$4)</f>
        <v>3412.42892397317</v>
      </c>
      <c r="D10" s="11" t="n">
        <f aca="false">D9*(1-$B$4)</f>
        <v>18091.9760511508</v>
      </c>
      <c r="E10" s="11" t="n">
        <f aca="false">E9*(1-$B$4)</f>
        <v>94303.3633975526</v>
      </c>
      <c r="F10" s="11" t="n">
        <f aca="false">F9*(1-$B$4)</f>
        <v>101703.537620368</v>
      </c>
      <c r="G10" s="11" t="n">
        <f aca="false">G9*(1-$B$4)</f>
        <v>130197.630872257</v>
      </c>
      <c r="H10" s="11" t="n">
        <f aca="false">H9*(1-$B$4)</f>
        <v>198369.707680267</v>
      </c>
      <c r="I10" s="11" t="n">
        <f aca="false">I9*(1-$B$4)</f>
        <v>274772.374084043</v>
      </c>
      <c r="J10" s="11" t="n">
        <f aca="false">J9*(1-$B$4)</f>
        <v>332991.499552411</v>
      </c>
      <c r="K10" s="11" t="n">
        <f aca="false">K9*(1-$B$4)</f>
        <v>426787.637167061</v>
      </c>
      <c r="L10" s="11" t="n">
        <f aca="false">L9*(1-$B$4)</f>
        <v>722224.909781608</v>
      </c>
      <c r="M10" s="11" t="n">
        <f aca="false">M9*(1-$B$4)</f>
        <v>865651.946514688</v>
      </c>
      <c r="N10" s="11" t="n">
        <f aca="false">N9*(1-$B$4)</f>
        <v>1020534.29425373</v>
      </c>
      <c r="O10" s="11" t="n">
        <f aca="false">O9*(1-$B$4)</f>
        <v>1121215.4751871</v>
      </c>
      <c r="P10" s="11" t="n">
        <f aca="false">P9*(1-$B$4)</f>
        <v>1222311.12811724</v>
      </c>
      <c r="Q10" s="2"/>
      <c r="R10" s="2"/>
    </row>
    <row r="11" customFormat="false" ht="15" hidden="false" customHeight="false" outlineLevel="0" collapsed="false">
      <c r="A11" s="4" t="s">
        <v>73</v>
      </c>
      <c r="B11" s="12" t="n">
        <f aca="false">B10</f>
        <v>350.778029594519</v>
      </c>
      <c r="C11" s="12" t="n">
        <f aca="false">C10</f>
        <v>3412.42892397317</v>
      </c>
      <c r="D11" s="12" t="n">
        <f aca="false">D10</f>
        <v>18091.9760511508</v>
      </c>
      <c r="E11" s="12" t="n">
        <f aca="false">E10</f>
        <v>94303.3633975526</v>
      </c>
      <c r="F11" s="12" t="n">
        <f aca="false">F10</f>
        <v>101703.537620368</v>
      </c>
      <c r="G11" s="12" t="n">
        <f aca="false">G10</f>
        <v>130197.630872257</v>
      </c>
      <c r="H11" s="12" t="n">
        <f aca="false">H10</f>
        <v>198369.707680267</v>
      </c>
      <c r="I11" s="12" t="n">
        <f aca="false">I10</f>
        <v>274772.374084043</v>
      </c>
      <c r="J11" s="12" t="n">
        <f aca="false">J10</f>
        <v>332991.499552411</v>
      </c>
      <c r="K11" s="12" t="n">
        <f aca="false">K10</f>
        <v>426787.637167061</v>
      </c>
      <c r="L11" s="12" t="n">
        <f aca="false">L10</f>
        <v>722224.909781608</v>
      </c>
      <c r="M11" s="12" t="n">
        <f aca="false">M10</f>
        <v>865651.946514688</v>
      </c>
      <c r="N11" s="12" t="n">
        <f aca="false">N10</f>
        <v>1020534.29425373</v>
      </c>
      <c r="O11" s="12" t="n">
        <f aca="false">O10</f>
        <v>1121215.4751871</v>
      </c>
      <c r="P11" s="12" t="n">
        <f aca="false">P10</f>
        <v>1222311.12811724</v>
      </c>
      <c r="Q11" s="2"/>
      <c r="R11" s="2"/>
    </row>
    <row r="12" customFormat="false" ht="15" hidden="false" customHeight="false" outlineLevel="0" collapsed="false">
      <c r="A12" s="4" t="s">
        <v>74</v>
      </c>
      <c r="B12" s="12" t="n">
        <f aca="false">IF(B10=0,0,PMT($B$5/12,36,-B10))</f>
        <v>11.113878233567</v>
      </c>
      <c r="C12" s="12" t="n">
        <f aca="false">IF(C10=0,0,PMT($B$5/12,36,-C10))</f>
        <v>108.117716453278</v>
      </c>
      <c r="D12" s="12" t="n">
        <f aca="false">IF(D10=0,0,PMT($B$5/12,36,-D10))</f>
        <v>573.217253855747</v>
      </c>
      <c r="E12" s="12" t="n">
        <f aca="false">IF(E10=0,0,PMT($B$5/12,36,-E10))</f>
        <v>2987.86129515506</v>
      </c>
      <c r="F12" s="12" t="n">
        <f aca="false">IF(F10=0,0,PMT($B$5/12,36,-F10))</f>
        <v>3222.32476857905</v>
      </c>
      <c r="G12" s="12" t="n">
        <f aca="false">IF(G10=0,0,PMT($B$5/12,36,-G10))</f>
        <v>4125.11757787631</v>
      </c>
      <c r="H12" s="12" t="n">
        <f aca="false">IF(H10=0,0,PMT($B$5/12,36,-H10))</f>
        <v>6285.04806568199</v>
      </c>
      <c r="I12" s="12" t="n">
        <f aca="false">IF(I10=0,0,PMT($B$5/12,36,-I10))</f>
        <v>8705.75249837679</v>
      </c>
      <c r="J12" s="12" t="n">
        <f aca="false">IF(J10=0,0,PMT($B$5/12,36,-J10))</f>
        <v>10550.3385805443</v>
      </c>
      <c r="K12" s="12" t="n">
        <f aca="false">IF(K10=0,0,PMT($B$5/12,36,-K10))</f>
        <v>13522.1291839442</v>
      </c>
      <c r="L12" s="12" t="n">
        <f aca="false">IF(L10=0,0,PMT($B$5/12,36,-L10))</f>
        <v>22882.61814413</v>
      </c>
      <c r="M12" s="12" t="n">
        <f aca="false">IF(M10=0,0,PMT($B$5/12,36,-M10))</f>
        <v>27426.889698125</v>
      </c>
      <c r="N12" s="12" t="n">
        <f aca="false">IF(N10=0,0,PMT($B$5/12,36,-N10))</f>
        <v>32334.1056810942</v>
      </c>
      <c r="O12" s="12" t="n">
        <f aca="false">IF(O10=0,0,PMT($B$5/12,36,-O10))</f>
        <v>35524.0386041986</v>
      </c>
      <c r="P12" s="12" t="n">
        <f aca="false">IF(P10=0,0,PMT($B$5/12,36,-P10))</f>
        <v>38727.1034538054</v>
      </c>
      <c r="Q12" s="2"/>
      <c r="R12" s="2"/>
    </row>
    <row r="13" customFormat="false" ht="32.8" hidden="false" customHeight="false" outlineLevel="0" collapsed="false">
      <c r="A13" s="9" t="s">
        <v>75</v>
      </c>
      <c r="B13" s="11" t="n">
        <f aca="false">IF(B10=0,0,PMT($B$5/12,60,-B10))</f>
        <v>7.23908782522604</v>
      </c>
      <c r="C13" s="11" t="n">
        <f aca="false">IF(C10=0,0,PMT($B$5/12,60,-C10))</f>
        <v>70.4230897999472</v>
      </c>
      <c r="D13" s="11" t="n">
        <f aca="false">IF(D10=0,0,PMT($B$5/12,60,-D10))</f>
        <v>373.368319896091</v>
      </c>
      <c r="E13" s="11" t="n">
        <f aca="false">IF(E10=0,0,PMT($B$5/12,60,-E10))</f>
        <v>1946.16045548298</v>
      </c>
      <c r="F13" s="11" t="n">
        <f aca="false">IF(F10=0,0,PMT($B$5/12,60,-F10))</f>
        <v>2098.87957299117</v>
      </c>
      <c r="G13" s="11" t="n">
        <f aca="false">IF(G10=0,0,PMT($B$5/12,60,-G10))</f>
        <v>2686.91880620381</v>
      </c>
      <c r="H13" s="11" t="n">
        <f aca="false">IF(H10=0,0,PMT($B$5/12,60,-H10))</f>
        <v>4093.8018194065</v>
      </c>
      <c r="I13" s="11" t="n">
        <f aca="false">IF(I10=0,0,PMT($B$5/12,60,-I10))</f>
        <v>5670.54142541237</v>
      </c>
      <c r="J13" s="11" t="n">
        <f aca="false">IF(J10=0,0,PMT($B$5/12,60,-J10))</f>
        <v>6872.02306569798</v>
      </c>
      <c r="K13" s="11" t="n">
        <f aca="false">IF(K10=0,0,PMT($B$5/12,60,-K10))</f>
        <v>8807.71578466422</v>
      </c>
      <c r="L13" s="11" t="n">
        <f aca="false">IF(L10=0,0,PMT($B$5/12,60,-L10))</f>
        <v>14904.723529916</v>
      </c>
      <c r="M13" s="11" t="n">
        <f aca="false">IF(M10=0,0,PMT($B$5/12,60,-M10))</f>
        <v>17864.6606634443</v>
      </c>
      <c r="N13" s="11" t="n">
        <f aca="false">IF(N10=0,0,PMT($B$5/12,60,-N10))</f>
        <v>21061.003715933</v>
      </c>
      <c r="O13" s="11" t="n">
        <f aca="false">IF(O10=0,0,PMT($B$5/12,60,-O10))</f>
        <v>23138.7846760651</v>
      </c>
      <c r="P13" s="11" t="n">
        <f aca="false">IF(P10=0,0,PMT($B$5/12,60,-P10))</f>
        <v>25225.1191912451</v>
      </c>
      <c r="Q13" s="2"/>
      <c r="R13" s="6" t="s">
        <v>76</v>
      </c>
    </row>
    <row r="14" customFormat="false" ht="15" hidden="false" customHeight="false" outlineLevel="0" collapsed="false">
      <c r="A14" s="4" t="s">
        <v>77</v>
      </c>
      <c r="B14" s="12" t="n">
        <f aca="false">IF(B10=0,0,PMT($B$5/12,84,-B10))</f>
        <v>5.59929160095714</v>
      </c>
      <c r="C14" s="12" t="n">
        <f aca="false">IF(C10=0,0,PMT($B$5/12,84,-C10))</f>
        <v>54.470870467438</v>
      </c>
      <c r="D14" s="12" t="n">
        <f aca="false">IF(D10=0,0,PMT($B$5/12,84,-D10))</f>
        <v>288.793028642719</v>
      </c>
      <c r="E14" s="12" t="n">
        <f aca="false">IF(E10=0,0,PMT($B$5/12,84,-E10))</f>
        <v>1505.31671331954</v>
      </c>
      <c r="F14" s="12" t="n">
        <f aca="false">IF(F10=0,0,PMT($B$5/12,84,-F10))</f>
        <v>1623.44193746579</v>
      </c>
      <c r="G14" s="12" t="n">
        <f aca="false">IF(G10=0,0,PMT($B$5/12,84,-G10))</f>
        <v>2078.27868196377</v>
      </c>
      <c r="H14" s="12" t="n">
        <f aca="false">IF(H10=0,0,PMT($B$5/12,84,-H10))</f>
        <v>3166.47493397003</v>
      </c>
      <c r="I14" s="12" t="n">
        <f aca="false">IF(I10=0,0,PMT($B$5/12,84,-I10))</f>
        <v>4386.05190912981</v>
      </c>
      <c r="J14" s="12" t="n">
        <f aca="false">IF(J10=0,0,PMT($B$5/12,84,-J10))</f>
        <v>5315.37425188579</v>
      </c>
      <c r="K14" s="12" t="n">
        <f aca="false">IF(K10=0,0,PMT($B$5/12,84,-K10))</f>
        <v>6812.59437754481</v>
      </c>
      <c r="L14" s="12" t="n">
        <f aca="false">IF(L10=0,0,PMT($B$5/12,84,-L10))</f>
        <v>11528.5095706159</v>
      </c>
      <c r="M14" s="12" t="n">
        <f aca="false">IF(M10=0,0,PMT($B$5/12,84,-M10))</f>
        <v>13817.962541938</v>
      </c>
      <c r="N14" s="12" t="n">
        <f aca="false">IF(N10=0,0,PMT($B$5/12,84,-N10))</f>
        <v>16290.2708271354</v>
      </c>
      <c r="O14" s="12" t="n">
        <f aca="false">IF(O10=0,0,PMT($B$5/12,84,-O10))</f>
        <v>17897.3934038439</v>
      </c>
      <c r="P14" s="12" t="n">
        <f aca="false">IF(P10=0,0,PMT($B$5/12,84,-P10))</f>
        <v>19511.1319866148</v>
      </c>
      <c r="Q14" s="2"/>
      <c r="R14" s="2"/>
    </row>
    <row r="15" customFormat="false" ht="15" hidden="false" customHeight="false" outlineLevel="0" collapsed="false">
      <c r="A15" s="13" t="s">
        <v>78</v>
      </c>
      <c r="B15" s="14"/>
      <c r="C15" s="14"/>
      <c r="D15" s="14"/>
      <c r="E15" s="14"/>
      <c r="F15" s="14"/>
      <c r="G15" s="14"/>
      <c r="H15" s="14"/>
      <c r="I15" s="14"/>
      <c r="J15" s="14"/>
      <c r="K15" s="14"/>
      <c r="L15" s="14"/>
      <c r="M15" s="14"/>
      <c r="N15" s="14"/>
      <c r="O15" s="14"/>
      <c r="P15" s="14"/>
      <c r="Q15" s="2"/>
      <c r="R15" s="14"/>
    </row>
    <row r="16" customFormat="false" ht="15" hidden="false" customHeight="false" outlineLevel="0" collapsed="false">
      <c r="A16" s="4" t="s">
        <v>79</v>
      </c>
      <c r="B16" s="12" t="n">
        <v>309346.07309104</v>
      </c>
      <c r="C16" s="12" t="n">
        <v>298686.24221904</v>
      </c>
      <c r="D16" s="12" t="n">
        <v>355430.854335931</v>
      </c>
      <c r="E16" s="12" t="n">
        <v>480212.618568055</v>
      </c>
      <c r="F16" s="12" t="n">
        <v>471947.318307169</v>
      </c>
      <c r="G16" s="12" t="n">
        <v>514099.926862789</v>
      </c>
      <c r="H16" s="12" t="n">
        <v>646151.297211341</v>
      </c>
      <c r="I16" s="12" t="n">
        <v>785530.442582843</v>
      </c>
      <c r="J16" s="12" t="n">
        <v>869075.961720472</v>
      </c>
      <c r="K16" s="12" t="n">
        <v>1029166.33528225</v>
      </c>
      <c r="L16" s="12" t="n">
        <v>1197070.66564829</v>
      </c>
      <c r="M16" s="12" t="n">
        <v>1372827.40169565</v>
      </c>
      <c r="N16" s="12" t="n">
        <v>1556465.40590655</v>
      </c>
      <c r="O16" s="12" t="n">
        <v>1627343.6700041</v>
      </c>
      <c r="P16" s="12" t="n">
        <v>1696229.81094027</v>
      </c>
      <c r="Q16" s="2"/>
      <c r="R16" s="2"/>
    </row>
    <row r="17" customFormat="false" ht="15" hidden="false" customHeight="false" outlineLevel="0" collapsed="false">
      <c r="A17" s="4" t="s">
        <v>62</v>
      </c>
      <c r="B17" s="12" t="n">
        <v>61038.4292364159</v>
      </c>
      <c r="C17" s="12" t="n">
        <v>120512.926124032</v>
      </c>
      <c r="D17" s="12" t="n">
        <v>188835.267858404</v>
      </c>
      <c r="E17" s="12" t="n">
        <v>293220.315285626</v>
      </c>
      <c r="F17" s="12" t="n">
        <v>408149.242608494</v>
      </c>
      <c r="G17" s="12" t="n">
        <v>539939.213353609</v>
      </c>
      <c r="H17" s="12" t="n">
        <v>724549.732238146</v>
      </c>
      <c r="I17" s="12" t="n">
        <v>964911.909271283</v>
      </c>
      <c r="J17" s="12" t="n">
        <v>1238692.29395947</v>
      </c>
      <c r="K17" s="12" t="n">
        <v>1576508.82807237</v>
      </c>
      <c r="L17" s="12" t="n">
        <v>1981487.09433169</v>
      </c>
      <c r="M17" s="12" t="n">
        <v>2456768.05500994</v>
      </c>
      <c r="N17" s="12" t="n">
        <v>3005504.21737256</v>
      </c>
      <c r="O17" s="12" t="n">
        <v>3596441.6853742</v>
      </c>
      <c r="P17" s="12" t="n">
        <v>4214933.60975031</v>
      </c>
      <c r="Q17" s="2"/>
      <c r="R17" s="2"/>
    </row>
    <row r="18" customFormat="false" ht="22.35" hidden="false" customHeight="false" outlineLevel="0" collapsed="false">
      <c r="A18" s="9" t="s">
        <v>80</v>
      </c>
      <c r="B18" s="16" t="n">
        <f aca="false">IF(B16=0,0,B13*12/B16)</f>
        <v>0.000280815117627652</v>
      </c>
      <c r="C18" s="16" t="n">
        <f aca="false">IF(C16=0,0,C13*12/C16)</f>
        <v>0.00282931370163221</v>
      </c>
      <c r="D18" s="16" t="n">
        <f aca="false">IF(D16=0,0,D13*12/D16)</f>
        <v>0.0126056018606603</v>
      </c>
      <c r="E18" s="16" t="n">
        <f aca="false">IF(E16=0,0,E13*12/E16)</f>
        <v>0.0486324693745757</v>
      </c>
      <c r="F18" s="16" t="n">
        <f aca="false">IF(F16=0,0,F13*12/F16)</f>
        <v>0.0533673016010258</v>
      </c>
      <c r="G18" s="16" t="n">
        <f aca="false">IF(G16=0,0,G13*12/G16)</f>
        <v>0.0627174290243601</v>
      </c>
      <c r="H18" s="16" t="n">
        <f aca="false">IF(H16=0,0,H13*12/H16)</f>
        <v>0.0760280479895256</v>
      </c>
      <c r="I18" s="16" t="n">
        <f aca="false">IF(I16=0,0,I13*12/I16)</f>
        <v>0.0866249013611872</v>
      </c>
      <c r="J18" s="16" t="n">
        <f aca="false">IF(J16=0,0,J13*12/J16)</f>
        <v>0.0948873060821114</v>
      </c>
      <c r="K18" s="16" t="n">
        <f aca="false">IF(K16=0,0,K13*12/K16)</f>
        <v>0.102697285941621</v>
      </c>
      <c r="L18" s="16" t="n">
        <f aca="false">IF(L16=0,0,L13*12/L16)</f>
        <v>0.149411966637851</v>
      </c>
      <c r="M18" s="16" t="n">
        <f aca="false">IF(M16=0,0,M13*12/M16)</f>
        <v>0.156156504231009</v>
      </c>
      <c r="N18" s="16" t="n">
        <f aca="false">IF(N16=0,0,N13*12/N16)</f>
        <v>0.162375625974157</v>
      </c>
      <c r="O18" s="16" t="n">
        <f aca="false">IF(O16=0,0,O13*12/O16)</f>
        <v>0.170624940036226</v>
      </c>
      <c r="P18" s="16" t="n">
        <f aca="false">IF(P16=0,0,P13*12/P16)</f>
        <v>0.178455435898243</v>
      </c>
      <c r="Q18" s="2"/>
      <c r="R18" s="6" t="s">
        <v>81</v>
      </c>
    </row>
    <row r="19" customFormat="false" ht="15" hidden="false" customHeight="false" outlineLevel="0" collapsed="false">
      <c r="A19" s="4" t="s">
        <v>82</v>
      </c>
      <c r="B19" s="19" t="str">
        <f aca="false">IF(B10=0,"-",IF(B17&gt;=B10,"yes","no - needs a note"))</f>
        <v>yes</v>
      </c>
      <c r="C19" s="19" t="str">
        <f aca="false">IF(C10=0,"-",IF(C17&gt;=C10,"yes","no - needs a note"))</f>
        <v>yes</v>
      </c>
      <c r="D19" s="19" t="str">
        <f aca="false">IF(D10=0,"-",IF(D17&gt;=D10,"yes","no - needs a note"))</f>
        <v>yes</v>
      </c>
      <c r="E19" s="19" t="str">
        <f aca="false">IF(E10=0,"-",IF(E17&gt;=E10,"yes","no - needs a note"))</f>
        <v>yes</v>
      </c>
      <c r="F19" s="19" t="str">
        <f aca="false">IF(F10=0,"-",IF(F17&gt;=F10,"yes","no - needs a note"))</f>
        <v>yes</v>
      </c>
      <c r="G19" s="19" t="str">
        <f aca="false">IF(G10=0,"-",IF(G17&gt;=G10,"yes","no - needs a note"))</f>
        <v>yes</v>
      </c>
      <c r="H19" s="19" t="str">
        <f aca="false">IF(H10=0,"-",IF(H17&gt;=H10,"yes","no - needs a note"))</f>
        <v>yes</v>
      </c>
      <c r="I19" s="19" t="str">
        <f aca="false">IF(I10=0,"-",IF(I17&gt;=I10,"yes","no - needs a note"))</f>
        <v>yes</v>
      </c>
      <c r="J19" s="19" t="str">
        <f aca="false">IF(J10=0,"-",IF(J17&gt;=J10,"yes","no - needs a note"))</f>
        <v>yes</v>
      </c>
      <c r="K19" s="19" t="str">
        <f aca="false">IF(K10=0,"-",IF(K17&gt;=K10,"yes","no - needs a note"))</f>
        <v>yes</v>
      </c>
      <c r="L19" s="19" t="str">
        <f aca="false">IF(L10=0,"-",IF(L17&gt;=L10,"yes","no - needs a note"))</f>
        <v>yes</v>
      </c>
      <c r="M19" s="19" t="str">
        <f aca="false">IF(M10=0,"-",IF(M17&gt;=M10,"yes","no - needs a note"))</f>
        <v>yes</v>
      </c>
      <c r="N19" s="19" t="str">
        <f aca="false">IF(N10=0,"-",IF(N17&gt;=N10,"yes","no - needs a note"))</f>
        <v>yes</v>
      </c>
      <c r="O19" s="19" t="str">
        <f aca="false">IF(O10=0,"-",IF(O17&gt;=O10,"yes","no - needs a note"))</f>
        <v>yes</v>
      </c>
      <c r="P19" s="19" t="str">
        <f aca="false">IF(P10=0,"-",IF(P17&gt;=P10,"yes","no - needs a note"))</f>
        <v>yes</v>
      </c>
      <c r="Q19" s="2"/>
      <c r="R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row>
    <row r="21" customFormat="false" ht="15" hidden="false" customHeight="false" outlineLevel="0" collapsed="false">
      <c r="A21" s="17" t="s">
        <v>83</v>
      </c>
      <c r="B21" s="18"/>
      <c r="C21" s="18"/>
      <c r="D21" s="18"/>
      <c r="E21" s="18"/>
      <c r="F21" s="18"/>
      <c r="G21" s="18"/>
      <c r="H21" s="18"/>
      <c r="I21" s="18"/>
      <c r="J21" s="18"/>
      <c r="K21" s="18"/>
      <c r="L21" s="18"/>
      <c r="M21" s="18"/>
      <c r="N21" s="18"/>
      <c r="O21" s="18"/>
      <c r="P21" s="18"/>
      <c r="Q21" s="2"/>
      <c r="R21" s="18"/>
    </row>
    <row r="22" customFormat="false" ht="27.75" hidden="false" customHeight="true" outlineLevel="0" collapsed="false">
      <c r="A22" s="22" t="s">
        <v>84</v>
      </c>
      <c r="B22" s="22"/>
      <c r="C22" s="22"/>
      <c r="D22" s="22"/>
      <c r="E22" s="22"/>
      <c r="F22" s="22"/>
      <c r="G22" s="22"/>
      <c r="H22" s="22"/>
      <c r="I22" s="22"/>
      <c r="J22" s="22"/>
      <c r="K22" s="22"/>
      <c r="L22" s="22"/>
      <c r="M22" s="22"/>
      <c r="N22" s="22"/>
      <c r="O22" s="22"/>
      <c r="P22" s="22"/>
      <c r="Q22" s="22"/>
      <c r="R22" s="22"/>
    </row>
    <row r="23" customFormat="false" ht="27.75" hidden="false" customHeight="true" outlineLevel="0" collapsed="false">
      <c r="A23" s="22" t="s">
        <v>85</v>
      </c>
      <c r="B23" s="22"/>
      <c r="C23" s="22"/>
      <c r="D23" s="22"/>
      <c r="E23" s="22"/>
      <c r="F23" s="22"/>
      <c r="G23" s="22"/>
      <c r="H23" s="22"/>
      <c r="I23" s="22"/>
      <c r="J23" s="22"/>
      <c r="K23" s="22"/>
      <c r="L23" s="22"/>
      <c r="M23" s="22"/>
      <c r="N23" s="22"/>
      <c r="O23" s="22"/>
      <c r="P23" s="22"/>
      <c r="Q23" s="22"/>
      <c r="R23" s="22"/>
    </row>
    <row r="24" customFormat="false" ht="27.75" hidden="false" customHeight="true" outlineLevel="0" collapsed="false">
      <c r="A24" s="22" t="s">
        <v>86</v>
      </c>
      <c r="B24" s="22"/>
      <c r="C24" s="22"/>
      <c r="D24" s="22"/>
      <c r="E24" s="22"/>
      <c r="F24" s="22"/>
      <c r="G24" s="22"/>
      <c r="H24" s="22"/>
      <c r="I24" s="22"/>
      <c r="J24" s="22"/>
      <c r="K24" s="22"/>
      <c r="L24" s="22"/>
      <c r="M24" s="22"/>
      <c r="N24" s="22"/>
      <c r="O24" s="22"/>
      <c r="P24" s="22"/>
      <c r="Q24" s="22"/>
      <c r="R24" s="22"/>
    </row>
    <row r="25" customFormat="false" ht="27.75" hidden="false" customHeight="true" outlineLevel="0" collapsed="false">
      <c r="A25" s="22" t="s">
        <v>87</v>
      </c>
      <c r="B25" s="22"/>
      <c r="C25" s="22"/>
      <c r="D25" s="22"/>
      <c r="E25" s="22"/>
      <c r="F25" s="22"/>
      <c r="G25" s="22"/>
      <c r="H25" s="22"/>
      <c r="I25" s="22"/>
      <c r="J25" s="22"/>
      <c r="K25" s="22"/>
      <c r="L25" s="22"/>
      <c r="M25" s="22"/>
      <c r="N25" s="22"/>
      <c r="O25" s="22"/>
      <c r="P25" s="22"/>
      <c r="Q25" s="22"/>
      <c r="R25" s="22"/>
    </row>
    <row r="26" customFormat="false" ht="27.75" hidden="false" customHeight="true" outlineLevel="0" collapsed="false">
      <c r="A26" s="22" t="s">
        <v>88</v>
      </c>
      <c r="B26" s="22"/>
      <c r="C26" s="22"/>
      <c r="D26" s="22"/>
      <c r="E26" s="22"/>
      <c r="F26" s="22"/>
      <c r="G26" s="22"/>
      <c r="H26" s="22"/>
      <c r="I26" s="22"/>
      <c r="J26" s="22"/>
      <c r="K26" s="22"/>
      <c r="L26" s="22"/>
      <c r="M26" s="22"/>
      <c r="N26" s="22"/>
      <c r="O26" s="22"/>
      <c r="P26" s="22"/>
      <c r="Q26" s="22"/>
      <c r="R26" s="22"/>
    </row>
    <row r="27" customFormat="false" ht="27.75" hidden="false" customHeight="true" outlineLevel="0" collapsed="false">
      <c r="A27" s="22" t="s">
        <v>89</v>
      </c>
      <c r="B27" s="22"/>
      <c r="C27" s="22"/>
      <c r="D27" s="22"/>
      <c r="E27" s="22"/>
      <c r="F27" s="22"/>
      <c r="G27" s="22"/>
      <c r="H27" s="22"/>
      <c r="I27" s="22"/>
      <c r="J27" s="22"/>
      <c r="K27" s="22"/>
      <c r="L27" s="22"/>
      <c r="M27" s="22"/>
      <c r="N27" s="22"/>
      <c r="O27" s="22"/>
      <c r="P27" s="22"/>
      <c r="Q27" s="22"/>
      <c r="R27" s="22"/>
    </row>
  </sheetData>
  <sheetProtection sheet="true" password="ef11" formatCells="false" formatColumns="false" formatRows="false"/>
  <mergeCells count="6">
    <mergeCell ref="A22:R22"/>
    <mergeCell ref="A23:R23"/>
    <mergeCell ref="A24:R24"/>
    <mergeCell ref="A25:R25"/>
    <mergeCell ref="A26:R26"/>
    <mergeCell ref="A27:R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4"/>
    <col collapsed="false" customWidth="true" hidden="false" outlineLevel="0" max="3" min="3" style="0" width="60"/>
  </cols>
  <sheetData>
    <row r="1" customFormat="false" ht="17.35" hidden="false" customHeight="false" outlineLevel="0" collapsed="false">
      <c r="A1" s="1" t="s">
        <v>90</v>
      </c>
      <c r="B1" s="2"/>
      <c r="C1" s="2"/>
    </row>
    <row r="2" customFormat="false" ht="15" hidden="false" customHeight="false" outlineLevel="0" collapsed="false">
      <c r="A2" s="3" t="s">
        <v>91</v>
      </c>
      <c r="B2" s="2"/>
      <c r="C2" s="2"/>
    </row>
    <row r="3" customFormat="false" ht="15" hidden="false" customHeight="false" outlineLevel="0" collapsed="false">
      <c r="A3" s="2"/>
      <c r="B3" s="2"/>
      <c r="C3" s="2"/>
    </row>
    <row r="4" customFormat="false" ht="15" hidden="false" customHeight="false" outlineLevel="0" collapsed="false">
      <c r="A4" s="17" t="s">
        <v>92</v>
      </c>
      <c r="B4" s="18"/>
      <c r="C4" s="18"/>
    </row>
    <row r="5" customFormat="false" ht="15" hidden="false" customHeight="false" outlineLevel="0" collapsed="false">
      <c r="A5" s="23" t="s">
        <v>93</v>
      </c>
      <c r="B5" s="23" t="s">
        <v>94</v>
      </c>
      <c r="C5" s="23" t="s">
        <v>95</v>
      </c>
    </row>
    <row r="6" customFormat="false" ht="39" hidden="false" customHeight="true" outlineLevel="0" collapsed="false">
      <c r="A6" s="24" t="s">
        <v>96</v>
      </c>
      <c r="B6" s="25" t="s">
        <v>97</v>
      </c>
      <c r="C6" s="25" t="s">
        <v>98</v>
      </c>
    </row>
    <row r="7" customFormat="false" ht="39" hidden="false" customHeight="true" outlineLevel="0" collapsed="false">
      <c r="A7" s="24" t="s">
        <v>99</v>
      </c>
      <c r="B7" s="25" t="s">
        <v>100</v>
      </c>
      <c r="C7" s="25" t="s">
        <v>101</v>
      </c>
    </row>
    <row r="8" customFormat="false" ht="39" hidden="false" customHeight="true" outlineLevel="0" collapsed="false">
      <c r="A8" s="24" t="s">
        <v>102</v>
      </c>
      <c r="B8" s="25" t="s">
        <v>103</v>
      </c>
      <c r="C8" s="25" t="s">
        <v>104</v>
      </c>
    </row>
    <row r="9" customFormat="false" ht="39" hidden="false" customHeight="true" outlineLevel="0" collapsed="false">
      <c r="A9" s="24" t="s">
        <v>105</v>
      </c>
      <c r="B9" s="25" t="s">
        <v>106</v>
      </c>
      <c r="C9" s="25" t="s">
        <v>107</v>
      </c>
    </row>
    <row r="10" customFormat="false" ht="25.5" hidden="false" customHeight="true" outlineLevel="0" collapsed="false">
      <c r="A10" s="24" t="s">
        <v>108</v>
      </c>
      <c r="B10" s="25" t="s">
        <v>109</v>
      </c>
      <c r="C10" s="25" t="s">
        <v>110</v>
      </c>
    </row>
    <row r="11" customFormat="false" ht="15" hidden="false" customHeight="false" outlineLevel="0" collapsed="false">
      <c r="A11" s="2"/>
      <c r="B11" s="2"/>
      <c r="C11" s="2"/>
    </row>
    <row r="12" customFormat="false" ht="15" hidden="false" customHeight="false" outlineLevel="0" collapsed="false">
      <c r="A12" s="26" t="s">
        <v>111</v>
      </c>
      <c r="B12" s="27"/>
      <c r="C12" s="27"/>
    </row>
    <row r="13" customFormat="false" ht="15" hidden="false" customHeight="false" outlineLevel="0" collapsed="false">
      <c r="A13" s="23" t="s">
        <v>93</v>
      </c>
      <c r="B13" s="23" t="s">
        <v>94</v>
      </c>
      <c r="C13" s="23" t="s">
        <v>95</v>
      </c>
    </row>
    <row r="14" customFormat="false" ht="51.75" hidden="false" customHeight="true" outlineLevel="0" collapsed="false">
      <c r="A14" s="24" t="s">
        <v>112</v>
      </c>
      <c r="B14" s="25" t="s">
        <v>113</v>
      </c>
      <c r="C14" s="25" t="s">
        <v>114</v>
      </c>
    </row>
    <row r="15" customFormat="false" ht="51.75" hidden="false" customHeight="true" outlineLevel="0" collapsed="false">
      <c r="A15" s="24" t="s">
        <v>115</v>
      </c>
      <c r="B15" s="25" t="s">
        <v>116</v>
      </c>
      <c r="C15" s="25" t="s">
        <v>117</v>
      </c>
    </row>
    <row r="16" customFormat="false" ht="51.75" hidden="false" customHeight="true" outlineLevel="0" collapsed="false">
      <c r="A16" s="24" t="s">
        <v>118</v>
      </c>
      <c r="B16" s="25" t="s">
        <v>119</v>
      </c>
      <c r="C16" s="25" t="s">
        <v>120</v>
      </c>
    </row>
    <row r="17" customFormat="false" ht="51.75" hidden="false" customHeight="true" outlineLevel="0" collapsed="false">
      <c r="A17" s="24" t="s">
        <v>121</v>
      </c>
      <c r="B17" s="25" t="s">
        <v>122</v>
      </c>
      <c r="C17" s="25" t="s">
        <v>123</v>
      </c>
    </row>
    <row r="18" customFormat="false" ht="25.5" hidden="false" customHeight="true" outlineLevel="0" collapsed="false">
      <c r="A18" s="24" t="s">
        <v>124</v>
      </c>
      <c r="B18" s="25" t="s">
        <v>125</v>
      </c>
      <c r="C18" s="25" t="s">
        <v>126</v>
      </c>
    </row>
    <row r="19" customFormat="false" ht="15" hidden="false" customHeight="false" outlineLevel="0" collapsed="false">
      <c r="A19" s="2"/>
      <c r="B19" s="2"/>
      <c r="C19" s="2"/>
    </row>
    <row r="20" customFormat="false" ht="15" hidden="false" customHeight="false" outlineLevel="0" collapsed="false">
      <c r="A20" s="28" t="s">
        <v>127</v>
      </c>
      <c r="B20" s="29"/>
      <c r="C20" s="29"/>
    </row>
    <row r="21" customFormat="false" ht="15" hidden="false" customHeight="false" outlineLevel="0" collapsed="false">
      <c r="A21" s="23" t="s">
        <v>128</v>
      </c>
      <c r="B21" s="23" t="s">
        <v>129</v>
      </c>
      <c r="C21" s="23" t="s">
        <v>130</v>
      </c>
    </row>
    <row r="22" customFormat="false" ht="39" hidden="false" customHeight="true" outlineLevel="0" collapsed="false">
      <c r="A22" s="24" t="s">
        <v>131</v>
      </c>
      <c r="B22" s="25" t="s">
        <v>132</v>
      </c>
      <c r="C22" s="25" t="s">
        <v>133</v>
      </c>
    </row>
    <row r="23" customFormat="false" ht="64.5" hidden="false" customHeight="true" outlineLevel="0" collapsed="false">
      <c r="A23" s="24" t="s">
        <v>134</v>
      </c>
      <c r="B23" s="25" t="s">
        <v>135</v>
      </c>
      <c r="C23" s="25" t="s">
        <v>136</v>
      </c>
    </row>
    <row r="24" customFormat="false" ht="39" hidden="false" customHeight="true" outlineLevel="0" collapsed="false">
      <c r="A24" s="24" t="s">
        <v>137</v>
      </c>
      <c r="B24" s="25" t="s">
        <v>138</v>
      </c>
      <c r="C24" s="25" t="s">
        <v>139</v>
      </c>
    </row>
    <row r="25" customFormat="false" ht="64.5" hidden="false" customHeight="true" outlineLevel="0" collapsed="false">
      <c r="A25" s="24" t="s">
        <v>140</v>
      </c>
      <c r="B25" s="25" t="s">
        <v>141</v>
      </c>
      <c r="C25" s="25" t="s">
        <v>142</v>
      </c>
    </row>
    <row r="26" customFormat="false" ht="51.75" hidden="false" customHeight="true" outlineLevel="0" collapsed="false">
      <c r="A26" s="24" t="s">
        <v>143</v>
      </c>
      <c r="B26" s="25" t="s">
        <v>144</v>
      </c>
      <c r="C26" s="25" t="s">
        <v>145</v>
      </c>
    </row>
    <row r="27" customFormat="false" ht="51.75" hidden="false" customHeight="true" outlineLevel="0" collapsed="false">
      <c r="A27" s="24" t="s">
        <v>146</v>
      </c>
      <c r="B27" s="25" t="s">
        <v>147</v>
      </c>
      <c r="C27" s="25" t="s">
        <v>148</v>
      </c>
    </row>
    <row r="28" customFormat="false" ht="15" hidden="false" customHeight="false" outlineLevel="0" collapsed="false">
      <c r="A28" s="2"/>
      <c r="B28" s="2"/>
      <c r="C28" s="2"/>
    </row>
    <row r="29" customFormat="false" ht="15" hidden="false" customHeight="false" outlineLevel="0" collapsed="false">
      <c r="A29" s="28" t="s">
        <v>149</v>
      </c>
      <c r="B29" s="29"/>
      <c r="C29" s="29"/>
    </row>
    <row r="30" customFormat="false" ht="12.75" hidden="false" customHeight="true" outlineLevel="0" collapsed="false">
      <c r="A30" s="2" t="s">
        <v>150</v>
      </c>
      <c r="B30" s="30" t="s">
        <v>151</v>
      </c>
      <c r="C30" s="30"/>
    </row>
    <row r="31" customFormat="false" ht="25.5" hidden="false" customHeight="true" outlineLevel="0" collapsed="false">
      <c r="A31" s="2" t="s">
        <v>150</v>
      </c>
      <c r="B31" s="30" t="s">
        <v>152</v>
      </c>
      <c r="C31" s="30"/>
    </row>
    <row r="32" customFormat="false" ht="12.75" hidden="false" customHeight="true" outlineLevel="0" collapsed="false">
      <c r="A32" s="2" t="s">
        <v>150</v>
      </c>
      <c r="B32" s="30" t="s">
        <v>153</v>
      </c>
      <c r="C32" s="30"/>
    </row>
    <row r="33" customFormat="false" ht="12.75" hidden="false" customHeight="true" outlineLevel="0" collapsed="false">
      <c r="A33" s="2" t="s">
        <v>150</v>
      </c>
      <c r="B33" s="30" t="s">
        <v>154</v>
      </c>
      <c r="C33" s="30"/>
    </row>
    <row r="34" customFormat="false" ht="12.75" hidden="false" customHeight="true" outlineLevel="0" collapsed="false">
      <c r="A34" s="2" t="s">
        <v>150</v>
      </c>
      <c r="B34" s="30" t="s">
        <v>155</v>
      </c>
      <c r="C34" s="30"/>
    </row>
    <row r="35" customFormat="false" ht="25.5" hidden="false" customHeight="true" outlineLevel="0" collapsed="false">
      <c r="A35" s="2" t="s">
        <v>150</v>
      </c>
      <c r="B35" s="30" t="s">
        <v>156</v>
      </c>
      <c r="C35" s="30"/>
    </row>
    <row r="36" customFormat="false" ht="15" hidden="false" customHeight="false" outlineLevel="0" collapsed="false">
      <c r="A36" s="2"/>
      <c r="B36" s="2"/>
      <c r="C36" s="2"/>
    </row>
    <row r="37" customFormat="false" ht="25.5" hidden="false" customHeight="true" outlineLevel="0" collapsed="false">
      <c r="A37" s="31" t="s">
        <v>157</v>
      </c>
      <c r="B37" s="31"/>
      <c r="C37" s="31"/>
    </row>
    <row r="38" customFormat="false" ht="15" hidden="false" customHeight="false" outlineLevel="0" collapsed="false">
      <c r="A38" s="2"/>
      <c r="B38" s="2"/>
      <c r="C38" s="2"/>
    </row>
    <row r="39" customFormat="false" ht="39" hidden="false" customHeight="true" outlineLevel="0" collapsed="false">
      <c r="A39" s="31" t="s">
        <v>158</v>
      </c>
      <c r="B39" s="31"/>
      <c r="C39" s="31"/>
    </row>
    <row r="40" customFormat="false" ht="15" hidden="false" customHeight="false" outlineLevel="0" collapsed="false">
      <c r="A40" s="2"/>
      <c r="B40" s="2"/>
      <c r="C40" s="2"/>
    </row>
    <row r="41" customFormat="false" ht="25.5" hidden="false" customHeight="true" outlineLevel="0" collapsed="false">
      <c r="A41" s="31" t="s">
        <v>159</v>
      </c>
      <c r="B41" s="31"/>
      <c r="C41" s="31"/>
    </row>
  </sheetData>
  <sheetProtection sheet="true" password="ef11" formatCells="false" formatColumns="false" formatRows="false"/>
  <mergeCells count="9">
    <mergeCell ref="B30:C30"/>
    <mergeCell ref="B31:C31"/>
    <mergeCell ref="B32:C32"/>
    <mergeCell ref="B33:C33"/>
    <mergeCell ref="B34:C34"/>
    <mergeCell ref="B35:C35"/>
    <mergeCell ref="A37:C37"/>
    <mergeCell ref="A39:C39"/>
    <mergeCell ref="A41:C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2026-09-17T04:50:45Z</dcterms:created>
  <dc:creator>openpyxl</dc:creator>
  <dc:description/>
  <dc:language>en-US</dc:language>
  <cp:lastModifiedBy/>
  <dcterms:modified xsi:type="dcterms:W3CDTF">2026-09-17T04:50:45Z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