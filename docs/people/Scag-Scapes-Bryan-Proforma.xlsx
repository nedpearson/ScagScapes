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<sst xmlns="http://schemas.openxmlformats.org/spreadsheetml/2006/main" count="170" uniqueCount="156">
  <si>
    <t xml:space="preserve">Bryan Rogers - Chief Operating Officer</t>
  </si>
  <si>
    <t xml:space="preserve">Blue = change it. This file is yours alone - it contains nobody else's compensation, and nobody else's file contains yours.</t>
  </si>
  <si>
    <t xml:space="preserve">Base salary while revenue is under $1.5M ($/yr)</t>
  </si>
  <si>
    <t xml:space="preserve">BLS May 2025, Baton Rouge metro, General and Operations Managers: median $107,140, mean $136,200, 25th percentile $74,000. This sits just under the local median because that is what a two-crew company can carry.</t>
  </si>
  <si>
    <t xml:space="preserve">Base salary at $1.5M to $3M revenue ($/yr)</t>
  </si>
  <si>
    <t xml:space="preserve">Roughly the Baton Rouge metro mean for the occupation.</t>
  </si>
  <si>
    <t xml:space="preserve">Base salary at $3M to $6M revenue ($/yr)</t>
  </si>
  <si>
    <t xml:space="preserve">Between the local mean and the 75th percentile ($167,430). At this size it is a genuinely different job.</t>
  </si>
  <si>
    <t xml:space="preserve">Base salary above $6M revenue ($/yr)</t>
  </si>
  <si>
    <t xml:space="preserve">Approaching the CFMA survey band for a construction Operations Manager, though those respondents are much larger contractors.</t>
  </si>
  <si>
    <t xml:space="preserve">Target bonus (% of base)</t>
  </si>
  <si>
    <t xml:space="preserve">20-30% is the norm for a COO. Tied to gross profit per crew-day, job margin, callbacks and crews staffed - deliberately NOT to net profit, which the owner controls through discretionary spending.</t>
  </si>
  <si>
    <t xml:space="preserve">Share of the bonus actually earned (1.0 = full target)</t>
  </si>
  <si>
    <t xml:space="preserve">Drop it to 0.7 or 0.5 to see a year where the targets are missed.</t>
  </si>
  <si>
    <t xml:space="preserve">Equity granted (% of the company)</t>
  </si>
  <si>
    <t xml:space="preserve">Recruited COOs in venture-backed companies get 1-5%, but that band does not fit a cash-flow business with no exit in sight. An operating partner who sells a business to join sits at 10-25%. This is judgment, not survey data, and it is the most negotiable number here.</t>
  </si>
  <si>
    <t xml:space="preserve">Years to fully vest</t>
  </si>
  <si>
    <t xml:space="preserve">Four years with a one-year cliff. Nothing at all vests if you leave inside twelve months.</t>
  </si>
  <si>
    <t xml:space="preserve">The hurdle - what the company is worth the day you start ($)</t>
  </si>
  <si>
    <t xml:space="preserve">Written as a profits interest, so it pays on growth from your start date and nothing on what Charlie already built. That is what makes it untaxed at grant.</t>
  </si>
  <si>
    <t xml:space="preserve">What the bar pays you today ($/yr)</t>
  </si>
  <si>
    <t xml:space="preserve">BizBuySell 2025: median seller's discretionary earnings for a bar was $128,375 on $800,000 of revenue - pre-tax and before debt service. REPLACE THIS WITH YOUR REAL NUMBER. The whole comparison turns on it.</t>
  </si>
  <si>
    <t xml:space="preserve">What you earn, year by year</t>
  </si>
  <si>
    <t xml:space="preserve">Every figure is a formula off your own inputs and the locked company snapshot.</t>
  </si>
  <si>
    <t xml:space="preserve">Year</t>
  </si>
  <si>
    <t xml:space="preserve">Notes</t>
  </si>
  <si>
    <t xml:space="preserve">Company revenue</t>
  </si>
  <si>
    <t xml:space="preserve">Base salary (steps with the size of the company)</t>
  </si>
  <si>
    <t xml:space="preserve">The raise happens when the business gets there - and you are the person most able to make it get there.</t>
  </si>
  <si>
    <t xml:space="preserve">Bonus earned</t>
  </si>
  <si>
    <t xml:space="preserve">TOTAL CASH TO YOU</t>
  </si>
  <si>
    <t xml:space="preserve">Less the operations manager you replace</t>
  </si>
  <si>
    <t xml:space="preserve">The plan always intended to hire an operations manager once it hit three crews. You replace that hire, so your real cost to the business is lower than your package.</t>
  </si>
  <si>
    <t xml:space="preserve">NET COST OF YOU TO THE BUSINESS</t>
  </si>
  <si>
    <t xml:space="preserve">EQUITY - EARNED OVER TIME, NOT GIVEN ON DAY ONE</t>
  </si>
  <si>
    <t xml:space="preserve">Vested share of the grant</t>
  </si>
  <si>
    <t xml:space="preserve">One-year cliff, then a quarter a year. Unvested equity is forfeited on departure; vested equity is bought at the formula price on the Buyout tab.</t>
  </si>
  <si>
    <t xml:space="preserve">Equity you have actually earned (%)</t>
  </si>
  <si>
    <t xml:space="preserve">What the whole company is worth</t>
  </si>
  <si>
    <t xml:space="preserve">Value created since you joined</t>
  </si>
  <si>
    <t xml:space="preserve">WHAT YOUR STAKE IS WORTH</t>
  </si>
  <si>
    <t xml:space="preserve">AGAINST WHAT YOU ALREADY HAVE - THE ACTUAL DECISION</t>
  </si>
  <si>
    <t xml:space="preserve">What the bar pays you</t>
  </si>
  <si>
    <t xml:space="preserve">Grown at inflation. Replace the input with your real number.</t>
  </si>
  <si>
    <t xml:space="preserve">Cash difference that year</t>
  </si>
  <si>
    <t xml:space="preserve">Negative early. That is the honest shape of this - you take a pay cut to buy equity in something bigger.</t>
  </si>
  <si>
    <t xml:space="preserve">Cumulative cash difference</t>
  </si>
  <si>
    <t xml:space="preserve">CASH DIFFERENCE PLUS EQUITY EARNED</t>
  </si>
  <si>
    <t xml:space="preserve">The year this turns positive is the year the move has paid for itself. The bar's sale proceeds sit on top - that money is yours either way.</t>
  </si>
  <si>
    <t xml:space="preserve">Are you ahead yet?</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</si>
  <si>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</si>
  <si>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</si>
  <si>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</si>
  <si>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</si>
  <si>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</si>
  <si>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</si>
  <si>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</si>
  <si>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</si>
  <si>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</si>
  <si>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</si>
  <si>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Bryan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</si>
  <si>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</si>
  <si>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</si>
  <si>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</si>
  <si>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</si>
  <si>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</si>
  <si>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</si>
  <si>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 Only the VESTED portion is ever bought - that is what the vesting column above is for.</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</si>
  <si>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</si>
  <si>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</si>
  <si>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</si>
  <si>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</si>
  <si>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</si>
  <si>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</si>
  <si>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</si>
  <si>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</si>
  <si>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</si>
  <si>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</si>
  <si>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</si>
  <si>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</si>
  <si>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</si>
  <si>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</si>
  <si>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</si>
  <si>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</si>
  <si>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</si>
  <si>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</si>
  <si>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</si>
  <si>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</si>
  <si>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BRYAN OWES THE COMPANY</t>
  </si>
  <si>
    <t xml:space="preserve">The obligation</t>
  </si>
  <si>
    <t xml:space="preserve">What it actually means</t>
  </si>
  <si>
    <t xml:space="preserve">How we know it is being met</t>
  </si>
  <si>
    <t xml:space="preserve">Run the field</t>
  </si>
  <si>
    <t xml:space="preserve">Everything after a job is sold: scheduling, dispatch, crews, quality, equipment, purchasing. If it happens on a job site, it is yours.</t>
  </si>
  <si>
    <t xml:space="preserve">Weekly operating review. The measure is the baseline set in your first 90 days, improved - not an industry benchmark, because none exists for this work.</t>
  </si>
  <si>
    <t xml:space="preserve">Safety, and the competent-person programme</t>
  </si>
  <si>
    <t xml:space="preserve">OSHA 29 CFR 1926 Subpart P requires a designated competent person with authority to pull crews out of a trench. Build the programme, own the training records, own the daily inspections.</t>
  </si>
  <si>
    <t xml:space="preserve">Designations current, records kept, inspections logged. This one is a legal obligation, not a preference.</t>
  </si>
  <si>
    <t xml:space="preserve">Job costing</t>
  </si>
  <si>
    <t xml:space="preserve">Every finished job costed against its estimate - labour hours, machine hours, fuel, materials, dump fees - every week.</t>
  </si>
  <si>
    <t xml:space="preserve">A weekly job-cost report. Contractors do not fail because they cannot dig; they fail because they bid wrong and find out too late.</t>
  </si>
  <si>
    <t xml:space="preserve">Keep the crews</t>
  </si>
  <si>
    <t xml:space="preserve">Hire, train and retain foremen and laborers. Turnover is the most expensive line item that never appears on a P&amp;L.</t>
  </si>
  <si>
    <t xml:space="preserve">Turnover tracked against the baseline. Construction runs about 4.0% monthly separations against 3.6% for private industry overall.</t>
  </si>
  <si>
    <t xml:space="preserve">Full time and undivided</t>
  </si>
  <si>
    <t xml:space="preserve">This is the job, not one of the jobs. If the bar has not sold, it is being run by somebody else.</t>
  </si>
  <si>
    <t xml:space="preserve">Agreed in writing before the start date, including what happens if the bar takes longer to sell than expected.</t>
  </si>
  <si>
    <t xml:space="preserve">WHAT THE COMPANY OWES BRYAN</t>
  </si>
  <si>
    <t xml:space="preserve">Do not overrule you in front of a crew</t>
  </si>
  <si>
    <t xml:space="preserve">The single most common way this arrangement fails. If Charlie reverses a decision in front of the men, the crew learns who really decides, and every instruction afterwards routes around you. Disagreements happen away from the crew, every time.</t>
  </si>
  <si>
    <t xml:space="preserve">A standing rule, agreed out loud, with the right to call it out when it happens. This one belongs in writing more than anything else on this page.</t>
  </si>
  <si>
    <t xml:space="preserve">Written decision rights</t>
  </si>
  <si>
    <t xml:space="preserve">Your spending limit, your hiring authority, the discount floor below which pricing comes back to Charlie. Written once, at the start, so disagreements are procedural rather than personal.</t>
  </si>
  <si>
    <t xml:space="preserve">A one-page authority schedule, signed. Reviewed annually.</t>
  </si>
  <si>
    <t xml:space="preserve">Pay and equity on schedule</t>
  </si>
  <si>
    <t xml:space="preserve">Salary on the same day each month. The bonus calculated and paid within 90 days of year end. The equity granted when agreed, papered by an attorney, with the hurdle valued contemporaneously.</t>
  </si>
  <si>
    <t xml:space="preserve">Late or undocumented equity is a Step 2 event immediately. A promise of equity that is never papered is not equity.</t>
  </si>
  <si>
    <t xml:space="preserve">Let go of the work</t>
  </si>
  <si>
    <t xml:space="preserve">Charlie has done every one of these jobs himself for years and the instinct to take them back is muscle memory, not malice. Delegation has to be real, and it has to survive the first time you do something differently than he would.</t>
  </si>
  <si>
    <t xml:space="preserve">Reviewed every quarter: what has actually transferred, and what has quietly come back.</t>
  </si>
  <si>
    <t xml:space="preserve">Tell you the truth about money</t>
  </si>
  <si>
    <t xml:space="preserve">Full access to the numbers you are held accountable for. Nobody can be measured on a figure they are not allowed to see.</t>
  </si>
  <si>
    <t xml:space="preserve">Read access to job costing and the monthly P&amp;L from day one.</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</si>
  <si>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</si>
  <si>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</si>
  <si>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</si>
  <si>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</si>
  <si>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</si>
  <si>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</si>
  <si>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</si>
  <si>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</si>
  <si>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</si>
  <si>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</si>
  <si>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</si>
  <si>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</si>
  <si>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</si>
  <si>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</si>
  <si>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</si>
  <si>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</si>
  <si>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</si>
  <si>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</si>
  <si>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</si>
  <si>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</si>
  <si>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</si>
  <si>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</si>
  <si>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</si>
  <si>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</si>
  <si>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</si>
  <si>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A wilful safety violation, or falsifying a safety or inspection record. In trench work this is the one that can kill somebody.</t>
  </si>
  <si>
    <t xml:space="preserve">Working against the company: competing, or soliciting its customers or crews for somebody else.</t>
  </si>
  <si>
    <t xml:space="preserve">A criminal act that materially damages the business or its reputation.</t>
  </si>
  <si>
    <t xml:space="preserve">Complete and sustained abandonment of the role.</t>
  </si>
  <si>
    <t xml:space="preserve">Nothing else. A bad quarter, a wrong call, a clash with Charlie, or growth that did not arrive are NOT cause. They are Step 5, on good terms, at the formula price.</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</si>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</sst>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8" fillId="2" borderId="0" xfId="0" applyFont="tru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top" textRotation="0" wrapText="true" indent="0" shrinkToFit="false"/>
      <protection locked="true" hidden="false"/>
    </xf>
    <xf numFmtId="166" fontId="8" fillId="2" borderId="0" xfId="0" applyFont="true" applyBorder="false" applyAlignment="true" applyProtection="true">
      <alignment horizontal="general" vertical="bottom" textRotation="0" wrapText="false" indent="0" shrinkToFit="false"/>
      <protection locked="false" hidden="false"/>
    </xf>
    <xf numFmtId="167" fontId="8" fillId="2"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3" borderId="0" xfId="0" applyFont="true" applyBorder="false" applyAlignment="true" applyProtection="true">
      <alignment horizontal="center"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11" fillId="6" borderId="0" xfId="0" applyFont="true" applyBorder="false" applyAlignment="true" applyProtection="true">
      <alignment horizontal="general" vertical="bottom"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5"/>
    <col collapsed="false" customWidth="true" hidden="false" outlineLevel="0" max="3" min="3" style="1" width="86"/>
  </cols>
  <sheetData>
    <row r="1" customFormat="false" ht="17.35" hidden="false" customHeight="false" outlineLevel="0" collapsed="false">
      <c r="A1" s="2" t="s">
        <v>0</v>
      </c>
      <c r="B1" s="3"/>
      <c r="C1" s="3"/>
    </row>
    <row r="2" customFormat="false" ht="15" hidden="false" customHeight="false" outlineLevel="0" collapsed="false">
      <c r="A2" s="4" t="s">
        <v>1</v>
      </c>
      <c r="B2" s="3"/>
      <c r="C2" s="3"/>
    </row>
    <row r="3" customFormat="false" ht="15" hidden="false" customHeight="false" outlineLevel="0" collapsed="false">
      <c r="A3" s="3"/>
      <c r="B3" s="3"/>
      <c r="C3" s="3"/>
    </row>
    <row r="4" customFormat="false" ht="39" hidden="false" customHeight="true" outlineLevel="0" collapsed="false">
      <c r="A4" s="5" t="s">
        <v>2</v>
      </c>
      <c r="B4" s="6" t="n">
        <v>95000</v>
      </c>
      <c r="C4" s="7" t="s">
        <v>3</v>
      </c>
    </row>
    <row r="5" customFormat="false" ht="12.75" hidden="false" customHeight="true" outlineLevel="0" collapsed="false">
      <c r="A5" s="5" t="s">
        <v>4</v>
      </c>
      <c r="B5" s="6" t="n">
        <v>120000</v>
      </c>
      <c r="C5" s="7" t="s">
        <v>5</v>
      </c>
    </row>
    <row r="6" customFormat="false" ht="25.5" hidden="false" customHeight="true" outlineLevel="0" collapsed="false">
      <c r="A6" s="5" t="s">
        <v>6</v>
      </c>
      <c r="B6" s="6" t="n">
        <v>155000</v>
      </c>
      <c r="C6" s="7" t="s">
        <v>7</v>
      </c>
    </row>
    <row r="7" customFormat="false" ht="25.5" hidden="false" customHeight="true" outlineLevel="0" collapsed="false">
      <c r="A7" s="5" t="s">
        <v>8</v>
      </c>
      <c r="B7" s="6" t="n">
        <v>185000</v>
      </c>
      <c r="C7" s="7" t="s">
        <v>9</v>
      </c>
    </row>
    <row r="8" customFormat="false" ht="39" hidden="false" customHeight="true" outlineLevel="0" collapsed="false">
      <c r="A8" s="5" t="s">
        <v>10</v>
      </c>
      <c r="B8" s="8" t="n">
        <v>0.22</v>
      </c>
      <c r="C8" s="7" t="s">
        <v>11</v>
      </c>
    </row>
    <row r="9" customFormat="false" ht="12.75" hidden="false" customHeight="true" outlineLevel="0" collapsed="false">
      <c r="A9" s="5" t="s">
        <v>12</v>
      </c>
      <c r="B9" s="6" t="n">
        <v>1</v>
      </c>
      <c r="C9" s="7" t="s">
        <v>13</v>
      </c>
    </row>
    <row r="10" customFormat="false" ht="51.75" hidden="false" customHeight="true" outlineLevel="0" collapsed="false">
      <c r="A10" s="5" t="s">
        <v>14</v>
      </c>
      <c r="B10" s="8" t="n">
        <v>0.12</v>
      </c>
      <c r="C10" s="7" t="s">
        <v>15</v>
      </c>
    </row>
    <row r="11" customFormat="false" ht="25.5" hidden="false" customHeight="true" outlineLevel="0" collapsed="false">
      <c r="A11" s="5" t="s">
        <v>16</v>
      </c>
      <c r="B11" s="9" t="n">
        <v>4</v>
      </c>
      <c r="C11" s="7" t="s">
        <v>17</v>
      </c>
    </row>
    <row r="12" customFormat="false" ht="25.5" hidden="false" customHeight="true" outlineLevel="0" collapsed="false">
      <c r="A12" s="5" t="s">
        <v>18</v>
      </c>
      <c r="B12" s="6" t="n">
        <v>722514.4</v>
      </c>
      <c r="C12" s="7" t="s">
        <v>19</v>
      </c>
    </row>
    <row r="13" customFormat="false" ht="39" hidden="false" customHeight="true" outlineLevel="0" collapsed="false">
      <c r="A13" s="5" t="s">
        <v>20</v>
      </c>
      <c r="B13" s="6" t="n">
        <v>128375</v>
      </c>
      <c r="C13" s="7" t="s">
        <v>21</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62"/>
  </cols>
  <sheetData>
    <row r="1" customFormat="false" ht="17.35" hidden="false" customHeight="false" outlineLevel="0" collapsed="false">
      <c r="A1" s="2" t="s">
        <v>22</v>
      </c>
      <c r="B1" s="3"/>
      <c r="C1" s="3"/>
      <c r="D1" s="3"/>
      <c r="E1" s="3"/>
      <c r="F1" s="3"/>
      <c r="G1" s="3"/>
      <c r="H1" s="3"/>
      <c r="I1" s="3"/>
      <c r="J1" s="3"/>
      <c r="K1" s="3"/>
      <c r="L1" s="3"/>
      <c r="M1" s="3"/>
      <c r="N1" s="3"/>
      <c r="O1" s="3"/>
      <c r="P1" s="3"/>
      <c r="Q1" s="3"/>
      <c r="R1" s="3"/>
    </row>
    <row r="2" customFormat="false" ht="15" hidden="false" customHeight="false" outlineLevel="0" collapsed="false">
      <c r="A2" s="4" t="s">
        <v>23</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3"/>
      <c r="B4" s="3"/>
      <c r="C4" s="3"/>
      <c r="D4" s="3"/>
      <c r="E4" s="3"/>
      <c r="F4" s="3"/>
      <c r="G4" s="3"/>
      <c r="H4" s="3"/>
      <c r="I4" s="3"/>
      <c r="J4" s="3"/>
      <c r="K4" s="3"/>
      <c r="L4" s="3"/>
      <c r="M4" s="3"/>
      <c r="N4" s="3"/>
      <c r="O4" s="3"/>
      <c r="P4" s="3"/>
      <c r="Q4" s="3"/>
      <c r="R4" s="3"/>
    </row>
    <row r="5" customFormat="false" ht="15" hidden="false" customHeight="false" outlineLevel="0" collapsed="false">
      <c r="A5" s="10" t="s">
        <v>24</v>
      </c>
      <c r="B5" s="11" t="n">
        <v>1</v>
      </c>
      <c r="C5" s="11" t="n">
        <v>2</v>
      </c>
      <c r="D5" s="11" t="n">
        <v>3</v>
      </c>
      <c r="E5" s="11" t="n">
        <v>4</v>
      </c>
      <c r="F5" s="11" t="n">
        <v>5</v>
      </c>
      <c r="G5" s="11" t="n">
        <v>6</v>
      </c>
      <c r="H5" s="11" t="n">
        <v>7</v>
      </c>
      <c r="I5" s="11" t="n">
        <v>8</v>
      </c>
      <c r="J5" s="11" t="n">
        <v>9</v>
      </c>
      <c r="K5" s="11" t="n">
        <v>10</v>
      </c>
      <c r="L5" s="11" t="n">
        <v>11</v>
      </c>
      <c r="M5" s="11" t="n">
        <v>12</v>
      </c>
      <c r="N5" s="11" t="n">
        <v>13</v>
      </c>
      <c r="O5" s="11" t="n">
        <v>14</v>
      </c>
      <c r="P5" s="11" t="n">
        <v>15</v>
      </c>
      <c r="Q5" s="3"/>
      <c r="R5" s="10" t="s">
        <v>25</v>
      </c>
    </row>
    <row r="6" customFormat="false" ht="15" hidden="false" customHeight="false" outlineLevel="0" collapsed="false">
      <c r="A6" s="10" t="s">
        <v>26</v>
      </c>
      <c r="B6" s="12" t="n">
        <v>1107883.476</v>
      </c>
      <c r="C6" s="12" t="n">
        <v>1130224.27392</v>
      </c>
      <c r="D6" s="12" t="n">
        <v>1470581.13731659</v>
      </c>
      <c r="E6" s="12" t="n">
        <v>2128361.5241759</v>
      </c>
      <c r="F6" s="12" t="n">
        <v>2531696.60117519</v>
      </c>
      <c r="G6" s="12" t="n">
        <v>2960567.60023987</v>
      </c>
      <c r="H6" s="12" t="n">
        <v>3415973.30476096</v>
      </c>
      <c r="I6" s="12" t="n">
        <v>3898958.3702101</v>
      </c>
      <c r="J6" s="12" t="n">
        <v>4410614.70976327</v>
      </c>
      <c r="K6" s="12" t="n">
        <v>4952082.94628947</v>
      </c>
      <c r="L6" s="12" t="n">
        <v>5524553.93215493</v>
      </c>
      <c r="M6" s="12" t="n">
        <v>6129270.33838766</v>
      </c>
      <c r="N6" s="12" t="n">
        <v>6767528.314843</v>
      </c>
      <c r="O6" s="12" t="n">
        <v>7045784.99129078</v>
      </c>
      <c r="P6" s="12" t="n">
        <v>7328447.27269707</v>
      </c>
      <c r="Q6" s="3"/>
      <c r="R6" s="3"/>
    </row>
    <row r="7" customFormat="false" ht="22.35" hidden="false" customHeight="false" outlineLevel="0" collapsed="false">
      <c r="A7" s="5" t="s">
        <v>27</v>
      </c>
      <c r="B7" s="13" t="n">
        <f aca="false">IF(B6&gt;=6000000,'Your numbers'!$B$7,IF(B6&gt;=3000000,'Your numbers'!$B$6,IF(B6&gt;=1500000,'Your numbers'!$B$5,'Your numbers'!$B$4)))</f>
        <v>95000</v>
      </c>
      <c r="C7" s="13" t="n">
        <f aca="false">IF(C6&gt;=6000000,'Your numbers'!$B$7,IF(C6&gt;=3000000,'Your numbers'!$B$6,IF(C6&gt;=1500000,'Your numbers'!$B$5,'Your numbers'!$B$4)))</f>
        <v>95000</v>
      </c>
      <c r="D7" s="13" t="n">
        <f aca="false">IF(D6&gt;=6000000,'Your numbers'!$B$7,IF(D6&gt;=3000000,'Your numbers'!$B$6,IF(D6&gt;=1500000,'Your numbers'!$B$5,'Your numbers'!$B$4)))</f>
        <v>95000</v>
      </c>
      <c r="E7" s="13" t="n">
        <f aca="false">IF(E6&gt;=6000000,'Your numbers'!$B$7,IF(E6&gt;=3000000,'Your numbers'!$B$6,IF(E6&gt;=1500000,'Your numbers'!$B$5,'Your numbers'!$B$4)))</f>
        <v>120000</v>
      </c>
      <c r="F7" s="13" t="n">
        <f aca="false">IF(F6&gt;=6000000,'Your numbers'!$B$7,IF(F6&gt;=3000000,'Your numbers'!$B$6,IF(F6&gt;=1500000,'Your numbers'!$B$5,'Your numbers'!$B$4)))</f>
        <v>120000</v>
      </c>
      <c r="G7" s="13" t="n">
        <f aca="false">IF(G6&gt;=6000000,'Your numbers'!$B$7,IF(G6&gt;=3000000,'Your numbers'!$B$6,IF(G6&gt;=1500000,'Your numbers'!$B$5,'Your numbers'!$B$4)))</f>
        <v>120000</v>
      </c>
      <c r="H7" s="13" t="n">
        <f aca="false">IF(H6&gt;=6000000,'Your numbers'!$B$7,IF(H6&gt;=3000000,'Your numbers'!$B$6,IF(H6&gt;=1500000,'Your numbers'!$B$5,'Your numbers'!$B$4)))</f>
        <v>155000</v>
      </c>
      <c r="I7" s="13" t="n">
        <f aca="false">IF(I6&gt;=6000000,'Your numbers'!$B$7,IF(I6&gt;=3000000,'Your numbers'!$B$6,IF(I6&gt;=1500000,'Your numbers'!$B$5,'Your numbers'!$B$4)))</f>
        <v>155000</v>
      </c>
      <c r="J7" s="13" t="n">
        <f aca="false">IF(J6&gt;=6000000,'Your numbers'!$B$7,IF(J6&gt;=3000000,'Your numbers'!$B$6,IF(J6&gt;=1500000,'Your numbers'!$B$5,'Your numbers'!$B$4)))</f>
        <v>155000</v>
      </c>
      <c r="K7" s="13" t="n">
        <f aca="false">IF(K6&gt;=6000000,'Your numbers'!$B$7,IF(K6&gt;=3000000,'Your numbers'!$B$6,IF(K6&gt;=1500000,'Your numbers'!$B$5,'Your numbers'!$B$4)))</f>
        <v>155000</v>
      </c>
      <c r="L7" s="13" t="n">
        <f aca="false">IF(L6&gt;=6000000,'Your numbers'!$B$7,IF(L6&gt;=3000000,'Your numbers'!$B$6,IF(L6&gt;=1500000,'Your numbers'!$B$5,'Your numbers'!$B$4)))</f>
        <v>155000</v>
      </c>
      <c r="M7" s="13" t="n">
        <f aca="false">IF(M6&gt;=6000000,'Your numbers'!$B$7,IF(M6&gt;=3000000,'Your numbers'!$B$6,IF(M6&gt;=1500000,'Your numbers'!$B$5,'Your numbers'!$B$4)))</f>
        <v>185000</v>
      </c>
      <c r="N7" s="13" t="n">
        <f aca="false">IF(N6&gt;=6000000,'Your numbers'!$B$7,IF(N6&gt;=3000000,'Your numbers'!$B$6,IF(N6&gt;=1500000,'Your numbers'!$B$5,'Your numbers'!$B$4)))</f>
        <v>185000</v>
      </c>
      <c r="O7" s="13" t="n">
        <f aca="false">IF(O6&gt;=6000000,'Your numbers'!$B$7,IF(O6&gt;=3000000,'Your numbers'!$B$6,IF(O6&gt;=1500000,'Your numbers'!$B$5,'Your numbers'!$B$4)))</f>
        <v>185000</v>
      </c>
      <c r="P7" s="13" t="n">
        <f aca="false">IF(P6&gt;=6000000,'Your numbers'!$B$7,IF(P6&gt;=3000000,'Your numbers'!$B$6,IF(P6&gt;=1500000,'Your numbers'!$B$5,'Your numbers'!$B$4)))</f>
        <v>185000</v>
      </c>
      <c r="Q7" s="3"/>
      <c r="R7" s="7" t="s">
        <v>28</v>
      </c>
    </row>
    <row r="8" customFormat="false" ht="15" hidden="false" customHeight="false" outlineLevel="0" collapsed="false">
      <c r="A8" s="5" t="s">
        <v>29</v>
      </c>
      <c r="B8" s="13" t="n">
        <f aca="false">B7*'Your numbers'!$B$8*'Your numbers'!$B$9</f>
        <v>20900</v>
      </c>
      <c r="C8" s="13" t="n">
        <f aca="false">C7*'Your numbers'!$B$8*'Your numbers'!$B$9</f>
        <v>20900</v>
      </c>
      <c r="D8" s="13" t="n">
        <f aca="false">D7*'Your numbers'!$B$8*'Your numbers'!$B$9</f>
        <v>20900</v>
      </c>
      <c r="E8" s="13" t="n">
        <f aca="false">E7*'Your numbers'!$B$8*'Your numbers'!$B$9</f>
        <v>26400</v>
      </c>
      <c r="F8" s="13" t="n">
        <f aca="false">F7*'Your numbers'!$B$8*'Your numbers'!$B$9</f>
        <v>26400</v>
      </c>
      <c r="G8" s="13" t="n">
        <f aca="false">G7*'Your numbers'!$B$8*'Your numbers'!$B$9</f>
        <v>26400</v>
      </c>
      <c r="H8" s="13" t="n">
        <f aca="false">H7*'Your numbers'!$B$8*'Your numbers'!$B$9</f>
        <v>34100</v>
      </c>
      <c r="I8" s="13" t="n">
        <f aca="false">I7*'Your numbers'!$B$8*'Your numbers'!$B$9</f>
        <v>34100</v>
      </c>
      <c r="J8" s="13" t="n">
        <f aca="false">J7*'Your numbers'!$B$8*'Your numbers'!$B$9</f>
        <v>34100</v>
      </c>
      <c r="K8" s="13" t="n">
        <f aca="false">K7*'Your numbers'!$B$8*'Your numbers'!$B$9</f>
        <v>34100</v>
      </c>
      <c r="L8" s="13" t="n">
        <f aca="false">L7*'Your numbers'!$B$8*'Your numbers'!$B$9</f>
        <v>34100</v>
      </c>
      <c r="M8" s="13" t="n">
        <f aca="false">M7*'Your numbers'!$B$8*'Your numbers'!$B$9</f>
        <v>40700</v>
      </c>
      <c r="N8" s="13" t="n">
        <f aca="false">N7*'Your numbers'!$B$8*'Your numbers'!$B$9</f>
        <v>40700</v>
      </c>
      <c r="O8" s="13" t="n">
        <f aca="false">O7*'Your numbers'!$B$8*'Your numbers'!$B$9</f>
        <v>40700</v>
      </c>
      <c r="P8" s="13" t="n">
        <f aca="false">P7*'Your numbers'!$B$8*'Your numbers'!$B$9</f>
        <v>40700</v>
      </c>
      <c r="Q8" s="3"/>
      <c r="R8" s="3"/>
    </row>
    <row r="9" customFormat="false" ht="15" hidden="false" customHeight="false" outlineLevel="0" collapsed="false">
      <c r="A9" s="10" t="s">
        <v>30</v>
      </c>
      <c r="B9" s="12" t="n">
        <f aca="false">B7+B8</f>
        <v>115900</v>
      </c>
      <c r="C9" s="12" t="n">
        <f aca="false">C7+C8</f>
        <v>115900</v>
      </c>
      <c r="D9" s="12" t="n">
        <f aca="false">D7+D8</f>
        <v>115900</v>
      </c>
      <c r="E9" s="12" t="n">
        <f aca="false">E7+E8</f>
        <v>146400</v>
      </c>
      <c r="F9" s="12" t="n">
        <f aca="false">F7+F8</f>
        <v>146400</v>
      </c>
      <c r="G9" s="12" t="n">
        <f aca="false">G7+G8</f>
        <v>146400</v>
      </c>
      <c r="H9" s="12" t="n">
        <f aca="false">H7+H8</f>
        <v>189100</v>
      </c>
      <c r="I9" s="12" t="n">
        <f aca="false">I7+I8</f>
        <v>189100</v>
      </c>
      <c r="J9" s="12" t="n">
        <f aca="false">J7+J8</f>
        <v>189100</v>
      </c>
      <c r="K9" s="12" t="n">
        <f aca="false">K7+K8</f>
        <v>189100</v>
      </c>
      <c r="L9" s="12" t="n">
        <f aca="false">L7+L8</f>
        <v>189100</v>
      </c>
      <c r="M9" s="12" t="n">
        <f aca="false">M7+M8</f>
        <v>225700</v>
      </c>
      <c r="N9" s="12" t="n">
        <f aca="false">N7+N8</f>
        <v>225700</v>
      </c>
      <c r="O9" s="12" t="n">
        <f aca="false">O7+O8</f>
        <v>225700</v>
      </c>
      <c r="P9" s="12" t="n">
        <f aca="false">P7+P8</f>
        <v>225700</v>
      </c>
      <c r="Q9" s="3"/>
      <c r="R9" s="3"/>
    </row>
    <row r="10" customFormat="false" ht="22.35" hidden="false" customHeight="false" outlineLevel="0" collapsed="false">
      <c r="A10" s="5" t="s">
        <v>31</v>
      </c>
      <c r="B10" s="13" t="n">
        <v>0</v>
      </c>
      <c r="C10" s="13" t="n">
        <v>0</v>
      </c>
      <c r="D10" s="13" t="n">
        <v>0</v>
      </c>
      <c r="E10" s="13" t="n">
        <v>79827.687</v>
      </c>
      <c r="F10" s="13" t="n">
        <v>82621.656045</v>
      </c>
      <c r="G10" s="13" t="n">
        <v>85513.414006575</v>
      </c>
      <c r="H10" s="13" t="n">
        <v>88506.3834968051</v>
      </c>
      <c r="I10" s="13" t="n">
        <v>91604.1069191933</v>
      </c>
      <c r="J10" s="13" t="n">
        <v>94810.250661365</v>
      </c>
      <c r="K10" s="13" t="n">
        <v>98128.6094345128</v>
      </c>
      <c r="L10" s="13" t="n">
        <v>101563.110764721</v>
      </c>
      <c r="M10" s="13" t="n">
        <v>105117.819641486</v>
      </c>
      <c r="N10" s="13" t="n">
        <v>108796.943328938</v>
      </c>
      <c r="O10" s="13" t="n">
        <v>112604.836345451</v>
      </c>
      <c r="P10" s="13" t="n">
        <v>116546.005617542</v>
      </c>
      <c r="Q10" s="3"/>
      <c r="R10" s="7" t="s">
        <v>32</v>
      </c>
    </row>
    <row r="11" customFormat="false" ht="15" hidden="false" customHeight="false" outlineLevel="0" collapsed="false">
      <c r="A11" s="10" t="s">
        <v>33</v>
      </c>
      <c r="B11" s="12" t="n">
        <f aca="false">B9-B10</f>
        <v>115900</v>
      </c>
      <c r="C11" s="12" t="n">
        <f aca="false">C9-C10</f>
        <v>115900</v>
      </c>
      <c r="D11" s="12" t="n">
        <f aca="false">D9-D10</f>
        <v>115900</v>
      </c>
      <c r="E11" s="12" t="n">
        <f aca="false">E9-E10</f>
        <v>66572.313</v>
      </c>
      <c r="F11" s="12" t="n">
        <f aca="false">F9-F10</f>
        <v>63778.343955</v>
      </c>
      <c r="G11" s="12" t="n">
        <f aca="false">G9-G10</f>
        <v>60886.585993425</v>
      </c>
      <c r="H11" s="12" t="n">
        <f aca="false">H9-H10</f>
        <v>100593.616503195</v>
      </c>
      <c r="I11" s="12" t="n">
        <f aca="false">I9-I10</f>
        <v>97495.8930808067</v>
      </c>
      <c r="J11" s="12" t="n">
        <f aca="false">J9-J10</f>
        <v>94289.749338635</v>
      </c>
      <c r="K11" s="12" t="n">
        <f aca="false">K9-K10</f>
        <v>90971.3905654872</v>
      </c>
      <c r="L11" s="12" t="n">
        <f aca="false">L9-L10</f>
        <v>87536.889235279</v>
      </c>
      <c r="M11" s="12" t="n">
        <f aca="false">M9-M10</f>
        <v>120582.180358514</v>
      </c>
      <c r="N11" s="12" t="n">
        <f aca="false">N9-N10</f>
        <v>116903.056671062</v>
      </c>
      <c r="O11" s="12" t="n">
        <f aca="false">O9-O10</f>
        <v>113095.163654549</v>
      </c>
      <c r="P11" s="12" t="n">
        <f aca="false">P9-P10</f>
        <v>109153.994382458</v>
      </c>
      <c r="Q11" s="3"/>
      <c r="R11" s="3"/>
    </row>
    <row r="12" customFormat="false" ht="15" hidden="false" customHeight="false" outlineLevel="0" collapsed="false">
      <c r="A12" s="14" t="s">
        <v>34</v>
      </c>
      <c r="B12" s="15"/>
      <c r="C12" s="15"/>
      <c r="D12" s="15"/>
      <c r="E12" s="15"/>
      <c r="F12" s="15"/>
      <c r="G12" s="15"/>
      <c r="H12" s="15"/>
      <c r="I12" s="15"/>
      <c r="J12" s="15"/>
      <c r="K12" s="15"/>
      <c r="L12" s="15"/>
      <c r="M12" s="15"/>
      <c r="N12" s="15"/>
      <c r="O12" s="15"/>
      <c r="P12" s="15"/>
      <c r="Q12" s="3"/>
      <c r="R12" s="15"/>
    </row>
    <row r="13" customFormat="false" ht="22.35" hidden="false" customHeight="false" outlineLevel="0" collapsed="false">
      <c r="A13" s="5" t="s">
        <v>35</v>
      </c>
      <c r="B13" s="16" t="n">
        <f aca="false">MIN(1,MAX(0,1/'Your numbers'!$B$11))</f>
        <v>0.25</v>
      </c>
      <c r="C13" s="16" t="n">
        <f aca="false">MIN(1,MAX(0,2/'Your numbers'!$B$11))</f>
        <v>0.5</v>
      </c>
      <c r="D13" s="16" t="n">
        <f aca="false">MIN(1,MAX(0,3/'Your numbers'!$B$11))</f>
        <v>0.75</v>
      </c>
      <c r="E13" s="16" t="n">
        <f aca="false">MIN(1,MAX(0,4/'Your numbers'!$B$11))</f>
        <v>1</v>
      </c>
      <c r="F13" s="16" t="n">
        <f aca="false">MIN(1,MAX(0,5/'Your numbers'!$B$11))</f>
        <v>1</v>
      </c>
      <c r="G13" s="16" t="n">
        <f aca="false">MIN(1,MAX(0,6/'Your numbers'!$B$11))</f>
        <v>1</v>
      </c>
      <c r="H13" s="16" t="n">
        <f aca="false">MIN(1,MAX(0,7/'Your numbers'!$B$11))</f>
        <v>1</v>
      </c>
      <c r="I13" s="16" t="n">
        <f aca="false">MIN(1,MAX(0,8/'Your numbers'!$B$11))</f>
        <v>1</v>
      </c>
      <c r="J13" s="16" t="n">
        <f aca="false">MIN(1,MAX(0,9/'Your numbers'!$B$11))</f>
        <v>1</v>
      </c>
      <c r="K13" s="16" t="n">
        <f aca="false">MIN(1,MAX(0,10/'Your numbers'!$B$11))</f>
        <v>1</v>
      </c>
      <c r="L13" s="16" t="n">
        <f aca="false">MIN(1,MAX(0,11/'Your numbers'!$B$11))</f>
        <v>1</v>
      </c>
      <c r="M13" s="16" t="n">
        <f aca="false">MIN(1,MAX(0,12/'Your numbers'!$B$11))</f>
        <v>1</v>
      </c>
      <c r="N13" s="16" t="n">
        <f aca="false">MIN(1,MAX(0,13/'Your numbers'!$B$11))</f>
        <v>1</v>
      </c>
      <c r="O13" s="16" t="n">
        <f aca="false">MIN(1,MAX(0,14/'Your numbers'!$B$11))</f>
        <v>1</v>
      </c>
      <c r="P13" s="16" t="n">
        <f aca="false">MIN(1,MAX(0,15/'Your numbers'!$B$11))</f>
        <v>1</v>
      </c>
      <c r="Q13" s="3"/>
      <c r="R13" s="7" t="s">
        <v>36</v>
      </c>
    </row>
    <row r="14" customFormat="false" ht="15" hidden="false" customHeight="false" outlineLevel="0" collapsed="false">
      <c r="A14" s="10" t="s">
        <v>37</v>
      </c>
      <c r="B14" s="17" t="n">
        <f aca="false">B13*'Your numbers'!$B$10</f>
        <v>0.03</v>
      </c>
      <c r="C14" s="17" t="n">
        <f aca="false">C13*'Your numbers'!$B$10</f>
        <v>0.06</v>
      </c>
      <c r="D14" s="17" t="n">
        <f aca="false">D13*'Your numbers'!$B$10</f>
        <v>0.09</v>
      </c>
      <c r="E14" s="17" t="n">
        <f aca="false">E13*'Your numbers'!$B$10</f>
        <v>0.12</v>
      </c>
      <c r="F14" s="17" t="n">
        <f aca="false">F13*'Your numbers'!$B$10</f>
        <v>0.12</v>
      </c>
      <c r="G14" s="17" t="n">
        <f aca="false">G13*'Your numbers'!$B$10</f>
        <v>0.12</v>
      </c>
      <c r="H14" s="17" t="n">
        <f aca="false">H13*'Your numbers'!$B$10</f>
        <v>0.12</v>
      </c>
      <c r="I14" s="17" t="n">
        <f aca="false">I13*'Your numbers'!$B$10</f>
        <v>0.12</v>
      </c>
      <c r="J14" s="17" t="n">
        <f aca="false">J13*'Your numbers'!$B$10</f>
        <v>0.12</v>
      </c>
      <c r="K14" s="17" t="n">
        <f aca="false">K13*'Your numbers'!$B$10</f>
        <v>0.12</v>
      </c>
      <c r="L14" s="17" t="n">
        <f aca="false">L13*'Your numbers'!$B$10</f>
        <v>0.12</v>
      </c>
      <c r="M14" s="17" t="n">
        <f aca="false">M13*'Your numbers'!$B$10</f>
        <v>0.12</v>
      </c>
      <c r="N14" s="17" t="n">
        <f aca="false">N13*'Your numbers'!$B$10</f>
        <v>0.12</v>
      </c>
      <c r="O14" s="17" t="n">
        <f aca="false">O13*'Your numbers'!$B$10</f>
        <v>0.12</v>
      </c>
      <c r="P14" s="17" t="n">
        <f aca="false">P13*'Your numbers'!$B$10</f>
        <v>0.12</v>
      </c>
      <c r="Q14" s="3"/>
      <c r="R14" s="3"/>
    </row>
    <row r="15" customFormat="false" ht="15" hidden="false" customHeight="false" outlineLevel="0" collapsed="false">
      <c r="A15" s="5" t="s">
        <v>38</v>
      </c>
      <c r="B15" s="13" t="n">
        <v>722514.397345807</v>
      </c>
      <c r="C15" s="13" t="n">
        <v>814784.283227823</v>
      </c>
      <c r="D15" s="13" t="n">
        <v>1019423.92033104</v>
      </c>
      <c r="E15" s="13" t="n">
        <v>1867217.68455785</v>
      </c>
      <c r="F15" s="13" t="n">
        <v>1982323.55921217</v>
      </c>
      <c r="G15" s="13" t="n">
        <v>2066998.57190214</v>
      </c>
      <c r="H15" s="13" t="n">
        <v>2784973.43382394</v>
      </c>
      <c r="I15" s="13" t="n">
        <v>3588363.68812422</v>
      </c>
      <c r="J15" s="13" t="n">
        <v>4480151.48996621</v>
      </c>
      <c r="K15" s="13" t="n">
        <v>4863505.48237858</v>
      </c>
      <c r="L15" s="13" t="n">
        <v>7857544.27315891</v>
      </c>
      <c r="M15" s="13" t="n">
        <v>9340457.46435439</v>
      </c>
      <c r="N15" s="13" t="n">
        <v>10942353.2656805</v>
      </c>
      <c r="O15" s="13" t="n">
        <v>11949731.8634761</v>
      </c>
      <c r="P15" s="13" t="n">
        <v>12958190.7073309</v>
      </c>
      <c r="Q15" s="3"/>
      <c r="R15" s="3"/>
    </row>
    <row r="16" customFormat="false" ht="15" hidden="false" customHeight="false" outlineLevel="0" collapsed="false">
      <c r="A16" s="5" t="s">
        <v>39</v>
      </c>
      <c r="B16" s="13" t="n">
        <f aca="false">MAX(0,B15-'Your numbers'!$B$12)</f>
        <v>0</v>
      </c>
      <c r="C16" s="13" t="n">
        <f aca="false">MAX(0,C15-'Your numbers'!$B$12)</f>
        <v>92269.883227823</v>
      </c>
      <c r="D16" s="13" t="n">
        <f aca="false">MAX(0,D15-'Your numbers'!$B$12)</f>
        <v>296909.52033104</v>
      </c>
      <c r="E16" s="13" t="n">
        <f aca="false">MAX(0,E15-'Your numbers'!$B$12)</f>
        <v>1144703.28455785</v>
      </c>
      <c r="F16" s="13" t="n">
        <f aca="false">MAX(0,F15-'Your numbers'!$B$12)</f>
        <v>1259809.15921217</v>
      </c>
      <c r="G16" s="13" t="n">
        <f aca="false">MAX(0,G15-'Your numbers'!$B$12)</f>
        <v>1344484.17190214</v>
      </c>
      <c r="H16" s="13" t="n">
        <f aca="false">MAX(0,H15-'Your numbers'!$B$12)</f>
        <v>2062459.03382394</v>
      </c>
      <c r="I16" s="13" t="n">
        <f aca="false">MAX(0,I15-'Your numbers'!$B$12)</f>
        <v>2865849.28812422</v>
      </c>
      <c r="J16" s="13" t="n">
        <f aca="false">MAX(0,J15-'Your numbers'!$B$12)</f>
        <v>3757637.08996621</v>
      </c>
      <c r="K16" s="13" t="n">
        <f aca="false">MAX(0,K15-'Your numbers'!$B$12)</f>
        <v>4140991.08237858</v>
      </c>
      <c r="L16" s="13" t="n">
        <f aca="false">MAX(0,L15-'Your numbers'!$B$12)</f>
        <v>7135029.87315891</v>
      </c>
      <c r="M16" s="13" t="n">
        <f aca="false">MAX(0,M15-'Your numbers'!$B$12)</f>
        <v>8617943.06435439</v>
      </c>
      <c r="N16" s="13" t="n">
        <f aca="false">MAX(0,N15-'Your numbers'!$B$12)</f>
        <v>10219838.8656805</v>
      </c>
      <c r="O16" s="13" t="n">
        <f aca="false">MAX(0,O15-'Your numbers'!$B$12)</f>
        <v>11227217.4634761</v>
      </c>
      <c r="P16" s="13" t="n">
        <f aca="false">MAX(0,P15-'Your numbers'!$B$12)</f>
        <v>12235676.3073309</v>
      </c>
      <c r="Q16" s="3"/>
      <c r="R16" s="3"/>
    </row>
    <row r="17" customFormat="false" ht="15" hidden="false" customHeight="false" outlineLevel="0" collapsed="false">
      <c r="A17" s="10" t="s">
        <v>40</v>
      </c>
      <c r="B17" s="12" t="n">
        <f aca="false">B14*B16</f>
        <v>0</v>
      </c>
      <c r="C17" s="12" t="n">
        <f aca="false">C14*C16</f>
        <v>5536.19299366938</v>
      </c>
      <c r="D17" s="12" t="n">
        <f aca="false">D14*D16</f>
        <v>26721.8568297936</v>
      </c>
      <c r="E17" s="12" t="n">
        <f aca="false">E14*E16</f>
        <v>137364.394146942</v>
      </c>
      <c r="F17" s="12" t="n">
        <f aca="false">F14*F16</f>
        <v>151177.09910546</v>
      </c>
      <c r="G17" s="12" t="n">
        <f aca="false">G14*G16</f>
        <v>161338.100628257</v>
      </c>
      <c r="H17" s="12" t="n">
        <f aca="false">H14*H16</f>
        <v>247495.084058873</v>
      </c>
      <c r="I17" s="12" t="n">
        <f aca="false">I14*I16</f>
        <v>343901.914574906</v>
      </c>
      <c r="J17" s="12" t="n">
        <f aca="false">J14*J16</f>
        <v>450916.450795945</v>
      </c>
      <c r="K17" s="12" t="n">
        <f aca="false">K14*K16</f>
        <v>496918.92988543</v>
      </c>
      <c r="L17" s="12" t="n">
        <f aca="false">L14*L16</f>
        <v>856203.584779069</v>
      </c>
      <c r="M17" s="12" t="n">
        <f aca="false">M14*M16</f>
        <v>1034153.16772253</v>
      </c>
      <c r="N17" s="12" t="n">
        <f aca="false">N14*N16</f>
        <v>1226380.66388166</v>
      </c>
      <c r="O17" s="12" t="n">
        <f aca="false">O14*O16</f>
        <v>1347266.09561713</v>
      </c>
      <c r="P17" s="12" t="n">
        <f aca="false">P14*P16</f>
        <v>1468281.15687971</v>
      </c>
      <c r="Q17" s="3"/>
      <c r="R17" s="3"/>
    </row>
    <row r="18" customFormat="false" ht="15" hidden="false" customHeight="false" outlineLevel="0" collapsed="false">
      <c r="A18" s="18" t="s">
        <v>41</v>
      </c>
      <c r="B18" s="19"/>
      <c r="C18" s="19"/>
      <c r="D18" s="19"/>
      <c r="E18" s="19"/>
      <c r="F18" s="19"/>
      <c r="G18" s="19"/>
      <c r="H18" s="19"/>
      <c r="I18" s="19"/>
      <c r="J18" s="19"/>
      <c r="K18" s="19"/>
      <c r="L18" s="19"/>
      <c r="M18" s="19"/>
      <c r="N18" s="19"/>
      <c r="O18" s="19"/>
      <c r="P18" s="19"/>
      <c r="Q18" s="3"/>
      <c r="R18" s="19"/>
    </row>
    <row r="19" customFormat="false" ht="15" hidden="false" customHeight="false" outlineLevel="0" collapsed="false">
      <c r="A19" s="5" t="s">
        <v>42</v>
      </c>
      <c r="B19" s="13" t="n">
        <f aca="false">'Your numbers'!$B$13*(1.0275)^0</f>
        <v>128375</v>
      </c>
      <c r="C19" s="13" t="n">
        <f aca="false">'Your numbers'!$B$13*(1.0275)^1</f>
        <v>131905.3125</v>
      </c>
      <c r="D19" s="13" t="n">
        <f aca="false">'Your numbers'!$B$13*(1.0275)^2</f>
        <v>135532.70859375</v>
      </c>
      <c r="E19" s="13" t="n">
        <f aca="false">'Your numbers'!$B$13*(1.0275)^3</f>
        <v>139259.858080078</v>
      </c>
      <c r="F19" s="13" t="n">
        <f aca="false">'Your numbers'!$B$13*(1.0275)^4</f>
        <v>143089.50417728</v>
      </c>
      <c r="G19" s="13" t="n">
        <f aca="false">'Your numbers'!$B$13*(1.0275)^5</f>
        <v>147024.465542156</v>
      </c>
      <c r="H19" s="13" t="n">
        <f aca="false">'Your numbers'!$B$13*(1.0275)^6</f>
        <v>151067.638344565</v>
      </c>
      <c r="I19" s="13" t="n">
        <f aca="false">'Your numbers'!$B$13*(1.0275)^7</f>
        <v>155221.99839904</v>
      </c>
      <c r="J19" s="13" t="n">
        <f aca="false">'Your numbers'!$B$13*(1.0275)^8</f>
        <v>159490.603355014</v>
      </c>
      <c r="K19" s="13" t="n">
        <f aca="false">'Your numbers'!$B$13*(1.0275)^9</f>
        <v>163876.594947277</v>
      </c>
      <c r="L19" s="13" t="n">
        <f aca="false">'Your numbers'!$B$13*(1.0275)^10</f>
        <v>168383.201308327</v>
      </c>
      <c r="M19" s="13" t="n">
        <f aca="false">'Your numbers'!$B$13*(1.0275)^11</f>
        <v>173013.739344306</v>
      </c>
      <c r="N19" s="13" t="n">
        <f aca="false">'Your numbers'!$B$13*(1.0275)^12</f>
        <v>177771.617176274</v>
      </c>
      <c r="O19" s="13" t="n">
        <f aca="false">'Your numbers'!$B$13*(1.0275)^13</f>
        <v>182660.336648622</v>
      </c>
      <c r="P19" s="13" t="n">
        <f aca="false">'Your numbers'!$B$13*(1.0275)^14</f>
        <v>187683.495906459</v>
      </c>
      <c r="Q19" s="3"/>
      <c r="R19" s="7" t="s">
        <v>43</v>
      </c>
    </row>
    <row r="20" customFormat="false" ht="22.35" hidden="false" customHeight="false" outlineLevel="0" collapsed="false">
      <c r="A20" s="10" t="s">
        <v>44</v>
      </c>
      <c r="B20" s="12" t="n">
        <f aca="false">B9-B19</f>
        <v>-12475</v>
      </c>
      <c r="C20" s="12" t="n">
        <f aca="false">C9-C19</f>
        <v>-16005.3125</v>
      </c>
      <c r="D20" s="12" t="n">
        <f aca="false">D9-D19</f>
        <v>-19632.70859375</v>
      </c>
      <c r="E20" s="12" t="n">
        <f aca="false">E9-E19</f>
        <v>7140.14191992185</v>
      </c>
      <c r="F20" s="12" t="n">
        <f aca="false">F9-F19</f>
        <v>3310.49582271971</v>
      </c>
      <c r="G20" s="12" t="n">
        <f aca="false">G9-G19</f>
        <v>-624.465542155551</v>
      </c>
      <c r="H20" s="12" t="n">
        <f aca="false">H9-H19</f>
        <v>38032.3616554352</v>
      </c>
      <c r="I20" s="12" t="n">
        <f aca="false">I9-I19</f>
        <v>33878.0016009596</v>
      </c>
      <c r="J20" s="12" t="n">
        <f aca="false">J9-J19</f>
        <v>29609.396644986</v>
      </c>
      <c r="K20" s="12" t="n">
        <f aca="false">K9-K19</f>
        <v>25223.4050527231</v>
      </c>
      <c r="L20" s="12" t="n">
        <f aca="false">L9-L19</f>
        <v>20716.798691673</v>
      </c>
      <c r="M20" s="12" t="n">
        <f aca="false">M9-M19</f>
        <v>52686.260655694</v>
      </c>
      <c r="N20" s="12" t="n">
        <f aca="false">N9-N19</f>
        <v>47928.3828237256</v>
      </c>
      <c r="O20" s="12" t="n">
        <f aca="false">O9-O19</f>
        <v>43039.663351378</v>
      </c>
      <c r="P20" s="12" t="n">
        <f aca="false">P9-P19</f>
        <v>38016.5040935409</v>
      </c>
      <c r="Q20" s="3"/>
      <c r="R20" s="7" t="s">
        <v>45</v>
      </c>
    </row>
    <row r="21" customFormat="false" ht="15" hidden="false" customHeight="false" outlineLevel="0" collapsed="false">
      <c r="A21" s="10" t="s">
        <v>46</v>
      </c>
      <c r="B21" s="12" t="n">
        <f aca="false">B20</f>
        <v>-12475</v>
      </c>
      <c r="C21" s="12" t="n">
        <f aca="false">B21+C20</f>
        <v>-28480.3125</v>
      </c>
      <c r="D21" s="12" t="n">
        <f aca="false">C21+D20</f>
        <v>-48113.02109375</v>
      </c>
      <c r="E21" s="12" t="n">
        <f aca="false">D21+E20</f>
        <v>-40972.8791738282</v>
      </c>
      <c r="F21" s="12" t="n">
        <f aca="false">E21+F20</f>
        <v>-37662.3833511085</v>
      </c>
      <c r="G21" s="12" t="n">
        <f aca="false">F21+G20</f>
        <v>-38286.848893264</v>
      </c>
      <c r="H21" s="12" t="n">
        <f aca="false">G21+H20</f>
        <v>-254.487237828842</v>
      </c>
      <c r="I21" s="12" t="n">
        <f aca="false">H21+I20</f>
        <v>33623.5143631308</v>
      </c>
      <c r="J21" s="12" t="n">
        <f aca="false">I21+J20</f>
        <v>63232.9110081168</v>
      </c>
      <c r="K21" s="12" t="n">
        <f aca="false">J21+K20</f>
        <v>88456.3160608399</v>
      </c>
      <c r="L21" s="12" t="n">
        <f aca="false">K21+L20</f>
        <v>109173.114752513</v>
      </c>
      <c r="M21" s="12" t="n">
        <f aca="false">L21+M20</f>
        <v>161859.375408207</v>
      </c>
      <c r="N21" s="12" t="n">
        <f aca="false">M21+N20</f>
        <v>209787.758231932</v>
      </c>
      <c r="O21" s="12" t="n">
        <f aca="false">N21+O20</f>
        <v>252827.42158331</v>
      </c>
      <c r="P21" s="12" t="n">
        <f aca="false">O21+P20</f>
        <v>290843.925676851</v>
      </c>
      <c r="Q21" s="3"/>
      <c r="R21" s="3"/>
    </row>
    <row r="22" customFormat="false" ht="22.35" hidden="false" customHeight="false" outlineLevel="0" collapsed="false">
      <c r="A22" s="10" t="s">
        <v>47</v>
      </c>
      <c r="B22" s="12" t="n">
        <f aca="false">B21+B17</f>
        <v>-12475</v>
      </c>
      <c r="C22" s="12" t="n">
        <f aca="false">C21+C17</f>
        <v>-22944.1195063306</v>
      </c>
      <c r="D22" s="12" t="n">
        <f aca="false">D21+D17</f>
        <v>-21391.1642639564</v>
      </c>
      <c r="E22" s="12" t="n">
        <f aca="false">E21+E17</f>
        <v>96391.5149731138</v>
      </c>
      <c r="F22" s="12" t="n">
        <f aca="false">F21+F17</f>
        <v>113514.715754352</v>
      </c>
      <c r="G22" s="12" t="n">
        <f aca="false">G21+G17</f>
        <v>123051.251734993</v>
      </c>
      <c r="H22" s="12" t="n">
        <f aca="false">H21+H17</f>
        <v>247240.596821044</v>
      </c>
      <c r="I22" s="12" t="n">
        <f aca="false">I21+I17</f>
        <v>377525.428938037</v>
      </c>
      <c r="J22" s="12" t="n">
        <f aca="false">J21+J17</f>
        <v>514149.361804062</v>
      </c>
      <c r="K22" s="12" t="n">
        <f aca="false">K21+K17</f>
        <v>585375.24594627</v>
      </c>
      <c r="L22" s="12" t="n">
        <f aca="false">L21+L17</f>
        <v>965376.699531582</v>
      </c>
      <c r="M22" s="12" t="n">
        <f aca="false">M21+M17</f>
        <v>1196012.54313073</v>
      </c>
      <c r="N22" s="12" t="n">
        <f aca="false">N21+N17</f>
        <v>1436168.42211359</v>
      </c>
      <c r="O22" s="12" t="n">
        <f aca="false">O21+O17</f>
        <v>1600093.51720044</v>
      </c>
      <c r="P22" s="12" t="n">
        <f aca="false">P21+P17</f>
        <v>1759125.08255656</v>
      </c>
      <c r="Q22" s="3"/>
      <c r="R22" s="7" t="s">
        <v>48</v>
      </c>
    </row>
    <row r="23" customFormat="false" ht="15" hidden="false" customHeight="false" outlineLevel="0" collapsed="false">
      <c r="A23" s="5" t="s">
        <v>49</v>
      </c>
      <c r="B23" s="20" t="str">
        <f aca="false">IF(B22&gt;0,"AHEAD","behind")</f>
        <v>behind</v>
      </c>
      <c r="C23" s="20" t="str">
        <f aca="false">IF(C22&gt;0,"AHEAD","behind")</f>
        <v>behind</v>
      </c>
      <c r="D23" s="20" t="str">
        <f aca="false">IF(D22&gt;0,"AHEAD","behind")</f>
        <v>behind</v>
      </c>
      <c r="E23" s="20" t="str">
        <f aca="false">IF(E22&gt;0,"AHEAD","behind")</f>
        <v>AHEAD</v>
      </c>
      <c r="F23" s="20" t="str">
        <f aca="false">IF(F22&gt;0,"AHEAD","behind")</f>
        <v>AHEAD</v>
      </c>
      <c r="G23" s="20" t="str">
        <f aca="false">IF(G22&gt;0,"AHEAD","behind")</f>
        <v>AHEAD</v>
      </c>
      <c r="H23" s="20" t="str">
        <f aca="false">IF(H22&gt;0,"AHEAD","behind")</f>
        <v>AHEAD</v>
      </c>
      <c r="I23" s="20" t="str">
        <f aca="false">IF(I22&gt;0,"AHEAD","behind")</f>
        <v>AHEAD</v>
      </c>
      <c r="J23" s="20" t="str">
        <f aca="false">IF(J22&gt;0,"AHEAD","behind")</f>
        <v>AHEAD</v>
      </c>
      <c r="K23" s="20" t="str">
        <f aca="false">IF(K22&gt;0,"AHEAD","behind")</f>
        <v>AHEAD</v>
      </c>
      <c r="L23" s="20" t="str">
        <f aca="false">IF(L22&gt;0,"AHEAD","behind")</f>
        <v>AHEAD</v>
      </c>
      <c r="M23" s="20" t="str">
        <f aca="false">IF(M22&gt;0,"AHEAD","behind")</f>
        <v>AHEAD</v>
      </c>
      <c r="N23" s="20" t="str">
        <f aca="false">IF(N22&gt;0,"AHEAD","behind")</f>
        <v>AHEAD</v>
      </c>
      <c r="O23" s="20" t="str">
        <f aca="false">IF(O22&gt;0,"AHEAD","behind")</f>
        <v>AHEAD</v>
      </c>
      <c r="P23" s="20" t="str">
        <f aca="false">IF(P22&gt;0,"AHEAD","behind")</f>
        <v>AHEAD</v>
      </c>
      <c r="Q23" s="3"/>
      <c r="R23"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62"/>
  </cols>
  <sheetData>
    <row r="1" customFormat="false" ht="17.35" hidden="false" customHeight="false" outlineLevel="0" collapsed="false">
      <c r="A1" s="2" t="s">
        <v>50</v>
      </c>
      <c r="B1" s="3"/>
      <c r="C1" s="3"/>
      <c r="D1" s="3"/>
      <c r="E1" s="3"/>
      <c r="F1" s="3"/>
      <c r="G1" s="3"/>
      <c r="H1" s="3"/>
      <c r="I1" s="3"/>
      <c r="J1" s="3"/>
      <c r="K1" s="3"/>
      <c r="L1" s="3"/>
      <c r="M1" s="3"/>
      <c r="N1" s="3"/>
      <c r="O1" s="3"/>
      <c r="P1" s="3"/>
      <c r="Q1" s="3"/>
      <c r="R1" s="3"/>
    </row>
    <row r="2" customFormat="false" ht="15" hidden="false" customHeight="false" outlineLevel="0" collapsed="false">
      <c r="A2" s="4" t="s">
        <v>51</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21" t="s">
        <v>52</v>
      </c>
      <c r="B4" s="3"/>
      <c r="C4" s="3"/>
      <c r="D4" s="3"/>
      <c r="E4" s="3"/>
      <c r="F4" s="3"/>
      <c r="G4" s="3"/>
      <c r="H4" s="3"/>
      <c r="I4" s="3"/>
      <c r="J4" s="3"/>
      <c r="K4" s="3"/>
      <c r="L4" s="3"/>
      <c r="M4" s="3"/>
      <c r="N4" s="3"/>
      <c r="O4" s="3"/>
      <c r="P4" s="3"/>
      <c r="Q4" s="3"/>
      <c r="R4" s="3"/>
    </row>
    <row r="5" customFormat="false" ht="15" hidden="false" customHeight="false" outlineLevel="0" collapsed="false">
      <c r="A5" s="3"/>
      <c r="B5" s="3"/>
      <c r="C5" s="3"/>
      <c r="D5" s="3"/>
      <c r="E5" s="3"/>
      <c r="F5" s="3"/>
      <c r="G5" s="3"/>
      <c r="H5" s="3"/>
      <c r="I5" s="3"/>
      <c r="J5" s="3"/>
      <c r="K5" s="3"/>
      <c r="L5" s="3"/>
      <c r="M5" s="3"/>
      <c r="N5" s="3"/>
      <c r="O5" s="3"/>
      <c r="P5" s="3"/>
      <c r="Q5" s="3"/>
      <c r="R5" s="3"/>
    </row>
    <row r="6" customFormat="false" ht="15" hidden="false" customHeight="false" outlineLevel="0" collapsed="false">
      <c r="A6" s="10" t="s">
        <v>24</v>
      </c>
      <c r="B6" s="11" t="n">
        <v>1</v>
      </c>
      <c r="C6" s="11" t="n">
        <v>2</v>
      </c>
      <c r="D6" s="11" t="n">
        <v>3</v>
      </c>
      <c r="E6" s="11" t="n">
        <v>4</v>
      </c>
      <c r="F6" s="11" t="n">
        <v>5</v>
      </c>
      <c r="G6" s="11" t="n">
        <v>6</v>
      </c>
      <c r="H6" s="11" t="n">
        <v>7</v>
      </c>
      <c r="I6" s="11" t="n">
        <v>8</v>
      </c>
      <c r="J6" s="11" t="n">
        <v>9</v>
      </c>
      <c r="K6" s="11" t="n">
        <v>10</v>
      </c>
      <c r="L6" s="11" t="n">
        <v>11</v>
      </c>
      <c r="M6" s="11" t="n">
        <v>12</v>
      </c>
      <c r="N6" s="11" t="n">
        <v>13</v>
      </c>
      <c r="O6" s="11" t="n">
        <v>14</v>
      </c>
      <c r="P6" s="11" t="n">
        <v>15</v>
      </c>
      <c r="Q6" s="3"/>
      <c r="R6" s="10" t="s">
        <v>25</v>
      </c>
    </row>
    <row r="7" customFormat="false" ht="15" hidden="false" customHeight="false" outlineLevel="0" collapsed="false">
      <c r="A7" s="10" t="s">
        <v>53</v>
      </c>
      <c r="B7" s="12" t="n">
        <v>1107883.476</v>
      </c>
      <c r="C7" s="12" t="n">
        <v>1130224.27392</v>
      </c>
      <c r="D7" s="12" t="n">
        <v>1470581.13731659</v>
      </c>
      <c r="E7" s="12" t="n">
        <v>2128361.5241759</v>
      </c>
      <c r="F7" s="12" t="n">
        <v>2531696.60117519</v>
      </c>
      <c r="G7" s="12" t="n">
        <v>2960567.60023987</v>
      </c>
      <c r="H7" s="12" t="n">
        <v>3415973.30476096</v>
      </c>
      <c r="I7" s="12" t="n">
        <v>3898958.3702101</v>
      </c>
      <c r="J7" s="12" t="n">
        <v>4410614.70976327</v>
      </c>
      <c r="K7" s="12" t="n">
        <v>4952082.94628947</v>
      </c>
      <c r="L7" s="12" t="n">
        <v>5524553.93215493</v>
      </c>
      <c r="M7" s="12" t="n">
        <v>6129270.33838766</v>
      </c>
      <c r="N7" s="12" t="n">
        <v>6767528.314843</v>
      </c>
      <c r="O7" s="12" t="n">
        <v>7045784.99129078</v>
      </c>
      <c r="P7" s="12" t="n">
        <v>7328447.27269707</v>
      </c>
      <c r="Q7" s="3"/>
      <c r="R7" s="3"/>
    </row>
    <row r="8" customFormat="false" ht="15" hidden="false" customHeight="false" outlineLevel="0" collapsed="false">
      <c r="A8" s="5" t="s">
        <v>54</v>
      </c>
      <c r="B8" s="22" t="n">
        <v>2</v>
      </c>
      <c r="C8" s="22" t="n">
        <v>2</v>
      </c>
      <c r="D8" s="22" t="n">
        <v>2.5</v>
      </c>
      <c r="E8" s="22" t="n">
        <v>3.5</v>
      </c>
      <c r="F8" s="22" t="n">
        <v>4</v>
      </c>
      <c r="G8" s="22" t="n">
        <v>4.5</v>
      </c>
      <c r="H8" s="22" t="n">
        <v>5</v>
      </c>
      <c r="I8" s="22" t="n">
        <v>5.5</v>
      </c>
      <c r="J8" s="22" t="n">
        <v>6</v>
      </c>
      <c r="K8" s="22" t="n">
        <v>6.5</v>
      </c>
      <c r="L8" s="22" t="n">
        <v>7</v>
      </c>
      <c r="M8" s="22" t="n">
        <v>7.5</v>
      </c>
      <c r="N8" s="22" t="n">
        <v>8</v>
      </c>
      <c r="O8" s="22" t="n">
        <v>8</v>
      </c>
      <c r="P8" s="22" t="n">
        <v>8</v>
      </c>
      <c r="Q8" s="3"/>
      <c r="R8" s="3"/>
    </row>
    <row r="9" customFormat="false" ht="15" hidden="false" customHeight="false" outlineLevel="0" collapsed="false">
      <c r="A9" s="5" t="s">
        <v>55</v>
      </c>
      <c r="B9" s="20" t="n">
        <v>9</v>
      </c>
      <c r="C9" s="20" t="n">
        <v>9</v>
      </c>
      <c r="D9" s="20" t="n">
        <v>12</v>
      </c>
      <c r="E9" s="20" t="n">
        <v>16</v>
      </c>
      <c r="F9" s="20" t="n">
        <v>19</v>
      </c>
      <c r="G9" s="20" t="n">
        <v>23</v>
      </c>
      <c r="H9" s="20" t="n">
        <v>25</v>
      </c>
      <c r="I9" s="20" t="n">
        <v>27</v>
      </c>
      <c r="J9" s="20" t="n">
        <v>28</v>
      </c>
      <c r="K9" s="20" t="n">
        <v>32</v>
      </c>
      <c r="L9" s="20" t="n">
        <v>33</v>
      </c>
      <c r="M9" s="20" t="n">
        <v>36</v>
      </c>
      <c r="N9" s="20" t="n">
        <v>37</v>
      </c>
      <c r="O9" s="20" t="n">
        <v>37</v>
      </c>
      <c r="P9" s="20" t="n">
        <v>37</v>
      </c>
      <c r="Q9" s="3"/>
      <c r="R9" s="3"/>
    </row>
    <row r="10" customFormat="false" ht="15" hidden="false" customHeight="false" outlineLevel="0" collapsed="false">
      <c r="A10" s="10" t="s">
        <v>56</v>
      </c>
      <c r="B10" s="12" t="n">
        <v>314146.07309104</v>
      </c>
      <c r="C10" s="12" t="n">
        <v>303726.24221904</v>
      </c>
      <c r="D10" s="12" t="n">
        <v>361218.979335931</v>
      </c>
      <c r="E10" s="12" t="n">
        <v>487332.012318055</v>
      </c>
      <c r="F10" s="12" t="n">
        <v>479969.659557169</v>
      </c>
      <c r="G10" s="12" t="n">
        <v>466088.769207364</v>
      </c>
      <c r="H10" s="12" t="n">
        <v>597197.758851492</v>
      </c>
      <c r="I10" s="12" t="n">
        <v>735647.486330165</v>
      </c>
      <c r="J10" s="12" t="n">
        <v>881486.5874483</v>
      </c>
      <c r="K10" s="12" t="n">
        <v>898428.470548401</v>
      </c>
      <c r="L10" s="12" t="n">
        <v>1062695.91705148</v>
      </c>
      <c r="M10" s="12" t="n">
        <v>1234746.42040954</v>
      </c>
      <c r="N10" s="12" t="n">
        <v>1414609.86275326</v>
      </c>
      <c r="O10" s="12" t="n">
        <v>1480797.94885832</v>
      </c>
      <c r="P10" s="12" t="n">
        <v>1544843.49387317</v>
      </c>
      <c r="Q10" s="3"/>
      <c r="R10" s="7" t="s">
        <v>57</v>
      </c>
    </row>
    <row r="11" customFormat="false" ht="15" hidden="false" customHeight="false" outlineLevel="0" collapsed="false">
      <c r="A11" s="5" t="s">
        <v>58</v>
      </c>
      <c r="B11" s="13" t="n">
        <v>94158.4292364159</v>
      </c>
      <c r="C11" s="13" t="n">
        <v>186848.926124032</v>
      </c>
      <c r="D11" s="13" t="n">
        <v>288686.517858404</v>
      </c>
      <c r="E11" s="13" t="n">
        <v>427119.322785626</v>
      </c>
      <c r="F11" s="13" t="n">
        <v>576457.186608494</v>
      </c>
      <c r="G11" s="13" t="n">
        <v>720242.694291439</v>
      </c>
      <c r="H11" s="13" t="n">
        <v>916471.797832036</v>
      </c>
      <c r="I11" s="13" t="n">
        <v>1168080.7923641</v>
      </c>
      <c r="J11" s="13" t="n">
        <v>1478025.42734342</v>
      </c>
      <c r="K11" s="13" t="n">
        <v>1794746.81556278</v>
      </c>
      <c r="L11" s="13" t="n">
        <v>2177175.18238338</v>
      </c>
      <c r="M11" s="13" t="n">
        <v>2628423.75054719</v>
      </c>
      <c r="N11" s="13" t="n">
        <v>3151617.69564849</v>
      </c>
      <c r="O11" s="13" t="n">
        <v>3715136.87519182</v>
      </c>
      <c r="P11" s="13" t="n">
        <v>4304274.27274109</v>
      </c>
      <c r="Q11" s="3"/>
      <c r="R11" s="3"/>
    </row>
    <row r="12" customFormat="false" ht="32.8" hidden="false" customHeight="false" outlineLevel="0" collapsed="false">
      <c r="A12" s="10" t="s">
        <v>38</v>
      </c>
      <c r="B12" s="12" t="n">
        <v>722514.397345807</v>
      </c>
      <c r="C12" s="12" t="n">
        <v>814784.283227823</v>
      </c>
      <c r="D12" s="12" t="n">
        <v>1019423.92033104</v>
      </c>
      <c r="E12" s="12" t="n">
        <v>1867217.68455785</v>
      </c>
      <c r="F12" s="12" t="n">
        <v>1982323.55921217</v>
      </c>
      <c r="G12" s="12" t="n">
        <v>2066998.57190214</v>
      </c>
      <c r="H12" s="12" t="n">
        <v>2784973.43382394</v>
      </c>
      <c r="I12" s="12" t="n">
        <v>3588363.68812422</v>
      </c>
      <c r="J12" s="12" t="n">
        <v>4480151.48996621</v>
      </c>
      <c r="K12" s="12" t="n">
        <v>4863505.48237858</v>
      </c>
      <c r="L12" s="12" t="n">
        <v>7857544.27315891</v>
      </c>
      <c r="M12" s="12" t="n">
        <v>9340457.46435439</v>
      </c>
      <c r="N12" s="12" t="n">
        <v>10942353.2656805</v>
      </c>
      <c r="O12" s="12" t="n">
        <v>11949731.8634761</v>
      </c>
      <c r="P12" s="12" t="n">
        <v>12958190.7073309</v>
      </c>
      <c r="Q12" s="3"/>
      <c r="R12" s="7" t="s">
        <v>59</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62"/>
  </cols>
  <sheetData>
    <row r="1" customFormat="false" ht="17.35" hidden="false" customHeight="false" outlineLevel="0" collapsed="false">
      <c r="A1" s="2" t="s">
        <v>60</v>
      </c>
      <c r="B1" s="3"/>
      <c r="C1" s="3"/>
      <c r="D1" s="3"/>
      <c r="E1" s="3"/>
      <c r="F1" s="3"/>
      <c r="G1" s="3"/>
      <c r="H1" s="3"/>
      <c r="I1" s="3"/>
      <c r="J1" s="3"/>
      <c r="K1" s="3"/>
      <c r="L1" s="3"/>
      <c r="M1" s="3"/>
      <c r="N1" s="3"/>
      <c r="O1" s="3"/>
      <c r="P1" s="3"/>
      <c r="Q1" s="3"/>
      <c r="R1" s="3"/>
    </row>
    <row r="2" customFormat="false" ht="15" hidden="false" customHeight="false" outlineLevel="0" collapsed="false">
      <c r="A2" s="4" t="s">
        <v>61</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62</v>
      </c>
      <c r="B4" s="8" t="n">
        <v>0.2</v>
      </c>
      <c r="C4" s="3"/>
      <c r="D4" s="21" t="s">
        <v>63</v>
      </c>
      <c r="E4" s="3"/>
      <c r="F4" s="3"/>
      <c r="G4" s="3"/>
      <c r="H4" s="3"/>
      <c r="I4" s="3"/>
      <c r="J4" s="3"/>
      <c r="K4" s="3"/>
      <c r="L4" s="3"/>
      <c r="M4" s="3"/>
      <c r="N4" s="3"/>
      <c r="O4" s="3"/>
      <c r="P4" s="3"/>
      <c r="Q4" s="3"/>
      <c r="R4" s="3"/>
    </row>
    <row r="5" customFormat="false" ht="15" hidden="false" customHeight="false" outlineLevel="0" collapsed="false">
      <c r="A5" s="5" t="s">
        <v>64</v>
      </c>
      <c r="B5" s="8" t="n">
        <v>0.0875</v>
      </c>
      <c r="C5" s="3"/>
      <c r="D5" s="21" t="s">
        <v>65</v>
      </c>
      <c r="E5" s="3"/>
      <c r="F5" s="3"/>
      <c r="G5" s="3"/>
      <c r="H5" s="3"/>
      <c r="I5" s="3"/>
      <c r="J5" s="3"/>
      <c r="K5" s="3"/>
      <c r="L5" s="3"/>
      <c r="M5" s="3"/>
      <c r="N5" s="3"/>
      <c r="O5" s="3"/>
      <c r="P5" s="3"/>
      <c r="Q5" s="3"/>
      <c r="R5" s="3"/>
    </row>
    <row r="6" customFormat="false" ht="15" hidden="false" customHeight="false" outlineLevel="0" collapsed="false">
      <c r="A6" s="3"/>
      <c r="B6" s="3"/>
      <c r="C6" s="3"/>
      <c r="D6" s="3"/>
      <c r="E6" s="3"/>
      <c r="F6" s="3"/>
      <c r="G6" s="3"/>
      <c r="H6" s="3"/>
      <c r="I6" s="3"/>
      <c r="J6" s="3"/>
      <c r="K6" s="3"/>
      <c r="L6" s="3"/>
      <c r="M6" s="3"/>
      <c r="N6" s="3"/>
      <c r="O6" s="3"/>
      <c r="P6" s="3"/>
      <c r="Q6" s="3"/>
      <c r="R6" s="3"/>
    </row>
    <row r="7" customFormat="false" ht="15" hidden="false" customHeight="false" outlineLevel="0" collapsed="false">
      <c r="A7" s="3"/>
      <c r="B7" s="3"/>
      <c r="C7" s="3"/>
      <c r="D7" s="3"/>
      <c r="E7" s="3"/>
      <c r="F7" s="3"/>
      <c r="G7" s="3"/>
      <c r="H7" s="3"/>
      <c r="I7" s="3"/>
      <c r="J7" s="3"/>
      <c r="K7" s="3"/>
      <c r="L7" s="3"/>
      <c r="M7" s="3"/>
      <c r="N7" s="3"/>
      <c r="O7" s="3"/>
      <c r="P7" s="3"/>
      <c r="Q7" s="3"/>
      <c r="R7" s="3"/>
    </row>
    <row r="8" customFormat="false" ht="15" hidden="false" customHeight="false" outlineLevel="0" collapsed="false">
      <c r="A8" s="10" t="s">
        <v>24</v>
      </c>
      <c r="B8" s="11" t="n">
        <v>1</v>
      </c>
      <c r="C8" s="11" t="n">
        <v>2</v>
      </c>
      <c r="D8" s="11" t="n">
        <v>3</v>
      </c>
      <c r="E8" s="11" t="n">
        <v>4</v>
      </c>
      <c r="F8" s="11" t="n">
        <v>5</v>
      </c>
      <c r="G8" s="11" t="n">
        <v>6</v>
      </c>
      <c r="H8" s="11" t="n">
        <v>7</v>
      </c>
      <c r="I8" s="11" t="n">
        <v>8</v>
      </c>
      <c r="J8" s="11" t="n">
        <v>9</v>
      </c>
      <c r="K8" s="11" t="n">
        <v>10</v>
      </c>
      <c r="L8" s="11" t="n">
        <v>11</v>
      </c>
      <c r="M8" s="11" t="n">
        <v>12</v>
      </c>
      <c r="N8" s="11" t="n">
        <v>13</v>
      </c>
      <c r="O8" s="11" t="n">
        <v>14</v>
      </c>
      <c r="P8" s="11" t="n">
        <v>15</v>
      </c>
      <c r="Q8" s="3"/>
      <c r="R8" s="10" t="s">
        <v>25</v>
      </c>
    </row>
    <row r="9" customFormat="false" ht="22.35" hidden="false" customHeight="false" outlineLevel="0" collapsed="false">
      <c r="A9" s="10" t="s">
        <v>66</v>
      </c>
      <c r="B9" s="12" t="n">
        <f aca="false">'Year by year'!B17</f>
        <v>0</v>
      </c>
      <c r="C9" s="12" t="n">
        <f aca="false">'Year by year'!C17</f>
        <v>5536.19299366938</v>
      </c>
      <c r="D9" s="12" t="n">
        <f aca="false">'Year by year'!D17</f>
        <v>26721.8568297936</v>
      </c>
      <c r="E9" s="12" t="n">
        <f aca="false">'Year by year'!E17</f>
        <v>137364.394146942</v>
      </c>
      <c r="F9" s="12" t="n">
        <f aca="false">'Year by year'!F17</f>
        <v>151177.09910546</v>
      </c>
      <c r="G9" s="12" t="n">
        <f aca="false">'Year by year'!G17</f>
        <v>161338.100628257</v>
      </c>
      <c r="H9" s="12" t="n">
        <f aca="false">'Year by year'!H17</f>
        <v>247495.084058873</v>
      </c>
      <c r="I9" s="12" t="n">
        <f aca="false">'Year by year'!I17</f>
        <v>343901.914574906</v>
      </c>
      <c r="J9" s="12" t="n">
        <f aca="false">'Year by year'!J17</f>
        <v>450916.450795945</v>
      </c>
      <c r="K9" s="12" t="n">
        <f aca="false">'Year by year'!K17</f>
        <v>496918.92988543</v>
      </c>
      <c r="L9" s="12" t="n">
        <f aca="false">'Year by year'!L17</f>
        <v>856203.584779069</v>
      </c>
      <c r="M9" s="12" t="n">
        <f aca="false">'Year by year'!M17</f>
        <v>1034153.16772253</v>
      </c>
      <c r="N9" s="12" t="n">
        <f aca="false">'Year by year'!N17</f>
        <v>1226380.66388166</v>
      </c>
      <c r="O9" s="12" t="n">
        <f aca="false">'Year by year'!O17</f>
        <v>1347266.09561713</v>
      </c>
      <c r="P9" s="12" t="n">
        <f aca="false">'Year by year'!P17</f>
        <v>1468281.15687971</v>
      </c>
      <c r="Q9" s="3"/>
      <c r="R9" s="7" t="s">
        <v>67</v>
      </c>
    </row>
    <row r="10" customFormat="false" ht="15" hidden="false" customHeight="false" outlineLevel="0" collapsed="false">
      <c r="A10" s="10" t="s">
        <v>68</v>
      </c>
      <c r="B10" s="12" t="n">
        <f aca="false">B9*(1-$B$4)</f>
        <v>0</v>
      </c>
      <c r="C10" s="12" t="n">
        <f aca="false">C9*(1-$B$4)</f>
        <v>4428.9543949355</v>
      </c>
      <c r="D10" s="12" t="n">
        <f aca="false">D9*(1-$B$4)</f>
        <v>21377.4854638349</v>
      </c>
      <c r="E10" s="12" t="n">
        <f aca="false">E9*(1-$B$4)</f>
        <v>109891.515317554</v>
      </c>
      <c r="F10" s="12" t="n">
        <f aca="false">F9*(1-$B$4)</f>
        <v>120941.679284368</v>
      </c>
      <c r="G10" s="12" t="n">
        <f aca="false">G9*(1-$B$4)</f>
        <v>129070.480502605</v>
      </c>
      <c r="H10" s="12" t="n">
        <f aca="false">H9*(1-$B$4)</f>
        <v>197996.067247098</v>
      </c>
      <c r="I10" s="12" t="n">
        <f aca="false">I9*(1-$B$4)</f>
        <v>275121.531659925</v>
      </c>
      <c r="J10" s="12" t="n">
        <f aca="false">J9*(1-$B$4)</f>
        <v>360733.160636756</v>
      </c>
      <c r="K10" s="12" t="n">
        <f aca="false">K9*(1-$B$4)</f>
        <v>397535.143908344</v>
      </c>
      <c r="L10" s="12" t="n">
        <f aca="false">L9*(1-$B$4)</f>
        <v>684962.867823255</v>
      </c>
      <c r="M10" s="12" t="n">
        <f aca="false">M9*(1-$B$4)</f>
        <v>827322.534178021</v>
      </c>
      <c r="N10" s="12" t="n">
        <f aca="false">N9*(1-$B$4)</f>
        <v>981104.531105328</v>
      </c>
      <c r="O10" s="12" t="n">
        <f aca="false">O9*(1-$B$4)</f>
        <v>1077812.87649371</v>
      </c>
      <c r="P10" s="12" t="n">
        <f aca="false">P9*(1-$B$4)</f>
        <v>1174624.92550377</v>
      </c>
      <c r="Q10" s="3"/>
      <c r="R10" s="3"/>
    </row>
    <row r="11" customFormat="false" ht="15" hidden="false" customHeight="false" outlineLevel="0" collapsed="false">
      <c r="A11" s="5" t="s">
        <v>69</v>
      </c>
      <c r="B11" s="13" t="n">
        <f aca="false">B10</f>
        <v>0</v>
      </c>
      <c r="C11" s="13" t="n">
        <f aca="false">C10</f>
        <v>4428.9543949355</v>
      </c>
      <c r="D11" s="13" t="n">
        <f aca="false">D10</f>
        <v>21377.4854638349</v>
      </c>
      <c r="E11" s="13" t="n">
        <f aca="false">E10</f>
        <v>109891.515317554</v>
      </c>
      <c r="F11" s="13" t="n">
        <f aca="false">F10</f>
        <v>120941.679284368</v>
      </c>
      <c r="G11" s="13" t="n">
        <f aca="false">G10</f>
        <v>129070.480502605</v>
      </c>
      <c r="H11" s="13" t="n">
        <f aca="false">H10</f>
        <v>197996.067247098</v>
      </c>
      <c r="I11" s="13" t="n">
        <f aca="false">I10</f>
        <v>275121.531659925</v>
      </c>
      <c r="J11" s="13" t="n">
        <f aca="false">J10</f>
        <v>360733.160636756</v>
      </c>
      <c r="K11" s="13" t="n">
        <f aca="false">K10</f>
        <v>397535.143908344</v>
      </c>
      <c r="L11" s="13" t="n">
        <f aca="false">L10</f>
        <v>684962.867823255</v>
      </c>
      <c r="M11" s="13" t="n">
        <f aca="false">M10</f>
        <v>827322.534178021</v>
      </c>
      <c r="N11" s="13" t="n">
        <f aca="false">N10</f>
        <v>981104.531105328</v>
      </c>
      <c r="O11" s="13" t="n">
        <f aca="false">O10</f>
        <v>1077812.87649371</v>
      </c>
      <c r="P11" s="13" t="n">
        <f aca="false">P10</f>
        <v>1174624.92550377</v>
      </c>
      <c r="Q11" s="3"/>
      <c r="R11" s="3"/>
    </row>
    <row r="12" customFormat="false" ht="15" hidden="false" customHeight="false" outlineLevel="0" collapsed="false">
      <c r="A12" s="5" t="s">
        <v>70</v>
      </c>
      <c r="B12" s="13" t="n">
        <f aca="false">IF(B10=0,0,PMT($B$5/12,36,-B10))</f>
        <v>0</v>
      </c>
      <c r="C12" s="13" t="n">
        <f aca="false">IF(C10=0,0,PMT($B$5/12,36,-C10))</f>
        <v>140.324808552673</v>
      </c>
      <c r="D12" s="13" t="n">
        <f aca="false">IF(D10=0,0,PMT($B$5/12,36,-D10))</f>
        <v>677.313715056633</v>
      </c>
      <c r="E12" s="13" t="n">
        <f aca="false">IF(E10=0,0,PMT($B$5/12,36,-E10))</f>
        <v>3481.74861907183</v>
      </c>
      <c r="F12" s="13" t="n">
        <f aca="false">IF(F10=0,0,PMT($B$5/12,36,-F10))</f>
        <v>3831.85656890578</v>
      </c>
      <c r="G12" s="13" t="n">
        <f aca="false">IF(G10=0,0,PMT($B$5/12,36,-G10))</f>
        <v>4089.4055010005</v>
      </c>
      <c r="H12" s="13" t="n">
        <f aca="false">IF(H10=0,0,PMT($B$5/12,36,-H10))</f>
        <v>6273.20982631968</v>
      </c>
      <c r="I12" s="13" t="n">
        <f aca="false">IF(I10=0,0,PMT($B$5/12,36,-I10))</f>
        <v>8716.81503495347</v>
      </c>
      <c r="J12" s="13" t="n">
        <f aca="false">IF(J10=0,0,PMT($B$5/12,36,-J10))</f>
        <v>11429.291699828</v>
      </c>
      <c r="K12" s="13" t="n">
        <f aca="false">IF(K10=0,0,PMT($B$5/12,36,-K10))</f>
        <v>12595.3076025543</v>
      </c>
      <c r="L12" s="13" t="n">
        <f aca="false">IF(L10=0,0,PMT($B$5/12,36,-L10))</f>
        <v>21702.0259686796</v>
      </c>
      <c r="M12" s="13" t="n">
        <f aca="false">IF(M10=0,0,PMT($B$5/12,36,-M10))</f>
        <v>26212.479485586</v>
      </c>
      <c r="N12" s="13" t="n">
        <f aca="false">IF(N10=0,0,PMT($B$5/12,36,-N10))</f>
        <v>31084.8324956662</v>
      </c>
      <c r="O12" s="13" t="n">
        <f aca="false">IF(O10=0,0,PMT($B$5/12,36,-O10))</f>
        <v>34148.8920550935</v>
      </c>
      <c r="P12" s="13" t="n">
        <f aca="false">IF(P10=0,0,PMT($B$5/12,36,-P10))</f>
        <v>37216.2373089673</v>
      </c>
      <c r="Q12" s="3"/>
      <c r="R12" s="3"/>
    </row>
    <row r="13" customFormat="false" ht="32.8" hidden="false" customHeight="false" outlineLevel="0" collapsed="false">
      <c r="A13" s="10" t="s">
        <v>71</v>
      </c>
      <c r="B13" s="12" t="n">
        <f aca="false">IF(B10=0,0,PMT($B$5/12,60,-B10))</f>
        <v>0</v>
      </c>
      <c r="C13" s="12" t="n">
        <f aca="false">IF(C10=0,0,PMT($B$5/12,60,-C10))</f>
        <v>91.4013624967347</v>
      </c>
      <c r="D13" s="12" t="n">
        <f aca="false">IF(D10=0,0,PMT($B$5/12,60,-D10))</f>
        <v>441.172142206513</v>
      </c>
      <c r="E13" s="12" t="n">
        <f aca="false">IF(E10=0,0,PMT($B$5/12,60,-E10))</f>
        <v>2267.85677412726</v>
      </c>
      <c r="F13" s="12" t="n">
        <f aca="false">IF(F10=0,0,PMT($B$5/12,60,-F10))</f>
        <v>2495.90157936033</v>
      </c>
      <c r="G13" s="12" t="n">
        <f aca="false">IF(G10=0,0,PMT($B$5/12,60,-G10))</f>
        <v>2663.65754172959</v>
      </c>
      <c r="H13" s="12" t="n">
        <f aca="false">IF(H10=0,0,PMT($B$5/12,60,-H10))</f>
        <v>4086.09091483847</v>
      </c>
      <c r="I13" s="12" t="n">
        <f aca="false">IF(I10=0,0,PMT($B$5/12,60,-I10))</f>
        <v>5677.74707155725</v>
      </c>
      <c r="J13" s="12" t="n">
        <f aca="false">IF(J10=0,0,PMT($B$5/12,60,-J10))</f>
        <v>7444.53418117283</v>
      </c>
      <c r="K13" s="12" t="n">
        <f aca="false">IF(K10=0,0,PMT($B$5/12,60,-K10))</f>
        <v>8204.02527402571</v>
      </c>
      <c r="L13" s="12" t="n">
        <f aca="false">IF(L10=0,0,PMT($B$5/12,60,-L10))</f>
        <v>14135.7380988855</v>
      </c>
      <c r="M13" s="12" t="n">
        <f aca="false">IF(M10=0,0,PMT($B$5/12,60,-M10))</f>
        <v>17073.647661532</v>
      </c>
      <c r="N13" s="12" t="n">
        <f aca="false">IF(N10=0,0,PMT($B$5/12,60,-N10))</f>
        <v>20247.2825182597</v>
      </c>
      <c r="O13" s="12" t="n">
        <f aca="false">IF(O10=0,0,PMT($B$5/12,60,-O10))</f>
        <v>22243.0751467433</v>
      </c>
      <c r="P13" s="12" t="n">
        <f aca="false">IF(P10=0,0,PMT($B$5/12,60,-P10))</f>
        <v>24241.0079310002</v>
      </c>
      <c r="Q13" s="3"/>
      <c r="R13" s="7" t="s">
        <v>72</v>
      </c>
    </row>
    <row r="14" customFormat="false" ht="15" hidden="false" customHeight="false" outlineLevel="0" collapsed="false">
      <c r="A14" s="5" t="s">
        <v>73</v>
      </c>
      <c r="B14" s="13" t="n">
        <f aca="false">IF(B10=0,0,PMT($B$5/12,84,-B10))</f>
        <v>0</v>
      </c>
      <c r="C14" s="13" t="n">
        <f aca="false">IF(C10=0,0,PMT($B$5/12,84,-C10))</f>
        <v>70.6971504836004</v>
      </c>
      <c r="D14" s="13" t="n">
        <f aca="false">IF(D10=0,0,PMT($B$5/12,84,-D10))</f>
        <v>341.23794738684</v>
      </c>
      <c r="E14" s="13" t="n">
        <f aca="false">IF(E10=0,0,PMT($B$5/12,84,-E10))</f>
        <v>1754.14246851578</v>
      </c>
      <c r="F14" s="13" t="n">
        <f aca="false">IF(F10=0,0,PMT($B$5/12,84,-F10))</f>
        <v>1930.53062589299</v>
      </c>
      <c r="G14" s="13" t="n">
        <f aca="false">IF(G10=0,0,PMT($B$5/12,84,-G10))</f>
        <v>2060.28655285266</v>
      </c>
      <c r="H14" s="13" t="n">
        <f aca="false">IF(H10=0,0,PMT($B$5/12,84,-H10))</f>
        <v>3160.51070142776</v>
      </c>
      <c r="I14" s="13" t="n">
        <f aca="false">IF(I10=0,0,PMT($B$5/12,84,-I10))</f>
        <v>4391.62533425084</v>
      </c>
      <c r="J14" s="13" t="n">
        <f aca="false">IF(J10=0,0,PMT($B$5/12,84,-J10))</f>
        <v>5758.20030369334</v>
      </c>
      <c r="K14" s="13" t="n">
        <f aca="false">IF(K10=0,0,PMT($B$5/12,84,-K10))</f>
        <v>6345.65167876767</v>
      </c>
      <c r="L14" s="13" t="n">
        <f aca="false">IF(L10=0,0,PMT($B$5/12,84,-L10))</f>
        <v>10933.7145122905</v>
      </c>
      <c r="M14" s="13" t="n">
        <f aca="false">IF(M10=0,0,PMT($B$5/12,84,-M10))</f>
        <v>13206.1295921538</v>
      </c>
      <c r="N14" s="13" t="n">
        <f aca="false">IF(N10=0,0,PMT($B$5/12,84,-N10))</f>
        <v>15660.8735359773</v>
      </c>
      <c r="O14" s="13" t="n">
        <f aca="false">IF(O10=0,0,PMT($B$5/12,84,-O10))</f>
        <v>17204.5797558382</v>
      </c>
      <c r="P14" s="13" t="n">
        <f aca="false">IF(P10=0,0,PMT($B$5/12,84,-P10))</f>
        <v>18749.941343963</v>
      </c>
      <c r="Q14" s="3"/>
      <c r="R14" s="3"/>
    </row>
    <row r="15" customFormat="false" ht="15" hidden="false" customHeight="false" outlineLevel="0" collapsed="false">
      <c r="A15" s="14" t="s">
        <v>74</v>
      </c>
      <c r="B15" s="15"/>
      <c r="C15" s="15"/>
      <c r="D15" s="15"/>
      <c r="E15" s="15"/>
      <c r="F15" s="15"/>
      <c r="G15" s="15"/>
      <c r="H15" s="15"/>
      <c r="I15" s="15"/>
      <c r="J15" s="15"/>
      <c r="K15" s="15"/>
      <c r="L15" s="15"/>
      <c r="M15" s="15"/>
      <c r="N15" s="15"/>
      <c r="O15" s="15"/>
      <c r="P15" s="15"/>
      <c r="Q15" s="3"/>
      <c r="R15" s="15"/>
    </row>
    <row r="16" customFormat="false" ht="15" hidden="false" customHeight="false" outlineLevel="0" collapsed="false">
      <c r="A16" s="5" t="s">
        <v>75</v>
      </c>
      <c r="B16" s="13" t="n">
        <v>314146.07309104</v>
      </c>
      <c r="C16" s="13" t="n">
        <v>303726.24221904</v>
      </c>
      <c r="D16" s="13" t="n">
        <v>361218.979335931</v>
      </c>
      <c r="E16" s="13" t="n">
        <v>487332.012318055</v>
      </c>
      <c r="F16" s="13" t="n">
        <v>479969.659557169</v>
      </c>
      <c r="G16" s="13" t="n">
        <v>466088.769207364</v>
      </c>
      <c r="H16" s="13" t="n">
        <v>597197.758851492</v>
      </c>
      <c r="I16" s="13" t="n">
        <v>735647.486330165</v>
      </c>
      <c r="J16" s="13" t="n">
        <v>881486.5874483</v>
      </c>
      <c r="K16" s="13" t="n">
        <v>898428.470548401</v>
      </c>
      <c r="L16" s="13" t="n">
        <v>1062695.91705148</v>
      </c>
      <c r="M16" s="13" t="n">
        <v>1234746.42040954</v>
      </c>
      <c r="N16" s="13" t="n">
        <v>1414609.86275326</v>
      </c>
      <c r="O16" s="13" t="n">
        <v>1480797.94885832</v>
      </c>
      <c r="P16" s="13" t="n">
        <v>1544843.49387317</v>
      </c>
      <c r="Q16" s="3"/>
      <c r="R16" s="3"/>
    </row>
    <row r="17" customFormat="false" ht="15" hidden="false" customHeight="false" outlineLevel="0" collapsed="false">
      <c r="A17" s="5" t="s">
        <v>58</v>
      </c>
      <c r="B17" s="13" t="n">
        <v>94158.4292364159</v>
      </c>
      <c r="C17" s="13" t="n">
        <v>186848.926124032</v>
      </c>
      <c r="D17" s="13" t="n">
        <v>288686.517858404</v>
      </c>
      <c r="E17" s="13" t="n">
        <v>427119.322785626</v>
      </c>
      <c r="F17" s="13" t="n">
        <v>576457.186608494</v>
      </c>
      <c r="G17" s="13" t="n">
        <v>720242.694291439</v>
      </c>
      <c r="H17" s="13" t="n">
        <v>916471.797832036</v>
      </c>
      <c r="I17" s="13" t="n">
        <v>1168080.7923641</v>
      </c>
      <c r="J17" s="13" t="n">
        <v>1478025.42734342</v>
      </c>
      <c r="K17" s="13" t="n">
        <v>1794746.81556278</v>
      </c>
      <c r="L17" s="13" t="n">
        <v>2177175.18238338</v>
      </c>
      <c r="M17" s="13" t="n">
        <v>2628423.75054719</v>
      </c>
      <c r="N17" s="13" t="n">
        <v>3151617.69564849</v>
      </c>
      <c r="O17" s="13" t="n">
        <v>3715136.87519182</v>
      </c>
      <c r="P17" s="13" t="n">
        <v>4304274.27274109</v>
      </c>
      <c r="Q17" s="3"/>
      <c r="R17" s="3"/>
    </row>
    <row r="18" customFormat="false" ht="22.35" hidden="false" customHeight="false" outlineLevel="0" collapsed="false">
      <c r="A18" s="10" t="s">
        <v>76</v>
      </c>
      <c r="B18" s="17" t="n">
        <f aca="false">IF(B16=0,0,B13*12/B16)</f>
        <v>0</v>
      </c>
      <c r="C18" s="17" t="n">
        <f aca="false">IF(C16=0,0,C13*12/C16)</f>
        <v>0.00361120047430679</v>
      </c>
      <c r="D18" s="17" t="n">
        <f aca="false">IF(D16=0,0,D13*12/D16)</f>
        <v>0.0146561116921675</v>
      </c>
      <c r="E18" s="17" t="n">
        <f aca="false">IF(E16=0,0,E13*12/E16)</f>
        <v>0.055843409834866</v>
      </c>
      <c r="F18" s="17" t="n">
        <f aca="false">IF(F16=0,0,F13*12/F16)</f>
        <v>0.0624014838353683</v>
      </c>
      <c r="G18" s="17" t="n">
        <f aca="false">IF(G16=0,0,G13*12/G16)</f>
        <v>0.0685789759644139</v>
      </c>
      <c r="H18" s="17" t="n">
        <f aca="false">IF(H16=0,0,H13*12/H16)</f>
        <v>0.0821052829675052</v>
      </c>
      <c r="I18" s="17" t="n">
        <f aca="false">IF(I16=0,0,I13*12/I16)</f>
        <v>0.0926163225250367</v>
      </c>
      <c r="J18" s="17" t="n">
        <f aca="false">IF(J16=0,0,J13*12/J16)</f>
        <v>0.101345172400951</v>
      </c>
      <c r="K18" s="17" t="n">
        <f aca="false">IF(K16=0,0,K13*12/K16)</f>
        <v>0.10957834320212</v>
      </c>
      <c r="L18" s="17" t="n">
        <f aca="false">IF(L16=0,0,L13*12/L16)</f>
        <v>0.159621256151311</v>
      </c>
      <c r="M18" s="17" t="n">
        <f aca="false">IF(M16=0,0,M13*12/M16)</f>
        <v>0.165931861434697</v>
      </c>
      <c r="N18" s="17" t="n">
        <f aca="false">IF(N16=0,0,N13*12/N16)</f>
        <v>0.171755758684043</v>
      </c>
      <c r="O18" s="17" t="n">
        <f aca="false">IF(O16=0,0,O13*12/O16)</f>
        <v>0.180252074205471</v>
      </c>
      <c r="P18" s="17" t="n">
        <f aca="false">IF(P16=0,0,P13*12/P16)</f>
        <v>0.188298747624388</v>
      </c>
      <c r="Q18" s="3"/>
      <c r="R18" s="7" t="s">
        <v>77</v>
      </c>
    </row>
    <row r="19" customFormat="false" ht="15" hidden="false" customHeight="false" outlineLevel="0" collapsed="false">
      <c r="A19" s="5" t="s">
        <v>78</v>
      </c>
      <c r="B19" s="20" t="str">
        <f aca="false">IF(B10=0,"-",IF(B17&gt;=B10,"yes","no - needs a note"))</f>
        <v>-</v>
      </c>
      <c r="C19" s="20" t="str">
        <f aca="false">IF(C10=0,"-",IF(C17&gt;=C10,"yes","no - needs a note"))</f>
        <v>yes</v>
      </c>
      <c r="D19" s="20" t="str">
        <f aca="false">IF(D10=0,"-",IF(D17&gt;=D10,"yes","no - needs a note"))</f>
        <v>yes</v>
      </c>
      <c r="E19" s="20" t="str">
        <f aca="false">IF(E10=0,"-",IF(E17&gt;=E10,"yes","no - needs a note"))</f>
        <v>yes</v>
      </c>
      <c r="F19" s="20" t="str">
        <f aca="false">IF(F10=0,"-",IF(F17&gt;=F10,"yes","no - needs a note"))</f>
        <v>yes</v>
      </c>
      <c r="G19" s="20" t="str">
        <f aca="false">IF(G10=0,"-",IF(G17&gt;=G10,"yes","no - needs a note"))</f>
        <v>yes</v>
      </c>
      <c r="H19" s="20" t="str">
        <f aca="false">IF(H10=0,"-",IF(H17&gt;=H10,"yes","no - needs a note"))</f>
        <v>yes</v>
      </c>
      <c r="I19" s="20" t="str">
        <f aca="false">IF(I10=0,"-",IF(I17&gt;=I10,"yes","no - needs a note"))</f>
        <v>yes</v>
      </c>
      <c r="J19" s="20" t="str">
        <f aca="false">IF(J10=0,"-",IF(J17&gt;=J10,"yes","no - needs a note"))</f>
        <v>yes</v>
      </c>
      <c r="K19" s="20" t="str">
        <f aca="false">IF(K10=0,"-",IF(K17&gt;=K10,"yes","no - needs a note"))</f>
        <v>yes</v>
      </c>
      <c r="L19" s="20" t="str">
        <f aca="false">IF(L10=0,"-",IF(L17&gt;=L10,"yes","no - needs a note"))</f>
        <v>yes</v>
      </c>
      <c r="M19" s="20" t="str">
        <f aca="false">IF(M10=0,"-",IF(M17&gt;=M10,"yes","no - needs a note"))</f>
        <v>yes</v>
      </c>
      <c r="N19" s="20" t="str">
        <f aca="false">IF(N10=0,"-",IF(N17&gt;=N10,"yes","no - needs a note"))</f>
        <v>yes</v>
      </c>
      <c r="O19" s="20" t="str">
        <f aca="false">IF(O10=0,"-",IF(O17&gt;=O10,"yes","no - needs a note"))</f>
        <v>yes</v>
      </c>
      <c r="P19" s="20" t="str">
        <f aca="false">IF(P10=0,"-",IF(P17&gt;=P10,"yes","no - needs a note"))</f>
        <v>yes</v>
      </c>
      <c r="Q19" s="3"/>
      <c r="R19" s="3"/>
    </row>
    <row r="20" customFormat="false" ht="15" hidden="false" customHeight="false" outlineLevel="0" collapsed="false">
      <c r="A20" s="3"/>
      <c r="B20" s="3"/>
      <c r="C20" s="3"/>
      <c r="D20" s="3"/>
      <c r="E20" s="3"/>
      <c r="F20" s="3"/>
      <c r="G20" s="3"/>
      <c r="H20" s="3"/>
      <c r="I20" s="3"/>
      <c r="J20" s="3"/>
      <c r="K20" s="3"/>
      <c r="L20" s="3"/>
      <c r="M20" s="3"/>
      <c r="N20" s="3"/>
      <c r="O20" s="3"/>
      <c r="P20" s="3"/>
      <c r="Q20" s="3"/>
      <c r="R20" s="3"/>
    </row>
    <row r="21" customFormat="false" ht="15" hidden="false" customHeight="false" outlineLevel="0" collapsed="false">
      <c r="A21" s="18" t="s">
        <v>79</v>
      </c>
      <c r="B21" s="19"/>
      <c r="C21" s="19"/>
      <c r="D21" s="19"/>
      <c r="E21" s="19"/>
      <c r="F21" s="19"/>
      <c r="G21" s="19"/>
      <c r="H21" s="19"/>
      <c r="I21" s="19"/>
      <c r="J21" s="19"/>
      <c r="K21" s="19"/>
      <c r="L21" s="19"/>
      <c r="M21" s="19"/>
      <c r="N21" s="19"/>
      <c r="O21" s="19"/>
      <c r="P21" s="19"/>
      <c r="Q21" s="3"/>
      <c r="R21" s="19"/>
    </row>
    <row r="22" customFormat="false" ht="27.75" hidden="false" customHeight="true" outlineLevel="0" collapsed="false">
      <c r="A22" s="23" t="s">
        <v>80</v>
      </c>
      <c r="B22" s="23"/>
      <c r="C22" s="23"/>
      <c r="D22" s="23"/>
      <c r="E22" s="23"/>
      <c r="F22" s="23"/>
      <c r="G22" s="23"/>
      <c r="H22" s="23"/>
      <c r="I22" s="23"/>
      <c r="J22" s="23"/>
      <c r="K22" s="23"/>
      <c r="L22" s="23"/>
      <c r="M22" s="23"/>
      <c r="N22" s="23"/>
      <c r="O22" s="23"/>
      <c r="P22" s="23"/>
      <c r="Q22" s="23"/>
      <c r="R22" s="23"/>
    </row>
    <row r="23" customFormat="false" ht="27.75" hidden="false" customHeight="true" outlineLevel="0" collapsed="false">
      <c r="A23" s="23" t="s">
        <v>81</v>
      </c>
      <c r="B23" s="23"/>
      <c r="C23" s="23"/>
      <c r="D23" s="23"/>
      <c r="E23" s="23"/>
      <c r="F23" s="23"/>
      <c r="G23" s="23"/>
      <c r="H23" s="23"/>
      <c r="I23" s="23"/>
      <c r="J23" s="23"/>
      <c r="K23" s="23"/>
      <c r="L23" s="23"/>
      <c r="M23" s="23"/>
      <c r="N23" s="23"/>
      <c r="O23" s="23"/>
      <c r="P23" s="23"/>
      <c r="Q23" s="23"/>
      <c r="R23" s="23"/>
    </row>
    <row r="24" customFormat="false" ht="27.75" hidden="false" customHeight="true" outlineLevel="0" collapsed="false">
      <c r="A24" s="23" t="s">
        <v>82</v>
      </c>
      <c r="B24" s="23"/>
      <c r="C24" s="23"/>
      <c r="D24" s="23"/>
      <c r="E24" s="23"/>
      <c r="F24" s="23"/>
      <c r="G24" s="23"/>
      <c r="H24" s="23"/>
      <c r="I24" s="23"/>
      <c r="J24" s="23"/>
      <c r="K24" s="23"/>
      <c r="L24" s="23"/>
      <c r="M24" s="23"/>
      <c r="N24" s="23"/>
      <c r="O24" s="23"/>
      <c r="P24" s="23"/>
      <c r="Q24" s="23"/>
      <c r="R24" s="23"/>
    </row>
    <row r="25" customFormat="false" ht="27.75" hidden="false" customHeight="true" outlineLevel="0" collapsed="false">
      <c r="A25" s="23" t="s">
        <v>83</v>
      </c>
      <c r="B25" s="23"/>
      <c r="C25" s="23"/>
      <c r="D25" s="23"/>
      <c r="E25" s="23"/>
      <c r="F25" s="23"/>
      <c r="G25" s="23"/>
      <c r="H25" s="23"/>
      <c r="I25" s="23"/>
      <c r="J25" s="23"/>
      <c r="K25" s="23"/>
      <c r="L25" s="23"/>
      <c r="M25" s="23"/>
      <c r="N25" s="23"/>
      <c r="O25" s="23"/>
      <c r="P25" s="23"/>
      <c r="Q25" s="23"/>
      <c r="R25" s="23"/>
    </row>
    <row r="26" customFormat="false" ht="27.75" hidden="false" customHeight="true" outlineLevel="0" collapsed="false">
      <c r="A26" s="23" t="s">
        <v>84</v>
      </c>
      <c r="B26" s="23"/>
      <c r="C26" s="23"/>
      <c r="D26" s="23"/>
      <c r="E26" s="23"/>
      <c r="F26" s="23"/>
      <c r="G26" s="23"/>
      <c r="H26" s="23"/>
      <c r="I26" s="23"/>
      <c r="J26" s="23"/>
      <c r="K26" s="23"/>
      <c r="L26" s="23"/>
      <c r="M26" s="23"/>
      <c r="N26" s="23"/>
      <c r="O26" s="23"/>
      <c r="P26" s="23"/>
      <c r="Q26" s="23"/>
      <c r="R26" s="23"/>
    </row>
    <row r="27" customFormat="false" ht="27.75" hidden="false" customHeight="true" outlineLevel="0" collapsed="false">
      <c r="A27" s="23" t="s">
        <v>85</v>
      </c>
      <c r="B27" s="23"/>
      <c r="C27" s="23"/>
      <c r="D27" s="23"/>
      <c r="E27" s="23"/>
      <c r="F27" s="23"/>
      <c r="G27" s="23"/>
      <c r="H27" s="23"/>
      <c r="I27" s="23"/>
      <c r="J27" s="23"/>
      <c r="K27" s="23"/>
      <c r="L27" s="23"/>
      <c r="M27" s="23"/>
      <c r="N27" s="23"/>
      <c r="O27" s="23"/>
      <c r="P27" s="23"/>
      <c r="Q27" s="23"/>
      <c r="R27" s="23"/>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4"/>
    <col collapsed="false" customWidth="true" hidden="false" outlineLevel="0" max="3" min="3" style="1" width="60"/>
  </cols>
  <sheetData>
    <row r="1" customFormat="false" ht="17.35" hidden="false" customHeight="false" outlineLevel="0" collapsed="false">
      <c r="A1" s="2" t="s">
        <v>86</v>
      </c>
      <c r="B1" s="3"/>
      <c r="C1" s="3"/>
    </row>
    <row r="2" customFormat="false" ht="15" hidden="false" customHeight="false" outlineLevel="0" collapsed="false">
      <c r="A2" s="4" t="s">
        <v>87</v>
      </c>
      <c r="B2" s="3"/>
      <c r="C2" s="3"/>
    </row>
    <row r="3" customFormat="false" ht="15" hidden="false" customHeight="false" outlineLevel="0" collapsed="false">
      <c r="A3" s="3"/>
      <c r="B3" s="3"/>
      <c r="C3" s="3"/>
    </row>
    <row r="4" customFormat="false" ht="15" hidden="false" customHeight="false" outlineLevel="0" collapsed="false">
      <c r="A4" s="18" t="s">
        <v>88</v>
      </c>
      <c r="B4" s="19"/>
      <c r="C4" s="19"/>
    </row>
    <row r="5" customFormat="false" ht="15" hidden="false" customHeight="false" outlineLevel="0" collapsed="false">
      <c r="A5" s="24" t="s">
        <v>89</v>
      </c>
      <c r="B5" s="24" t="s">
        <v>90</v>
      </c>
      <c r="C5" s="24" t="s">
        <v>91</v>
      </c>
    </row>
    <row r="6" customFormat="false" ht="39" hidden="false" customHeight="true" outlineLevel="0" collapsed="false">
      <c r="A6" s="25" t="s">
        <v>92</v>
      </c>
      <c r="B6" s="26" t="s">
        <v>93</v>
      </c>
      <c r="C6" s="26" t="s">
        <v>94</v>
      </c>
    </row>
    <row r="7" customFormat="false" ht="39" hidden="false" customHeight="true" outlineLevel="0" collapsed="false">
      <c r="A7" s="25" t="s">
        <v>95</v>
      </c>
      <c r="B7" s="26" t="s">
        <v>96</v>
      </c>
      <c r="C7" s="26" t="s">
        <v>97</v>
      </c>
    </row>
    <row r="8" customFormat="false" ht="39" hidden="false" customHeight="true" outlineLevel="0" collapsed="false">
      <c r="A8" s="25" t="s">
        <v>98</v>
      </c>
      <c r="B8" s="26" t="s">
        <v>99</v>
      </c>
      <c r="C8" s="26" t="s">
        <v>100</v>
      </c>
    </row>
    <row r="9" customFormat="false" ht="39" hidden="false" customHeight="true" outlineLevel="0" collapsed="false">
      <c r="A9" s="25" t="s">
        <v>101</v>
      </c>
      <c r="B9" s="26" t="s">
        <v>102</v>
      </c>
      <c r="C9" s="26" t="s">
        <v>103</v>
      </c>
    </row>
    <row r="10" customFormat="false" ht="25.5" hidden="false" customHeight="true" outlineLevel="0" collapsed="false">
      <c r="A10" s="25" t="s">
        <v>104</v>
      </c>
      <c r="B10" s="26" t="s">
        <v>105</v>
      </c>
      <c r="C10" s="26" t="s">
        <v>106</v>
      </c>
    </row>
    <row r="11" customFormat="false" ht="15" hidden="false" customHeight="false" outlineLevel="0" collapsed="false">
      <c r="A11" s="3"/>
      <c r="B11" s="3"/>
      <c r="C11" s="3"/>
    </row>
    <row r="12" customFormat="false" ht="15" hidden="false" customHeight="false" outlineLevel="0" collapsed="false">
      <c r="A12" s="27" t="s">
        <v>107</v>
      </c>
      <c r="B12" s="28"/>
      <c r="C12" s="28"/>
    </row>
    <row r="13" customFormat="false" ht="15" hidden="false" customHeight="false" outlineLevel="0" collapsed="false">
      <c r="A13" s="24" t="s">
        <v>89</v>
      </c>
      <c r="B13" s="24" t="s">
        <v>90</v>
      </c>
      <c r="C13" s="24" t="s">
        <v>91</v>
      </c>
    </row>
    <row r="14" customFormat="false" ht="51.75" hidden="false" customHeight="true" outlineLevel="0" collapsed="false">
      <c r="A14" s="25" t="s">
        <v>108</v>
      </c>
      <c r="B14" s="26" t="s">
        <v>109</v>
      </c>
      <c r="C14" s="26" t="s">
        <v>110</v>
      </c>
    </row>
    <row r="15" customFormat="false" ht="51.75" hidden="false" customHeight="true" outlineLevel="0" collapsed="false">
      <c r="A15" s="25" t="s">
        <v>111</v>
      </c>
      <c r="B15" s="26" t="s">
        <v>112</v>
      </c>
      <c r="C15" s="26" t="s">
        <v>113</v>
      </c>
    </row>
    <row r="16" customFormat="false" ht="51.75" hidden="false" customHeight="true" outlineLevel="0" collapsed="false">
      <c r="A16" s="25" t="s">
        <v>114</v>
      </c>
      <c r="B16" s="26" t="s">
        <v>115</v>
      </c>
      <c r="C16" s="26" t="s">
        <v>116</v>
      </c>
    </row>
    <row r="17" customFormat="false" ht="51.75" hidden="false" customHeight="true" outlineLevel="0" collapsed="false">
      <c r="A17" s="25" t="s">
        <v>117</v>
      </c>
      <c r="B17" s="26" t="s">
        <v>118</v>
      </c>
      <c r="C17" s="26" t="s">
        <v>119</v>
      </c>
    </row>
    <row r="18" customFormat="false" ht="25.5" hidden="false" customHeight="true" outlineLevel="0" collapsed="false">
      <c r="A18" s="25" t="s">
        <v>120</v>
      </c>
      <c r="B18" s="26" t="s">
        <v>121</v>
      </c>
      <c r="C18" s="26" t="s">
        <v>122</v>
      </c>
    </row>
    <row r="19" customFormat="false" ht="15" hidden="false" customHeight="false" outlineLevel="0" collapsed="false">
      <c r="A19" s="3"/>
      <c r="B19" s="3"/>
      <c r="C19" s="3"/>
    </row>
    <row r="20" customFormat="false" ht="15" hidden="false" customHeight="false" outlineLevel="0" collapsed="false">
      <c r="A20" s="29" t="s">
        <v>123</v>
      </c>
      <c r="B20" s="30"/>
      <c r="C20" s="30"/>
    </row>
    <row r="21" customFormat="false" ht="15" hidden="false" customHeight="false" outlineLevel="0" collapsed="false">
      <c r="A21" s="24" t="s">
        <v>124</v>
      </c>
      <c r="B21" s="24" t="s">
        <v>125</v>
      </c>
      <c r="C21" s="24" t="s">
        <v>126</v>
      </c>
    </row>
    <row r="22" customFormat="false" ht="39" hidden="false" customHeight="true" outlineLevel="0" collapsed="false">
      <c r="A22" s="25" t="s">
        <v>127</v>
      </c>
      <c r="B22" s="26" t="s">
        <v>128</v>
      </c>
      <c r="C22" s="26" t="s">
        <v>129</v>
      </c>
    </row>
    <row r="23" customFormat="false" ht="64.5" hidden="false" customHeight="true" outlineLevel="0" collapsed="false">
      <c r="A23" s="25" t="s">
        <v>130</v>
      </c>
      <c r="B23" s="26" t="s">
        <v>131</v>
      </c>
      <c r="C23" s="26" t="s">
        <v>132</v>
      </c>
    </row>
    <row r="24" customFormat="false" ht="39" hidden="false" customHeight="true" outlineLevel="0" collapsed="false">
      <c r="A24" s="25" t="s">
        <v>133</v>
      </c>
      <c r="B24" s="26" t="s">
        <v>134</v>
      </c>
      <c r="C24" s="26" t="s">
        <v>135</v>
      </c>
    </row>
    <row r="25" customFormat="false" ht="64.5" hidden="false" customHeight="true" outlineLevel="0" collapsed="false">
      <c r="A25" s="25" t="s">
        <v>136</v>
      </c>
      <c r="B25" s="26" t="s">
        <v>137</v>
      </c>
      <c r="C25" s="26" t="s">
        <v>138</v>
      </c>
    </row>
    <row r="26" customFormat="false" ht="51.75" hidden="false" customHeight="true" outlineLevel="0" collapsed="false">
      <c r="A26" s="25" t="s">
        <v>139</v>
      </c>
      <c r="B26" s="26" t="s">
        <v>140</v>
      </c>
      <c r="C26" s="26" t="s">
        <v>141</v>
      </c>
    </row>
    <row r="27" customFormat="false" ht="51.75" hidden="false" customHeight="true" outlineLevel="0" collapsed="false">
      <c r="A27" s="25" t="s">
        <v>142</v>
      </c>
      <c r="B27" s="26" t="s">
        <v>143</v>
      </c>
      <c r="C27" s="26" t="s">
        <v>144</v>
      </c>
    </row>
    <row r="28" customFormat="false" ht="15" hidden="false" customHeight="false" outlineLevel="0" collapsed="false">
      <c r="A28" s="3"/>
      <c r="B28" s="3"/>
      <c r="C28" s="3"/>
    </row>
    <row r="29" customFormat="false" ht="15" hidden="false" customHeight="false" outlineLevel="0" collapsed="false">
      <c r="A29" s="29" t="s">
        <v>145</v>
      </c>
      <c r="B29" s="30"/>
      <c r="C29" s="30"/>
    </row>
    <row r="30" customFormat="false" ht="12.75" hidden="false" customHeight="true" outlineLevel="0" collapsed="false">
      <c r="A30" s="3" t="s">
        <v>146</v>
      </c>
      <c r="B30" s="31" t="s">
        <v>147</v>
      </c>
      <c r="C30" s="31"/>
    </row>
    <row r="31" customFormat="false" ht="25.5" hidden="false" customHeight="true" outlineLevel="0" collapsed="false">
      <c r="A31" s="3" t="s">
        <v>146</v>
      </c>
      <c r="B31" s="31" t="s">
        <v>148</v>
      </c>
      <c r="C31" s="31"/>
    </row>
    <row r="32" customFormat="false" ht="12.75" hidden="false" customHeight="true" outlineLevel="0" collapsed="false">
      <c r="A32" s="3" t="s">
        <v>146</v>
      </c>
      <c r="B32" s="31" t="s">
        <v>149</v>
      </c>
      <c r="C32" s="31"/>
    </row>
    <row r="33" customFormat="false" ht="12.75" hidden="false" customHeight="true" outlineLevel="0" collapsed="false">
      <c r="A33" s="3" t="s">
        <v>146</v>
      </c>
      <c r="B33" s="31" t="s">
        <v>150</v>
      </c>
      <c r="C33" s="31"/>
    </row>
    <row r="34" customFormat="false" ht="12.75" hidden="false" customHeight="true" outlineLevel="0" collapsed="false">
      <c r="A34" s="3" t="s">
        <v>146</v>
      </c>
      <c r="B34" s="31" t="s">
        <v>151</v>
      </c>
      <c r="C34" s="31"/>
    </row>
    <row r="35" customFormat="false" ht="25.5" hidden="false" customHeight="true" outlineLevel="0" collapsed="false">
      <c r="A35" s="3" t="s">
        <v>146</v>
      </c>
      <c r="B35" s="31" t="s">
        <v>152</v>
      </c>
      <c r="C35" s="31"/>
    </row>
    <row r="36" customFormat="false" ht="15" hidden="false" customHeight="false" outlineLevel="0" collapsed="false">
      <c r="A36" s="3"/>
      <c r="B36" s="3"/>
      <c r="C36" s="3"/>
    </row>
    <row r="37" customFormat="false" ht="25.5" hidden="false" customHeight="true" outlineLevel="0" collapsed="false">
      <c r="A37" s="32" t="s">
        <v>153</v>
      </c>
      <c r="B37" s="32"/>
      <c r="C37" s="32"/>
    </row>
    <row r="38" customFormat="false" ht="15" hidden="false" customHeight="false" outlineLevel="0" collapsed="false">
      <c r="A38" s="3"/>
      <c r="B38" s="3"/>
      <c r="C38" s="3"/>
    </row>
    <row r="39" customFormat="false" ht="39" hidden="false" customHeight="true" outlineLevel="0" collapsed="false">
      <c r="A39" s="32" t="s">
        <v>154</v>
      </c>
      <c r="B39" s="32"/>
      <c r="C39" s="32"/>
    </row>
    <row r="40" customFormat="false" ht="15" hidden="false" customHeight="false" outlineLevel="0" collapsed="false">
      <c r="A40" s="3"/>
      <c r="B40" s="3"/>
      <c r="C40" s="3"/>
    </row>
    <row r="41" customFormat="false" ht="25.5" hidden="false" customHeight="true" outlineLevel="0" collapsed="false">
      <c r="A41" s="32" t="s">
        <v>155</v>
      </c>
      <c r="B41" s="32"/>
      <c r="C41" s="32"/>
    </row>
  </sheetData>
  <sheetProtection sheet="true" password="ef11" formatCells="false" formatColumns="false" formatRows="false"/>
  <mergeCells count="9">
    <mergeCell ref="B30:C30"/>
    <mergeCell ref="B31:C31"/>
    <mergeCell ref="B32:C32"/>
    <mergeCell ref="B33:C33"/>
    <mergeCell ref="B34:C34"/>
    <mergeCell ref="B35:C35"/>
    <mergeCell ref="A37:C37"/>
    <mergeCell ref="A39:C39"/>
    <mergeCell ref="A41:C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2026-09-17T03:53:14Z</dcterms:created>
  <dc:creator>openpyxl</dc:creator>
  <dc:description/>
  <dc:language>en-US</dc:language>
  <cp:lastModifiedBy/>
  <dcterms:modified xsi:type="dcterms:W3CDTF">2026-09-17T03:53:14Z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