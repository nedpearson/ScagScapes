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our numbers" sheetId="1" state="visible" r:id="rId3"/>
    <sheet name="Year by year" sheetId="2" state="visible" r:id="rId4"/>
    <sheet name="The company" sheetId="3" state="visible" r:id="rId5"/>
    <sheet name="Buyout options" sheetId="4" state="visible" r:id="rId6"/>
    <sheet name="Obliga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<sst xmlns="http://schemas.openxmlformats.org/spreadsheetml/2006/main" count="154" uniqueCount="141">
  <si>
    <t xml:space="preserve">Ned Pearson - Growth &amp; Operations Lead</t>
  </si>
  <si>
    <t xml:space="preserve">Blue = change it. This file is yours alone - it contains nobody else's compensation, and nobody else's file contains yours.</t>
  </si>
  <si>
    <t xml:space="preserve">Base salary, years 1-2 ($/yr)</t>
  </si>
  <si>
    <t xml:space="preserve">Fractional, about 25 hours a week.</t>
  </si>
  <si>
    <t xml:space="preserve">Base salary, year 3 ($/yr)</t>
  </si>
  <si>
    <t xml:space="preserve">Base salary, years 4-5 ($/yr)</t>
  </si>
  <si>
    <t xml:space="preserve">Base increase per year after year 5</t>
  </si>
  <si>
    <t xml:space="preserve">Tracks general inflation once the role is established.</t>
  </si>
  <si>
    <t xml:space="preserve">Growth share (% of operating profit above the baseline)</t>
  </si>
  <si>
    <t xml:space="preserve">Paid on profit above what the business already earns - nothing on the baseline.</t>
  </si>
  <si>
    <t xml:space="preserve">Baseline profit the share is measured above ($/yr)</t>
  </si>
  <si>
    <t xml:space="preserve">Essentially zero today, which is the honest number. Raise it if the business grows before the arrangement starts.</t>
  </si>
  <si>
    <t xml:space="preserve">Profits interest (% of value created above the hurdle)</t>
  </si>
  <si>
    <t xml:space="preserve">An LLC profits interest: a share of future growth only, with no claim on what the company is worth today. Not taxable at grant under Rev. Proc. 93-27, and file an 83(b) within 30 days.</t>
  </si>
  <si>
    <t xml:space="preserve">The hurdle - what the company is worth the day you start ($)</t>
  </si>
  <si>
    <t xml:space="preserve">Set by a contemporaneous valuation, not a guess. A hurdle nobody can defend is the usual way these grants fall apart in an audit.</t>
  </si>
  <si>
    <t xml:space="preserve">What you earn, year by year</t>
  </si>
  <si>
    <t xml:space="preserve">Every figure is a formula off your own inputs and the locked company snapshot. Change an input and all fifteen years move.</t>
  </si>
  <si>
    <t xml:space="preserve">Year</t>
  </si>
  <si>
    <t xml:space="preserve">Notes</t>
  </si>
  <si>
    <t xml:space="preserve">Operating profit before you are paid</t>
  </si>
  <si>
    <t xml:space="preserve">From the company snapshot, after Charlie's draw and before anything to you.</t>
  </si>
  <si>
    <t xml:space="preserve">Base salary</t>
  </si>
  <si>
    <t xml:space="preserve">Profit above the baseline</t>
  </si>
  <si>
    <t xml:space="preserve">Growth share earned</t>
  </si>
  <si>
    <t xml:space="preserve">TOTAL CASH TO YOU</t>
  </si>
  <si>
    <t xml:space="preserve">Cumulative cash</t>
  </si>
  <si>
    <t xml:space="preserve">As a share of revenue</t>
  </si>
  <si>
    <t xml:space="preserve">The affordability test. Past roughly 6-7% of revenue the role is eating the growth it exists to create.</t>
  </si>
  <si>
    <t xml:space="preserve">THE PROFITS INTEREST - NOT INCOME, ONLY PAYS ON A SALE OR A BUYOUT</t>
  </si>
  <si>
    <t xml:space="preserve">What the whole company is worth</t>
  </si>
  <si>
    <t xml:space="preserve">Value created above the hurdle</t>
  </si>
  <si>
    <t xml:space="preserve">YOUR STAKE, IF IT WERE SETTLED THAT YEAR</t>
  </si>
  <si>
    <t xml:space="preserve">Taxed as a capital gain, not income - and only when it actually pays.</t>
  </si>
  <si>
    <t xml:space="preserve">EVERYTHING, IF YOU WALKED AWAY THAT YEAR</t>
  </si>
  <si>
    <t xml:space="preserve">Cash taken along the way plus the stake settled at the end. The honest total.</t>
  </si>
  <si>
    <t xml:space="preserve">Scag Scapes - the plan these numbers sit on top of</t>
  </si>
  <si>
    <t xml:space="preserve">A fixed snapshot from the master model, dated September 2026. These are NOT inputs - they are the agreed plan, and they are locked so nothing here can be changed by accident. Everything on your own tabs is live and yours to change.</t>
  </si>
  <si>
    <t xml:space="preserve">If the company's plan itself changes, this snapshot gets reissued. Ask for a fresh copy rather than editing this one.</t>
  </si>
  <si>
    <t xml:space="preserve">Total revenue</t>
  </si>
  <si>
    <t xml:space="preserve">Crews running</t>
  </si>
  <si>
    <t xml:space="preserve">People on the payroll</t>
  </si>
  <si>
    <t xml:space="preserve">Operating profit before Charlie's draw and before any partner is paid</t>
  </si>
  <si>
    <t xml:space="preserve">The pot that everyone - Charlie, and anyone else with a share - is paid out of.</t>
  </si>
  <si>
    <t xml:space="preserve">Cash in the company at year end</t>
  </si>
  <si>
    <t xml:space="preserve">Priced on owner's cash under $2M of revenue and on EBITDA above it, because the size of the company decides who is allowed to buy it. Full workings are in the master model.</t>
  </si>
  <si>
    <t xml:space="preserve">Buying Ned out - what it costs in any year</t>
  </si>
  <si>
    <t xml:space="preserve">Blue = change it. Neither side should ever have to guess what a separation costs. This is the formula, agreed in advance, while everyone still likes each other. A buyout is almost never paid in one cheque - the monthly figures are what it actually looks like.</t>
  </si>
  <si>
    <t xml:space="preserve">Discount for an internal buyout (a minority stake, no control, no market)</t>
  </si>
  <si>
    <t xml:space="preserve">A stake nobody else can buy is worth less than a proportionate slice of the whole. 20% is a common working figure - it is a negotiating position, not a published fact.</t>
  </si>
  <si>
    <t xml:space="preserve">Interest rate on a buyout paid over time (APR)</t>
  </si>
  <si>
    <t xml:space="preserve">Roughly what the business itself can borrow at. Paying a departing partner is not cheaper than paying a bank.</t>
  </si>
  <si>
    <t xml:space="preserve">What the stake is worth that year</t>
  </si>
  <si>
    <t xml:space="preserve">Straight from your own proforma tab.</t>
  </si>
  <si>
    <t xml:space="preserve">Buyout price after the internal discount</t>
  </si>
  <si>
    <t xml:space="preserve">Paid as a lump sum</t>
  </si>
  <si>
    <t xml:space="preserve">Or monthly over 3 years</t>
  </si>
  <si>
    <t xml:space="preserve">Or monthly over 5 years</t>
  </si>
  <si>
    <t xml:space="preserve">Five years is the usual shape. It is long enough that the payment comes out of the profit the departing partner helped build, rather than out of the company's working capital.</t>
  </si>
  <si>
    <t xml:space="preserve">Or monthly over 7 years</t>
  </si>
  <si>
    <t xml:space="preserve">CAN THE COMPANY ACTUALLY PAY IT?</t>
  </si>
  <si>
    <t xml:space="preserve">Operating profit that year</t>
  </si>
  <si>
    <t xml:space="preserve">The 5-year payment as a share of that year's profit</t>
  </si>
  <si>
    <t xml:space="preserve">Above roughly 25% and the buyout is eating the business rather than being funded by it. That is the number to argue about, not the headline price.</t>
  </si>
  <si>
    <t xml:space="preserve">Could it be paid in cash outright?</t>
  </si>
  <si>
    <t xml:space="preserve">THE RULES THAT MAKE THIS WORK</t>
  </si>
  <si>
    <t xml:space="preserve">1.  The price is a FORMULA, not a negotiation. It is agreed now, in writing, and applied whenever it is needed. Nobody gets to re-open the multiple in the middle of an argument.</t>
  </si>
  <si>
    <t xml:space="preserve">2.  The company has the first right to buy. If it declines, the other partners may. If they decline, the stake can be offered outside - with the company holding a right to match.</t>
  </si>
  <si>
    <t xml:space="preserve">3.  Payment terms are the company's choice from the options above, but the term may not exceed seven years and the rate may not be below the rate above.</t>
  </si>
  <si>
    <t xml:space="preserve">4.  A departure for cause is different: unvested value is forfeited, and vested value is bought at the lower of cost or formula. 'Cause' is defined narrowly on the Obligations tab - not 'we fell out'.</t>
  </si>
  <si>
    <t xml:space="preserve">5.  Death or disability is treated as a good-leaver departure at full formula value, paid to the estate on the same terms. Consider funding this with a small term life policy; it costs very little at these ages.</t>
  </si>
  <si>
    <t xml:space="preserve">6.  Any dispute over the number goes to the company's CPA, whose determination binds both sides. Two friends have no other way to break a tie, and courts are worse.</t>
  </si>
  <si>
    <t xml:space="preserve">What each side owes the other</t>
  </si>
  <si>
    <t xml:space="preserve">We are friends, which is exactly why this is written down. Friendship makes the hard conversation more expensive, not less - so the rules get agreed while everyone is comfortable, and there is deliberate slack built into every one of them.</t>
  </si>
  <si>
    <t xml:space="preserve">WHAT NED OWES THE COMPANY</t>
  </si>
  <si>
    <t xml:space="preserve">The obligation</t>
  </si>
  <si>
    <t xml:space="preserve">What it actually means</t>
  </si>
  <si>
    <t xml:space="preserve">How we know it is being met</t>
  </si>
  <si>
    <t xml:space="preserve">Leads and marketing</t>
  </si>
  <si>
    <t xml:space="preserve">Own everything upstream of the quote: the lead sources, the spend, the response time, the reviews and the referral engine. Leads arrive, or this role has not been done.</t>
  </si>
  <si>
    <t xml:space="preserve">Leads and cost per lead reported monthly. The agreed target is set each January and missed months are flagged the same month, not at year end.</t>
  </si>
  <si>
    <t xml:space="preserve">The software</t>
  </si>
  <si>
    <t xml:space="preserve">Build, run and maintain the Command platform. Keep it working. Fix what breaks. Train whoever needs training.</t>
  </si>
  <si>
    <t xml:space="preserve">Uptime and the fact that crews and the office actually use it. A system nobody uses is a system that was not delivered.</t>
  </si>
  <si>
    <t xml:space="preserve">The numbers</t>
  </si>
  <si>
    <t xml:space="preserve">Keep the model current, produce the monthly figures Charlie needs to run the business, and tell him bad news early rather than tidily.</t>
  </si>
  <si>
    <t xml:space="preserve">A monthly pack, on the same date every month, whether the news is good or not.</t>
  </si>
  <si>
    <t xml:space="preserve">Show up</t>
  </si>
  <si>
    <t xml:space="preserve">Be reachable and present for the agreed hours. Fractional means fewer hours, not optional ones.</t>
  </si>
  <si>
    <t xml:space="preserve">Agreed in advance. If the hours need to change, they get renegotiated rather than quietly reduced.</t>
  </si>
  <si>
    <t xml:space="preserve">Confidentiality and non-circumvention</t>
  </si>
  <si>
    <t xml:space="preserve">Charlie's customers, pricing and data are his. Not to be used elsewhere, during or after.</t>
  </si>
  <si>
    <t xml:space="preserve">Covered in the mutual NDA and repeated here so it cannot be claimed it was never discussed.</t>
  </si>
  <si>
    <t xml:space="preserve">WHAT THE COMPANY OWES NED</t>
  </si>
  <si>
    <t xml:space="preserve">Pay on time</t>
  </si>
  <si>
    <t xml:space="preserve">The base is paid on the same day each month. The growth share is calculated within 60 days of year end and paid within 30 days of that.</t>
  </si>
  <si>
    <t xml:space="preserve">Late pay is itself a Step 2 event. It is not a cash-flow question, it is a trust question.</t>
  </si>
  <si>
    <t xml:space="preserve">Open books</t>
  </si>
  <si>
    <t xml:space="preserve">Full access to the accounts needed to calculate the share. The share cannot be verified by somebody who cannot see the numbers.</t>
  </si>
  <si>
    <t xml:space="preserve">Read access to the books, and the CPA's year-end figure as the binding one.</t>
  </si>
  <si>
    <t xml:space="preserve">Actually run the plan</t>
  </si>
  <si>
    <t xml:space="preserve">The share is earned on profit growth. That growth requires Charlie to do the agreed things - hire the crews, hold the price, work the gates. If he declines to run the plan, the share cannot be earned through no fault of Ned's.</t>
  </si>
  <si>
    <t xml:space="preserve">If an agreed growth step is refused, that year's share is calculated as though it had been taken - or the arrangement ends cleanly. Not both parties losing.</t>
  </si>
  <si>
    <t xml:space="preserve">Decision authority</t>
  </si>
  <si>
    <t xml:space="preserve">Within the agreed areas - marketing spend up to the budget, the software, the systems - decisions are Ned's to make and not re-litigated afterwards.</t>
  </si>
  <si>
    <t xml:space="preserve">Written down, once, at the start.</t>
  </si>
  <si>
    <t xml:space="preserve">The equity is real</t>
  </si>
  <si>
    <t xml:space="preserve">The profits interest is granted when agreed, papered by an attorney, with an 83(b) filed. A promise of equity that never gets documented is not equity.</t>
  </si>
  <si>
    <t xml:space="preserve">Signed operating agreement amendment. There is no informal version of this.</t>
  </si>
  <si>
    <t xml:space="preserve">IF SOMEBODY IS NOT HOLDING UP THEIR END</t>
  </si>
  <si>
    <t xml:space="preserve">Stage</t>
  </si>
  <si>
    <t xml:space="preserve">What happens</t>
  </si>
  <si>
    <t xml:space="preserve">The consequence</t>
  </si>
  <si>
    <t xml:space="preserve">Step 1 - Say it out loud</t>
  </si>
  <si>
    <t xml:space="preserve">A conversation, in private, naming the specific thing. Not a mood, not a hint, not a comment in front of the crew. Most problems die here and never get further.</t>
  </si>
  <si>
    <t xml:space="preserve">No paperwork. No consequence. This step is free and it is the one most often skipped.</t>
  </si>
  <si>
    <t xml:space="preserve">Step 2 - Put it in writing</t>
  </si>
  <si>
    <t xml:space="preserve">If it is still happening 30 days later: one page, dated, naming the obligation, what was missed, and what fixing it looks like. Both sides sign that they have read it. This is not a disciplinary letter - it is a shared record so that in six months nobody is arguing about what was said.</t>
  </si>
  <si>
    <t xml:space="preserve">A signed note in the file. Nothing else changes - no pay cut, no equity change.</t>
  </si>
  <si>
    <t xml:space="preserve">Step 3 - A real cure period</t>
  </si>
  <si>
    <t xml:space="preserve">90 days to fix it, with a specific, measurable definition of fixed agreed at the start of the 90 days rather than judged at the end of it.</t>
  </si>
  <si>
    <t xml:space="preserve">Reviewed at the end of the 90 days by both parties, in writing.</t>
  </si>
  <si>
    <t xml:space="preserve">Step 4 - Consequence</t>
  </si>
  <si>
    <t xml:space="preserve">If the same obligation is missed twice in twelve months after a Step 3 cure: vesting pauses until it is corrected. Vesting PAUSES - nothing already earned is taken away. If the miss is on the company's side instead, the partner's notice period shortens and vesting accelerates by the same amount.</t>
  </si>
  <si>
    <t xml:space="preserve">The vesting clock stops. It restarts when the cure is confirmed.</t>
  </si>
  <si>
    <t xml:space="preserve">Step 5 - Separation, on good terms</t>
  </si>
  <si>
    <t xml:space="preserve">Either side may end it on 90 days' written notice, for any reason or none. Everything vested is bought at the formula price on the Buyout tab. This is the normal exit and it is nobody's failure.</t>
  </si>
  <si>
    <t xml:space="preserve">Formula price, standard payment terms.</t>
  </si>
  <si>
    <t xml:space="preserve">Cause - the narrow exception</t>
  </si>
  <si>
    <t xml:space="preserve">Only for the items listed below. Cause requires written notice, a 15-day cure where a cure is possible, and the CPA's concurrence that it qualifies. Unvested value is forfeited and vested value is bought at the lower of cost or formula.</t>
  </si>
  <si>
    <t xml:space="preserve">Deliberately hard to invoke. 'We disagree' and 'it is not working' are Step 5, not cause.</t>
  </si>
  <si>
    <t xml:space="preserve">WHAT COUNTS AS CAUSE - AND NOTHING ELSE DOES</t>
  </si>
  <si>
    <t xml:space="preserve">•</t>
  </si>
  <si>
    <t xml:space="preserve">Dishonesty about money - taking it, hiding it, or misreporting it.</t>
  </si>
  <si>
    <t xml:space="preserve">Working against the company: competing with it, soliciting its customers or crews for somebody else, or handing its data to a competitor.</t>
  </si>
  <si>
    <t xml:space="preserve">A criminal act that materially damages the business or its reputation.</t>
  </si>
  <si>
    <t xml:space="preserve">Complete and sustained abandonment of the role - not a slow patch, not a disagreement about direction, and not a year where the numbers were disappointing.</t>
  </si>
  <si>
    <t xml:space="preserve">Nothing else. In particular: being wrong, being late, being difficult, losing an argument, or the plan simply not working are NOT cause. They are Step 5.</t>
  </si>
  <si>
    <t xml:space="preserve">The tiebreaker: any disagreement about whether an obligation has been met goes to the company's CPA. Their call binds both sides. It is not a court, it is not a lawyer, and it costs almost nothing - which is the point.</t>
  </si>
  <si>
    <t xml:space="preserve">The slack is deliberate. Two conversations and ninety days before anything at all happens to anyone's money. That is more rope than any employer would give, and it is there because these are friendships first. What the slack is NOT is permission for a problem to go unnamed for a year and then surface as a fight.</t>
  </si>
  <si>
    <t xml:space="preserve">None of this is legal drafting. It is the commercial agreement in plain words so that an attorney can paper it quickly and cheaply, and so that both signers actually understand what they signed.</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</si>
</sst>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9"/>
      <name val="Arial"/>
      <family val="0"/>
      <charset val="1"/>
    </font>
    <font>
      <sz val="10"/>
      <name val="Arial"/>
      <family val="0"/>
      <charset val="1"/>
    </font>
    <font>
      <sz val="10"/>
      <color rgb="FF0000FF"/>
      <name val="Arial"/>
      <family val="0"/>
      <charset val="1"/>
    </font>
    <font>
      <sz val="9"/>
      <color rgb="FF46524E"/>
      <name val="Arial"/>
      <family val="0"/>
      <charset val="1"/>
    </font>
    <font>
      <b val="true"/>
      <sz val="10"/>
      <name val="Arial"/>
      <family val="0"/>
      <charset val="1"/>
    </font>
    <font>
      <b val="true"/>
      <sz val="11"/>
      <color rgb="FF1F5A6E"/>
      <name val="Arial"/>
      <family val="0"/>
      <charset val="1"/>
    </font>
    <font>
      <sz val="9.5"/>
      <name val="Arial"/>
      <family val="0"/>
      <charset val="1"/>
    </font>
    <font>
      <i val="true"/>
      <sz val="1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EF1EF"/>
        <bgColor rgb="FFDCEEE1"/>
      </patternFill>
    </fill>
    <fill>
      <patternFill patternType="solid">
        <fgColor rgb="FFD8E7EC"/>
        <bgColor rgb="FFDCEEE1"/>
      </patternFill>
    </fill>
    <fill>
      <patternFill patternType="solid">
        <fgColor rgb="FFDCEEE1"/>
        <bgColor rgb="FFD8E7EC"/>
      </patternFill>
    </fill>
    <fill>
      <patternFill patternType="solid">
        <fgColor rgb="FFF6E9CF"/>
        <bgColor rgb="FFEEF1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8" fillId="2"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808000"/>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E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5"/>
    <col collapsed="false" customWidth="true" hidden="false" outlineLevel="0" max="3" min="3" style="0" width="86"/>
  </cols>
  <sheetData>
    <row r="1" customFormat="false" ht="17.35" hidden="false" customHeight="false" outlineLevel="0" collapsed="false">
      <c r="A1" s="1" t="s">
        <v>0</v>
      </c>
      <c r="B1" s="2"/>
      <c r="C1" s="2"/>
    </row>
    <row r="2" customFormat="false" ht="15" hidden="false" customHeight="false" outlineLevel="0" collapsed="false">
      <c r="A2" s="3" t="s">
        <v>1</v>
      </c>
      <c r="B2" s="2"/>
      <c r="C2" s="2"/>
    </row>
    <row r="3" customFormat="false" ht="15" hidden="false" customHeight="false" outlineLevel="0" collapsed="false">
      <c r="A3" s="2"/>
      <c r="B3" s="2"/>
      <c r="C3" s="2"/>
    </row>
    <row r="4" customFormat="false" ht="12.75" hidden="false" customHeight="true" outlineLevel="0" collapsed="false">
      <c r="A4" s="4" t="s">
        <v>2</v>
      </c>
      <c r="B4" s="5" t="n">
        <v>60000</v>
      </c>
      <c r="C4" s="6" t="s">
        <v>3</v>
      </c>
    </row>
    <row r="5" customFormat="false" ht="12.75" hidden="false" customHeight="true" outlineLevel="0" collapsed="false">
      <c r="A5" s="4" t="s">
        <v>4</v>
      </c>
      <c r="B5" s="5" t="n">
        <v>66000</v>
      </c>
      <c r="C5" s="6"/>
    </row>
    <row r="6" customFormat="false" ht="12.75" hidden="false" customHeight="true" outlineLevel="0" collapsed="false">
      <c r="A6" s="4" t="s">
        <v>5</v>
      </c>
      <c r="B6" s="5" t="n">
        <v>72000</v>
      </c>
      <c r="C6" s="6"/>
    </row>
    <row r="7" customFormat="false" ht="12.75" hidden="false" customHeight="true" outlineLevel="0" collapsed="false">
      <c r="A7" s="4" t="s">
        <v>6</v>
      </c>
      <c r="B7" s="7" t="n">
        <v>0.0275</v>
      </c>
      <c r="C7" s="6" t="s">
        <v>7</v>
      </c>
    </row>
    <row r="8" customFormat="false" ht="12.75" hidden="false" customHeight="true" outlineLevel="0" collapsed="false">
      <c r="A8" s="4" t="s">
        <v>8</v>
      </c>
      <c r="B8" s="7" t="n">
        <v>0.1</v>
      </c>
      <c r="C8" s="6" t="s">
        <v>9</v>
      </c>
    </row>
    <row r="9" customFormat="false" ht="25.5" hidden="false" customHeight="true" outlineLevel="0" collapsed="false">
      <c r="A9" s="4" t="s">
        <v>10</v>
      </c>
      <c r="B9" s="5" t="n">
        <v>0</v>
      </c>
      <c r="C9" s="6" t="s">
        <v>11</v>
      </c>
    </row>
    <row r="10" customFormat="false" ht="39" hidden="false" customHeight="true" outlineLevel="0" collapsed="false">
      <c r="A10" s="4" t="s">
        <v>12</v>
      </c>
      <c r="B10" s="7" t="n">
        <v>0.15</v>
      </c>
      <c r="C10" s="6" t="s">
        <v>13</v>
      </c>
    </row>
    <row r="11" customFormat="false" ht="25.5" hidden="false" customHeight="true" outlineLevel="0" collapsed="false">
      <c r="A11" s="4" t="s">
        <v>14</v>
      </c>
      <c r="B11" s="5" t="n">
        <v>170000</v>
      </c>
      <c r="C11" s="6" t="s">
        <v>15</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16</v>
      </c>
      <c r="B1" s="2"/>
      <c r="C1" s="2"/>
      <c r="D1" s="2"/>
      <c r="E1" s="2"/>
      <c r="F1" s="2"/>
      <c r="G1" s="2"/>
      <c r="H1" s="2"/>
      <c r="I1" s="2"/>
      <c r="J1" s="2"/>
      <c r="K1" s="2"/>
      <c r="L1" s="2"/>
      <c r="M1" s="2"/>
      <c r="N1" s="2"/>
      <c r="O1" s="2"/>
      <c r="P1" s="2"/>
      <c r="Q1" s="2"/>
      <c r="R1" s="2"/>
    </row>
    <row r="2" customFormat="false" ht="15" hidden="false" customHeight="false" outlineLevel="0" collapsed="false">
      <c r="A2" s="3" t="s">
        <v>17</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2"/>
      <c r="B4" s="2"/>
      <c r="C4" s="2"/>
      <c r="D4" s="2"/>
      <c r="E4" s="2"/>
      <c r="F4" s="2"/>
      <c r="G4" s="2"/>
      <c r="H4" s="2"/>
      <c r="I4" s="2"/>
      <c r="J4" s="2"/>
      <c r="K4" s="2"/>
      <c r="L4" s="2"/>
      <c r="M4" s="2"/>
      <c r="N4" s="2"/>
      <c r="O4" s="2"/>
      <c r="P4" s="2"/>
      <c r="Q4" s="2"/>
      <c r="R4" s="2"/>
    </row>
    <row r="5" customFormat="false" ht="15" hidden="false" customHeight="false" outlineLevel="0" collapsed="false">
      <c r="A5" s="8" t="s">
        <v>18</v>
      </c>
      <c r="B5" s="9" t="n">
        <v>1</v>
      </c>
      <c r="C5" s="9" t="n">
        <v>2</v>
      </c>
      <c r="D5" s="9" t="n">
        <v>3</v>
      </c>
      <c r="E5" s="9" t="n">
        <v>4</v>
      </c>
      <c r="F5" s="9" t="n">
        <v>5</v>
      </c>
      <c r="G5" s="9" t="n">
        <v>6</v>
      </c>
      <c r="H5" s="9" t="n">
        <v>7</v>
      </c>
      <c r="I5" s="9" t="n">
        <v>8</v>
      </c>
      <c r="J5" s="9" t="n">
        <v>9</v>
      </c>
      <c r="K5" s="9" t="n">
        <v>10</v>
      </c>
      <c r="L5" s="9" t="n">
        <v>11</v>
      </c>
      <c r="M5" s="9" t="n">
        <v>12</v>
      </c>
      <c r="N5" s="9" t="n">
        <v>13</v>
      </c>
      <c r="O5" s="9" t="n">
        <v>14</v>
      </c>
      <c r="P5" s="9" t="n">
        <v>15</v>
      </c>
      <c r="Q5" s="2"/>
      <c r="R5" s="8" t="s">
        <v>19</v>
      </c>
    </row>
    <row r="6" customFormat="false" ht="15" hidden="false" customHeight="false" outlineLevel="0" collapsed="false">
      <c r="A6" s="8" t="s">
        <v>20</v>
      </c>
      <c r="B6" s="10" t="n">
        <v>164146.07309104</v>
      </c>
      <c r="C6" s="10" t="n">
        <v>153726.24221904</v>
      </c>
      <c r="D6" s="10" t="n">
        <v>211218.979335931</v>
      </c>
      <c r="E6" s="10" t="n">
        <v>337332.012318055</v>
      </c>
      <c r="F6" s="10" t="n">
        <v>329969.659557169</v>
      </c>
      <c r="G6" s="10" t="n">
        <v>316088.769207364</v>
      </c>
      <c r="H6" s="10" t="n">
        <v>447197.758851492</v>
      </c>
      <c r="I6" s="10" t="n">
        <v>585647.486330165</v>
      </c>
      <c r="J6" s="10" t="n">
        <v>731486.5874483</v>
      </c>
      <c r="K6" s="10" t="n">
        <v>748428.470548401</v>
      </c>
      <c r="L6" s="10" t="n">
        <v>912695.917051482</v>
      </c>
      <c r="M6" s="10" t="n">
        <v>1084746.42040954</v>
      </c>
      <c r="N6" s="10" t="n">
        <v>1264609.86275326</v>
      </c>
      <c r="O6" s="10" t="n">
        <v>1330797.94885832</v>
      </c>
      <c r="P6" s="10" t="n">
        <v>1394843.49387317</v>
      </c>
      <c r="Q6" s="2"/>
      <c r="R6" s="6" t="s">
        <v>21</v>
      </c>
    </row>
    <row r="7" customFormat="false" ht="15" hidden="false" customHeight="false" outlineLevel="0" collapsed="false">
      <c r="A7" s="4" t="s">
        <v>22</v>
      </c>
      <c r="B7" s="11" t="n">
        <f aca="false">'Your numbers'!$B$4</f>
        <v>60000</v>
      </c>
      <c r="C7" s="11" t="n">
        <f aca="false">'Your numbers'!$B$4</f>
        <v>60000</v>
      </c>
      <c r="D7" s="11" t="n">
        <f aca="false">'Your numbers'!$B$5</f>
        <v>66000</v>
      </c>
      <c r="E7" s="11" t="n">
        <f aca="false">'Your numbers'!$B$6</f>
        <v>72000</v>
      </c>
      <c r="F7" s="11" t="n">
        <f aca="false">'Your numbers'!$B$6</f>
        <v>72000</v>
      </c>
      <c r="G7" s="11" t="n">
        <f aca="false">F7*(1+'Your numbers'!$B$7)</f>
        <v>73980</v>
      </c>
      <c r="H7" s="11" t="n">
        <f aca="false">G7*(1+'Your numbers'!$B$7)</f>
        <v>76014.45</v>
      </c>
      <c r="I7" s="11" t="n">
        <f aca="false">H7*(1+'Your numbers'!$B$7)</f>
        <v>78104.847375</v>
      </c>
      <c r="J7" s="11" t="n">
        <f aca="false">I7*(1+'Your numbers'!$B$7)</f>
        <v>80252.7306778125</v>
      </c>
      <c r="K7" s="11" t="n">
        <f aca="false">J7*(1+'Your numbers'!$B$7)</f>
        <v>82459.6807714524</v>
      </c>
      <c r="L7" s="11" t="n">
        <f aca="false">K7*(1+'Your numbers'!$B$7)</f>
        <v>84727.3219926673</v>
      </c>
      <c r="M7" s="11" t="n">
        <f aca="false">L7*(1+'Your numbers'!$B$7)</f>
        <v>87057.3233474657</v>
      </c>
      <c r="N7" s="11" t="n">
        <f aca="false">M7*(1+'Your numbers'!$B$7)</f>
        <v>89451.399739521</v>
      </c>
      <c r="O7" s="11" t="n">
        <f aca="false">N7*(1+'Your numbers'!$B$7)</f>
        <v>91911.3132323578</v>
      </c>
      <c r="P7" s="11" t="n">
        <f aca="false">O7*(1+'Your numbers'!$B$7)</f>
        <v>94438.8743462477</v>
      </c>
      <c r="Q7" s="2"/>
      <c r="R7" s="2"/>
    </row>
    <row r="8" customFormat="false" ht="15" hidden="false" customHeight="false" outlineLevel="0" collapsed="false">
      <c r="A8" s="4" t="s">
        <v>23</v>
      </c>
      <c r="B8" s="11" t="n">
        <f aca="false">MAX(0,B6-'Your numbers'!$B$9)</f>
        <v>164146.07309104</v>
      </c>
      <c r="C8" s="11" t="n">
        <f aca="false">MAX(0,C6-'Your numbers'!$B$9)</f>
        <v>153726.24221904</v>
      </c>
      <c r="D8" s="11" t="n">
        <f aca="false">MAX(0,D6-'Your numbers'!$B$9)</f>
        <v>211218.979335931</v>
      </c>
      <c r="E8" s="11" t="n">
        <f aca="false">MAX(0,E6-'Your numbers'!$B$9)</f>
        <v>337332.012318055</v>
      </c>
      <c r="F8" s="11" t="n">
        <f aca="false">MAX(0,F6-'Your numbers'!$B$9)</f>
        <v>329969.659557169</v>
      </c>
      <c r="G8" s="11" t="n">
        <f aca="false">MAX(0,G6-'Your numbers'!$B$9)</f>
        <v>316088.769207364</v>
      </c>
      <c r="H8" s="11" t="n">
        <f aca="false">MAX(0,H6-'Your numbers'!$B$9)</f>
        <v>447197.758851492</v>
      </c>
      <c r="I8" s="11" t="n">
        <f aca="false">MAX(0,I6-'Your numbers'!$B$9)</f>
        <v>585647.486330165</v>
      </c>
      <c r="J8" s="11" t="n">
        <f aca="false">MAX(0,J6-'Your numbers'!$B$9)</f>
        <v>731486.5874483</v>
      </c>
      <c r="K8" s="11" t="n">
        <f aca="false">MAX(0,K6-'Your numbers'!$B$9)</f>
        <v>748428.470548401</v>
      </c>
      <c r="L8" s="11" t="n">
        <f aca="false">MAX(0,L6-'Your numbers'!$B$9)</f>
        <v>912695.917051482</v>
      </c>
      <c r="M8" s="11" t="n">
        <f aca="false">MAX(0,M6-'Your numbers'!$B$9)</f>
        <v>1084746.42040954</v>
      </c>
      <c r="N8" s="11" t="n">
        <f aca="false">MAX(0,N6-'Your numbers'!$B$9)</f>
        <v>1264609.86275326</v>
      </c>
      <c r="O8" s="11" t="n">
        <f aca="false">MAX(0,O6-'Your numbers'!$B$9)</f>
        <v>1330797.94885832</v>
      </c>
      <c r="P8" s="11" t="n">
        <f aca="false">MAX(0,P6-'Your numbers'!$B$9)</f>
        <v>1394843.49387317</v>
      </c>
      <c r="Q8" s="2"/>
      <c r="R8" s="2"/>
    </row>
    <row r="9" customFormat="false" ht="15" hidden="false" customHeight="false" outlineLevel="0" collapsed="false">
      <c r="A9" s="4" t="s">
        <v>24</v>
      </c>
      <c r="B9" s="11" t="n">
        <f aca="false">B8*'Your numbers'!$B$8</f>
        <v>16414.607309104</v>
      </c>
      <c r="C9" s="11" t="n">
        <f aca="false">C8*'Your numbers'!$B$8</f>
        <v>15372.624221904</v>
      </c>
      <c r="D9" s="11" t="n">
        <f aca="false">D8*'Your numbers'!$B$8</f>
        <v>21121.8979335931</v>
      </c>
      <c r="E9" s="11" t="n">
        <f aca="false">E8*'Your numbers'!$B$8</f>
        <v>33733.2012318055</v>
      </c>
      <c r="F9" s="11" t="n">
        <f aca="false">F8*'Your numbers'!$B$8</f>
        <v>32996.9659557169</v>
      </c>
      <c r="G9" s="11" t="n">
        <f aca="false">G8*'Your numbers'!$B$8</f>
        <v>31608.8769207364</v>
      </c>
      <c r="H9" s="11" t="n">
        <f aca="false">H8*'Your numbers'!$B$8</f>
        <v>44719.7758851492</v>
      </c>
      <c r="I9" s="11" t="n">
        <f aca="false">I8*'Your numbers'!$B$8</f>
        <v>58564.7486330165</v>
      </c>
      <c r="J9" s="11" t="n">
        <f aca="false">J8*'Your numbers'!$B$8</f>
        <v>73148.65874483</v>
      </c>
      <c r="K9" s="11" t="n">
        <f aca="false">K8*'Your numbers'!$B$8</f>
        <v>74842.8470548401</v>
      </c>
      <c r="L9" s="11" t="n">
        <f aca="false">L8*'Your numbers'!$B$8</f>
        <v>91269.5917051482</v>
      </c>
      <c r="M9" s="11" t="n">
        <f aca="false">M8*'Your numbers'!$B$8</f>
        <v>108474.642040954</v>
      </c>
      <c r="N9" s="11" t="n">
        <f aca="false">N8*'Your numbers'!$B$8</f>
        <v>126460.986275326</v>
      </c>
      <c r="O9" s="11" t="n">
        <f aca="false">O8*'Your numbers'!$B$8</f>
        <v>133079.794885832</v>
      </c>
      <c r="P9" s="11" t="n">
        <f aca="false">P8*'Your numbers'!$B$8</f>
        <v>139484.349387317</v>
      </c>
      <c r="Q9" s="2"/>
      <c r="R9" s="2"/>
    </row>
    <row r="10" customFormat="false" ht="15" hidden="false" customHeight="false" outlineLevel="0" collapsed="false">
      <c r="A10" s="8" t="s">
        <v>25</v>
      </c>
      <c r="B10" s="10" t="n">
        <f aca="false">B7+B9</f>
        <v>76414.607309104</v>
      </c>
      <c r="C10" s="10" t="n">
        <f aca="false">C7+C9</f>
        <v>75372.624221904</v>
      </c>
      <c r="D10" s="10" t="n">
        <f aca="false">D7+D9</f>
        <v>87121.8979335931</v>
      </c>
      <c r="E10" s="10" t="n">
        <f aca="false">E7+E9</f>
        <v>105733.201231806</v>
      </c>
      <c r="F10" s="10" t="n">
        <f aca="false">F7+F9</f>
        <v>104996.965955717</v>
      </c>
      <c r="G10" s="10" t="n">
        <f aca="false">G7+G9</f>
        <v>105588.876920736</v>
      </c>
      <c r="H10" s="10" t="n">
        <f aca="false">H7+H9</f>
        <v>120734.225885149</v>
      </c>
      <c r="I10" s="10" t="n">
        <f aca="false">I7+I9</f>
        <v>136669.596008017</v>
      </c>
      <c r="J10" s="10" t="n">
        <f aca="false">J7+J9</f>
        <v>153401.389422643</v>
      </c>
      <c r="K10" s="10" t="n">
        <f aca="false">K7+K9</f>
        <v>157302.527826293</v>
      </c>
      <c r="L10" s="10" t="n">
        <f aca="false">L7+L9</f>
        <v>175996.913697816</v>
      </c>
      <c r="M10" s="10" t="n">
        <f aca="false">M7+M9</f>
        <v>195531.96538842</v>
      </c>
      <c r="N10" s="10" t="n">
        <f aca="false">N7+N9</f>
        <v>215912.386014847</v>
      </c>
      <c r="O10" s="10" t="n">
        <f aca="false">O7+O9</f>
        <v>224991.10811819</v>
      </c>
      <c r="P10" s="10" t="n">
        <f aca="false">P7+P9</f>
        <v>233923.223733565</v>
      </c>
      <c r="Q10" s="2"/>
      <c r="R10" s="2"/>
    </row>
    <row r="11" customFormat="false" ht="15" hidden="false" customHeight="false" outlineLevel="0" collapsed="false">
      <c r="A11" s="8" t="s">
        <v>26</v>
      </c>
      <c r="B11" s="10" t="n">
        <f aca="false">B10</f>
        <v>76414.607309104</v>
      </c>
      <c r="C11" s="10" t="n">
        <f aca="false">B11+C10</f>
        <v>151787.231531008</v>
      </c>
      <c r="D11" s="10" t="n">
        <f aca="false">C11+D10</f>
        <v>238909.129464601</v>
      </c>
      <c r="E11" s="10" t="n">
        <f aca="false">D11+E10</f>
        <v>344642.330696407</v>
      </c>
      <c r="F11" s="10" t="n">
        <f aca="false">E11+F10</f>
        <v>449639.296652124</v>
      </c>
      <c r="G11" s="10" t="n">
        <f aca="false">F11+G10</f>
        <v>555228.17357286</v>
      </c>
      <c r="H11" s="10" t="n">
        <f aca="false">G11+H10</f>
        <v>675962.399458009</v>
      </c>
      <c r="I11" s="10" t="n">
        <f aca="false">H11+I10</f>
        <v>812631.995466026</v>
      </c>
      <c r="J11" s="10" t="n">
        <f aca="false">I11+J10</f>
        <v>966033.384888668</v>
      </c>
      <c r="K11" s="10" t="n">
        <f aca="false">J11+K10</f>
        <v>1123335.91271496</v>
      </c>
      <c r="L11" s="10" t="n">
        <f aca="false">K11+L10</f>
        <v>1299332.82641278</v>
      </c>
      <c r="M11" s="10" t="n">
        <f aca="false">L11+M10</f>
        <v>1494864.7918012</v>
      </c>
      <c r="N11" s="10" t="n">
        <f aca="false">M11+N10</f>
        <v>1710777.17781604</v>
      </c>
      <c r="O11" s="10" t="n">
        <f aca="false">N11+O10</f>
        <v>1935768.28593423</v>
      </c>
      <c r="P11" s="10" t="n">
        <f aca="false">O11+P10</f>
        <v>2169691.5096678</v>
      </c>
      <c r="Q11" s="2"/>
      <c r="R11" s="2"/>
    </row>
    <row r="12" customFormat="false" ht="22.35" hidden="false" customHeight="false" outlineLevel="0" collapsed="false">
      <c r="A12" s="4" t="s">
        <v>27</v>
      </c>
      <c r="B12" s="12" t="n">
        <f aca="false">B10/1107883.476</f>
        <v>0.0689735057562173</v>
      </c>
      <c r="C12" s="12" t="n">
        <f aca="false">C10/1130224.27392</f>
        <v>0.0666882015907217</v>
      </c>
      <c r="D12" s="12" t="n">
        <f aca="false">D10/1470581.13731659</f>
        <v>0.0592431765394236</v>
      </c>
      <c r="E12" s="12" t="n">
        <f aca="false">E10/2128361.5241759</f>
        <v>0.0496782149229771</v>
      </c>
      <c r="F12" s="12" t="n">
        <f aca="false">F10/2531696.60117519</f>
        <v>0.0414729655626896</v>
      </c>
      <c r="G12" s="12" t="n">
        <f aca="false">G10/2960567.60023987</f>
        <v>0.0356650788558861</v>
      </c>
      <c r="H12" s="12" t="n">
        <f aca="false">H10/3415973.30476096</f>
        <v>0.0353440191458399</v>
      </c>
      <c r="I12" s="12" t="n">
        <f aca="false">I10/3898958.3702101</f>
        <v>0.0350528482305011</v>
      </c>
      <c r="J12" s="12" t="n">
        <f aca="false">J10/4410614.70976327</f>
        <v>0.0347800475709374</v>
      </c>
      <c r="K12" s="12" t="n">
        <f aca="false">K10/4952082.94628947</f>
        <v>0.0317649218586206</v>
      </c>
      <c r="L12" s="12" t="n">
        <f aca="false">L10/5524553.93215493</f>
        <v>0.031857217045787</v>
      </c>
      <c r="M12" s="12" t="n">
        <f aca="false">M10/6129270.33838766</f>
        <v>0.0319013446288707</v>
      </c>
      <c r="N12" s="12" t="n">
        <f aca="false">N10/6767528.314843</f>
        <v>0.031904171799517</v>
      </c>
      <c r="O12" s="12" t="n">
        <f aca="false">O10/7045784.99129078</f>
        <v>0.0319327240891255</v>
      </c>
      <c r="P12" s="12" t="n">
        <f aca="false">P10/7328447.27269707</f>
        <v>0.0319198890336663</v>
      </c>
      <c r="Q12" s="2"/>
      <c r="R12" s="6" t="s">
        <v>28</v>
      </c>
    </row>
    <row r="13" customFormat="false" ht="15" hidden="false" customHeight="false" outlineLevel="0" collapsed="false">
      <c r="A13" s="13" t="s">
        <v>29</v>
      </c>
      <c r="B13" s="14"/>
      <c r="C13" s="14"/>
      <c r="D13" s="14"/>
      <c r="E13" s="14"/>
      <c r="F13" s="14"/>
      <c r="G13" s="14"/>
      <c r="H13" s="14"/>
      <c r="I13" s="14"/>
      <c r="J13" s="14"/>
      <c r="K13" s="14"/>
      <c r="L13" s="14"/>
      <c r="M13" s="14"/>
      <c r="N13" s="14"/>
      <c r="O13" s="14"/>
      <c r="P13" s="14"/>
      <c r="Q13" s="2"/>
      <c r="R13" s="14"/>
    </row>
    <row r="14" customFormat="false" ht="15" hidden="false" customHeight="false" outlineLevel="0" collapsed="false">
      <c r="A14" s="4" t="s">
        <v>30</v>
      </c>
      <c r="B14" s="11" t="n">
        <v>691314.397345807</v>
      </c>
      <c r="C14" s="11" t="n">
        <v>752384.283227823</v>
      </c>
      <c r="D14" s="11" t="n">
        <v>925823.920331045</v>
      </c>
      <c r="E14" s="11" t="n">
        <v>1742417.68455785</v>
      </c>
      <c r="F14" s="11" t="n">
        <v>1826323.55921217</v>
      </c>
      <c r="G14" s="11" t="n">
        <v>1879798.57190215</v>
      </c>
      <c r="H14" s="11" t="n">
        <v>2566573.43382394</v>
      </c>
      <c r="I14" s="11" t="n">
        <v>3338763.68812422</v>
      </c>
      <c r="J14" s="11" t="n">
        <v>4199351.48996621</v>
      </c>
      <c r="K14" s="11" t="n">
        <v>4551505.48237858</v>
      </c>
      <c r="L14" s="11" t="n">
        <v>7514344.27315891</v>
      </c>
      <c r="M14" s="11" t="n">
        <v>8966057.46435439</v>
      </c>
      <c r="N14" s="11" t="n">
        <v>10536753.2656805</v>
      </c>
      <c r="O14" s="11" t="n">
        <v>11512931.8634761</v>
      </c>
      <c r="P14" s="11" t="n">
        <v>12490190.7073309</v>
      </c>
      <c r="Q14" s="2"/>
      <c r="R14" s="2"/>
    </row>
    <row r="15" customFormat="false" ht="15" hidden="false" customHeight="false" outlineLevel="0" collapsed="false">
      <c r="A15" s="4" t="s">
        <v>31</v>
      </c>
      <c r="B15" s="11" t="n">
        <f aca="false">MAX(0,B14-'Your numbers'!$B$11)</f>
        <v>521314.397345807</v>
      </c>
      <c r="C15" s="11" t="n">
        <f aca="false">MAX(0,C14-'Your numbers'!$B$11)</f>
        <v>582384.283227823</v>
      </c>
      <c r="D15" s="11" t="n">
        <f aca="false">MAX(0,D14-'Your numbers'!$B$11)</f>
        <v>755823.920331045</v>
      </c>
      <c r="E15" s="11" t="n">
        <f aca="false">MAX(0,E14-'Your numbers'!$B$11)</f>
        <v>1572417.68455785</v>
      </c>
      <c r="F15" s="11" t="n">
        <f aca="false">MAX(0,F14-'Your numbers'!$B$11)</f>
        <v>1656323.55921217</v>
      </c>
      <c r="G15" s="11" t="n">
        <f aca="false">MAX(0,G14-'Your numbers'!$B$11)</f>
        <v>1709798.57190215</v>
      </c>
      <c r="H15" s="11" t="n">
        <f aca="false">MAX(0,H14-'Your numbers'!$B$11)</f>
        <v>2396573.43382394</v>
      </c>
      <c r="I15" s="11" t="n">
        <f aca="false">MAX(0,I14-'Your numbers'!$B$11)</f>
        <v>3168763.68812422</v>
      </c>
      <c r="J15" s="11" t="n">
        <f aca="false">MAX(0,J14-'Your numbers'!$B$11)</f>
        <v>4029351.48996621</v>
      </c>
      <c r="K15" s="11" t="n">
        <f aca="false">MAX(0,K14-'Your numbers'!$B$11)</f>
        <v>4381505.48237858</v>
      </c>
      <c r="L15" s="11" t="n">
        <f aca="false">MAX(0,L14-'Your numbers'!$B$11)</f>
        <v>7344344.27315891</v>
      </c>
      <c r="M15" s="11" t="n">
        <f aca="false">MAX(0,M14-'Your numbers'!$B$11)</f>
        <v>8796057.46435439</v>
      </c>
      <c r="N15" s="11" t="n">
        <f aca="false">MAX(0,N14-'Your numbers'!$B$11)</f>
        <v>10366753.2656805</v>
      </c>
      <c r="O15" s="11" t="n">
        <f aca="false">MAX(0,O14-'Your numbers'!$B$11)</f>
        <v>11342931.8634761</v>
      </c>
      <c r="P15" s="11" t="n">
        <f aca="false">MAX(0,P14-'Your numbers'!$B$11)</f>
        <v>12320190.7073309</v>
      </c>
      <c r="Q15" s="2"/>
      <c r="R15" s="2"/>
    </row>
    <row r="16" customFormat="false" ht="15" hidden="false" customHeight="false" outlineLevel="0" collapsed="false">
      <c r="A16" s="8" t="s">
        <v>32</v>
      </c>
      <c r="B16" s="10" t="n">
        <f aca="false">B15*'Your numbers'!$B$10</f>
        <v>78197.1596018711</v>
      </c>
      <c r="C16" s="10" t="n">
        <f aca="false">C15*'Your numbers'!$B$10</f>
        <v>87357.6424841734</v>
      </c>
      <c r="D16" s="10" t="n">
        <f aca="false">D15*'Your numbers'!$B$10</f>
        <v>113373.588049657</v>
      </c>
      <c r="E16" s="10" t="n">
        <f aca="false">E15*'Your numbers'!$B$10</f>
        <v>235862.652683678</v>
      </c>
      <c r="F16" s="10" t="n">
        <f aca="false">F15*'Your numbers'!$B$10</f>
        <v>248448.533881826</v>
      </c>
      <c r="G16" s="10" t="n">
        <f aca="false">G15*'Your numbers'!$B$10</f>
        <v>256469.785785322</v>
      </c>
      <c r="H16" s="10" t="n">
        <f aca="false">H15*'Your numbers'!$B$10</f>
        <v>359486.015073591</v>
      </c>
      <c r="I16" s="10" t="n">
        <f aca="false">I15*'Your numbers'!$B$10</f>
        <v>475314.553218633</v>
      </c>
      <c r="J16" s="10" t="n">
        <f aca="false">J15*'Your numbers'!$B$10</f>
        <v>604402.723494932</v>
      </c>
      <c r="K16" s="10" t="n">
        <f aca="false">K15*'Your numbers'!$B$10</f>
        <v>657225.822356787</v>
      </c>
      <c r="L16" s="10" t="n">
        <f aca="false">L15*'Your numbers'!$B$10</f>
        <v>1101651.64097384</v>
      </c>
      <c r="M16" s="10" t="n">
        <f aca="false">M15*'Your numbers'!$B$10</f>
        <v>1319408.61965316</v>
      </c>
      <c r="N16" s="10" t="n">
        <f aca="false">N15*'Your numbers'!$B$10</f>
        <v>1555012.98985207</v>
      </c>
      <c r="O16" s="10" t="n">
        <f aca="false">O15*'Your numbers'!$B$10</f>
        <v>1701439.77952141</v>
      </c>
      <c r="P16" s="10" t="n">
        <f aca="false">P15*'Your numbers'!$B$10</f>
        <v>1848028.60609964</v>
      </c>
      <c r="Q16" s="2"/>
      <c r="R16" s="6" t="s">
        <v>33</v>
      </c>
    </row>
    <row r="17" customFormat="false" ht="15" hidden="false" customHeight="false" outlineLevel="0" collapsed="false">
      <c r="A17" s="8" t="s">
        <v>34</v>
      </c>
      <c r="B17" s="10" t="n">
        <f aca="false">B11+B16</f>
        <v>154611.766910975</v>
      </c>
      <c r="C17" s="10" t="n">
        <f aca="false">C11+C16</f>
        <v>239144.874015181</v>
      </c>
      <c r="D17" s="10" t="n">
        <f aca="false">D11+D16</f>
        <v>352282.717514258</v>
      </c>
      <c r="E17" s="10" t="n">
        <f aca="false">E11+E16</f>
        <v>580504.983380084</v>
      </c>
      <c r="F17" s="10" t="n">
        <f aca="false">F11+F16</f>
        <v>698087.830533949</v>
      </c>
      <c r="G17" s="10" t="n">
        <f aca="false">G11+G16</f>
        <v>811697.959358183</v>
      </c>
      <c r="H17" s="10" t="n">
        <f aca="false">H11+H16</f>
        <v>1035448.4145316</v>
      </c>
      <c r="I17" s="10" t="n">
        <f aca="false">I11+I16</f>
        <v>1287946.54868466</v>
      </c>
      <c r="J17" s="10" t="n">
        <f aca="false">J11+J16</f>
        <v>1570436.1083836</v>
      </c>
      <c r="K17" s="10" t="n">
        <f aca="false">K11+K16</f>
        <v>1780561.73507175</v>
      </c>
      <c r="L17" s="10" t="n">
        <f aca="false">L11+L16</f>
        <v>2400984.46738661</v>
      </c>
      <c r="M17" s="10" t="n">
        <f aca="false">M11+M16</f>
        <v>2814273.41145435</v>
      </c>
      <c r="N17" s="10" t="n">
        <f aca="false">N11+N16</f>
        <v>3265790.16766812</v>
      </c>
      <c r="O17" s="10" t="n">
        <f aca="false">O11+O16</f>
        <v>3637208.06545565</v>
      </c>
      <c r="P17" s="10" t="n">
        <f aca="false">P11+P16</f>
        <v>4017720.11576743</v>
      </c>
      <c r="Q17" s="2"/>
      <c r="R17" s="6" t="s">
        <v>35</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36</v>
      </c>
      <c r="B1" s="2"/>
      <c r="C1" s="2"/>
      <c r="D1" s="2"/>
      <c r="E1" s="2"/>
      <c r="F1" s="2"/>
      <c r="G1" s="2"/>
      <c r="H1" s="2"/>
      <c r="I1" s="2"/>
      <c r="J1" s="2"/>
      <c r="K1" s="2"/>
      <c r="L1" s="2"/>
      <c r="M1" s="2"/>
      <c r="N1" s="2"/>
      <c r="O1" s="2"/>
      <c r="P1" s="2"/>
      <c r="Q1" s="2"/>
      <c r="R1" s="2"/>
    </row>
    <row r="2" customFormat="false" ht="15" hidden="false" customHeight="false" outlineLevel="0" collapsed="false">
      <c r="A2" s="3" t="s">
        <v>37</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15" t="s">
        <v>38</v>
      </c>
      <c r="B4" s="2"/>
      <c r="C4" s="2"/>
      <c r="D4" s="2"/>
      <c r="E4" s="2"/>
      <c r="F4" s="2"/>
      <c r="G4" s="2"/>
      <c r="H4" s="2"/>
      <c r="I4" s="2"/>
      <c r="J4" s="2"/>
      <c r="K4" s="2"/>
      <c r="L4" s="2"/>
      <c r="M4" s="2"/>
      <c r="N4" s="2"/>
      <c r="O4" s="2"/>
      <c r="P4" s="2"/>
      <c r="Q4" s="2"/>
      <c r="R4" s="2"/>
    </row>
    <row r="5" customFormat="false" ht="15" hidden="false" customHeight="false" outlineLevel="0" collapsed="false">
      <c r="A5" s="2"/>
      <c r="B5" s="2"/>
      <c r="C5" s="2"/>
      <c r="D5" s="2"/>
      <c r="E5" s="2"/>
      <c r="F5" s="2"/>
      <c r="G5" s="2"/>
      <c r="H5" s="2"/>
      <c r="I5" s="2"/>
      <c r="J5" s="2"/>
      <c r="K5" s="2"/>
      <c r="L5" s="2"/>
      <c r="M5" s="2"/>
      <c r="N5" s="2"/>
      <c r="O5" s="2"/>
      <c r="P5" s="2"/>
      <c r="Q5" s="2"/>
      <c r="R5" s="2"/>
    </row>
    <row r="6" customFormat="false" ht="15" hidden="false" customHeight="false" outlineLevel="0" collapsed="false">
      <c r="A6" s="8" t="s">
        <v>18</v>
      </c>
      <c r="B6" s="9" t="n">
        <v>1</v>
      </c>
      <c r="C6" s="9" t="n">
        <v>2</v>
      </c>
      <c r="D6" s="9" t="n">
        <v>3</v>
      </c>
      <c r="E6" s="9" t="n">
        <v>4</v>
      </c>
      <c r="F6" s="9" t="n">
        <v>5</v>
      </c>
      <c r="G6" s="9" t="n">
        <v>6</v>
      </c>
      <c r="H6" s="9" t="n">
        <v>7</v>
      </c>
      <c r="I6" s="9" t="n">
        <v>8</v>
      </c>
      <c r="J6" s="9" t="n">
        <v>9</v>
      </c>
      <c r="K6" s="9" t="n">
        <v>10</v>
      </c>
      <c r="L6" s="9" t="n">
        <v>11</v>
      </c>
      <c r="M6" s="9" t="n">
        <v>12</v>
      </c>
      <c r="N6" s="9" t="n">
        <v>13</v>
      </c>
      <c r="O6" s="9" t="n">
        <v>14</v>
      </c>
      <c r="P6" s="9" t="n">
        <v>15</v>
      </c>
      <c r="Q6" s="2"/>
      <c r="R6" s="8" t="s">
        <v>19</v>
      </c>
    </row>
    <row r="7" customFormat="false" ht="15" hidden="false" customHeight="false" outlineLevel="0" collapsed="false">
      <c r="A7" s="8" t="s">
        <v>39</v>
      </c>
      <c r="B7" s="10" t="n">
        <v>1107883.476</v>
      </c>
      <c r="C7" s="10" t="n">
        <v>1130224.27392</v>
      </c>
      <c r="D7" s="10" t="n">
        <v>1470581.13731659</v>
      </c>
      <c r="E7" s="10" t="n">
        <v>2128361.5241759</v>
      </c>
      <c r="F7" s="10" t="n">
        <v>2531696.60117519</v>
      </c>
      <c r="G7" s="10" t="n">
        <v>2960567.60023987</v>
      </c>
      <c r="H7" s="10" t="n">
        <v>3415973.30476096</v>
      </c>
      <c r="I7" s="10" t="n">
        <v>3898958.3702101</v>
      </c>
      <c r="J7" s="10" t="n">
        <v>4410614.70976327</v>
      </c>
      <c r="K7" s="10" t="n">
        <v>4952082.94628947</v>
      </c>
      <c r="L7" s="10" t="n">
        <v>5524553.93215493</v>
      </c>
      <c r="M7" s="10" t="n">
        <v>6129270.33838766</v>
      </c>
      <c r="N7" s="10" t="n">
        <v>6767528.314843</v>
      </c>
      <c r="O7" s="10" t="n">
        <v>7045784.99129078</v>
      </c>
      <c r="P7" s="10" t="n">
        <v>7328447.27269707</v>
      </c>
      <c r="Q7" s="2"/>
      <c r="R7" s="2"/>
    </row>
    <row r="8" customFormat="false" ht="15" hidden="false" customHeight="false" outlineLevel="0" collapsed="false">
      <c r="A8" s="4" t="s">
        <v>40</v>
      </c>
      <c r="B8" s="16" t="n">
        <v>2</v>
      </c>
      <c r="C8" s="16" t="n">
        <v>2</v>
      </c>
      <c r="D8" s="16" t="n">
        <v>2.5</v>
      </c>
      <c r="E8" s="16" t="n">
        <v>3.5</v>
      </c>
      <c r="F8" s="16" t="n">
        <v>4</v>
      </c>
      <c r="G8" s="16" t="n">
        <v>4.5</v>
      </c>
      <c r="H8" s="16" t="n">
        <v>5</v>
      </c>
      <c r="I8" s="16" t="n">
        <v>5.5</v>
      </c>
      <c r="J8" s="16" t="n">
        <v>6</v>
      </c>
      <c r="K8" s="16" t="n">
        <v>6.5</v>
      </c>
      <c r="L8" s="16" t="n">
        <v>7</v>
      </c>
      <c r="M8" s="16" t="n">
        <v>7.5</v>
      </c>
      <c r="N8" s="16" t="n">
        <v>8</v>
      </c>
      <c r="O8" s="16" t="n">
        <v>8</v>
      </c>
      <c r="P8" s="16" t="n">
        <v>8</v>
      </c>
      <c r="Q8" s="2"/>
      <c r="R8" s="2"/>
    </row>
    <row r="9" customFormat="false" ht="15" hidden="false" customHeight="false" outlineLevel="0" collapsed="false">
      <c r="A9" s="4" t="s">
        <v>41</v>
      </c>
      <c r="B9" s="17" t="n">
        <v>9</v>
      </c>
      <c r="C9" s="17" t="n">
        <v>9</v>
      </c>
      <c r="D9" s="17" t="n">
        <v>12</v>
      </c>
      <c r="E9" s="17" t="n">
        <v>16</v>
      </c>
      <c r="F9" s="17" t="n">
        <v>19</v>
      </c>
      <c r="G9" s="17" t="n">
        <v>23</v>
      </c>
      <c r="H9" s="17" t="n">
        <v>25</v>
      </c>
      <c r="I9" s="17" t="n">
        <v>27</v>
      </c>
      <c r="J9" s="17" t="n">
        <v>28</v>
      </c>
      <c r="K9" s="17" t="n">
        <v>32</v>
      </c>
      <c r="L9" s="17" t="n">
        <v>33</v>
      </c>
      <c r="M9" s="17" t="n">
        <v>36</v>
      </c>
      <c r="N9" s="17" t="n">
        <v>37</v>
      </c>
      <c r="O9" s="17" t="n">
        <v>37</v>
      </c>
      <c r="P9" s="17" t="n">
        <v>37</v>
      </c>
      <c r="Q9" s="2"/>
      <c r="R9" s="2"/>
    </row>
    <row r="10" customFormat="false" ht="15" hidden="false" customHeight="false" outlineLevel="0" collapsed="false">
      <c r="A10" s="8" t="s">
        <v>42</v>
      </c>
      <c r="B10" s="10" t="n">
        <v>314146.07309104</v>
      </c>
      <c r="C10" s="10" t="n">
        <v>303726.24221904</v>
      </c>
      <c r="D10" s="10" t="n">
        <v>361218.979335931</v>
      </c>
      <c r="E10" s="10" t="n">
        <v>487332.012318055</v>
      </c>
      <c r="F10" s="10" t="n">
        <v>479969.659557169</v>
      </c>
      <c r="G10" s="10" t="n">
        <v>466088.769207364</v>
      </c>
      <c r="H10" s="10" t="n">
        <v>597197.758851492</v>
      </c>
      <c r="I10" s="10" t="n">
        <v>735647.486330165</v>
      </c>
      <c r="J10" s="10" t="n">
        <v>881486.5874483</v>
      </c>
      <c r="K10" s="10" t="n">
        <v>898428.470548401</v>
      </c>
      <c r="L10" s="10" t="n">
        <v>1062695.91705148</v>
      </c>
      <c r="M10" s="10" t="n">
        <v>1234746.42040954</v>
      </c>
      <c r="N10" s="10" t="n">
        <v>1414609.86275326</v>
      </c>
      <c r="O10" s="10" t="n">
        <v>1480797.94885832</v>
      </c>
      <c r="P10" s="10" t="n">
        <v>1544843.49387317</v>
      </c>
      <c r="Q10" s="2"/>
      <c r="R10" s="6" t="s">
        <v>43</v>
      </c>
    </row>
    <row r="11" customFormat="false" ht="15" hidden="false" customHeight="false" outlineLevel="0" collapsed="false">
      <c r="A11" s="4" t="s">
        <v>44</v>
      </c>
      <c r="B11" s="11" t="n">
        <v>62958.4292364159</v>
      </c>
      <c r="C11" s="11" t="n">
        <v>124448.926124032</v>
      </c>
      <c r="D11" s="11" t="n">
        <v>195086.517858404</v>
      </c>
      <c r="E11" s="11" t="n">
        <v>302319.322785626</v>
      </c>
      <c r="F11" s="11" t="n">
        <v>420457.186608494</v>
      </c>
      <c r="G11" s="11" t="n">
        <v>533042.694291439</v>
      </c>
      <c r="H11" s="11" t="n">
        <v>698071.797832036</v>
      </c>
      <c r="I11" s="11" t="n">
        <v>918480.792364102</v>
      </c>
      <c r="J11" s="11" t="n">
        <v>1197225.42734342</v>
      </c>
      <c r="K11" s="11" t="n">
        <v>1482746.81556278</v>
      </c>
      <c r="L11" s="11" t="n">
        <v>1833975.18238338</v>
      </c>
      <c r="M11" s="11" t="n">
        <v>2254023.75054719</v>
      </c>
      <c r="N11" s="11" t="n">
        <v>2746017.69564849</v>
      </c>
      <c r="O11" s="11" t="n">
        <v>3278336.87519182</v>
      </c>
      <c r="P11" s="11" t="n">
        <v>3836274.27274109</v>
      </c>
      <c r="Q11" s="2"/>
      <c r="R11" s="2"/>
    </row>
    <row r="12" customFormat="false" ht="32.8" hidden="false" customHeight="false" outlineLevel="0" collapsed="false">
      <c r="A12" s="8" t="s">
        <v>30</v>
      </c>
      <c r="B12" s="10" t="n">
        <v>691314.397345807</v>
      </c>
      <c r="C12" s="10" t="n">
        <v>752384.283227823</v>
      </c>
      <c r="D12" s="10" t="n">
        <v>925823.920331045</v>
      </c>
      <c r="E12" s="10" t="n">
        <v>1742417.68455785</v>
      </c>
      <c r="F12" s="10" t="n">
        <v>1826323.55921217</v>
      </c>
      <c r="G12" s="10" t="n">
        <v>1879798.57190215</v>
      </c>
      <c r="H12" s="10" t="n">
        <v>2566573.43382394</v>
      </c>
      <c r="I12" s="10" t="n">
        <v>3338763.68812422</v>
      </c>
      <c r="J12" s="10" t="n">
        <v>4199351.48996621</v>
      </c>
      <c r="K12" s="10" t="n">
        <v>4551505.48237858</v>
      </c>
      <c r="L12" s="10" t="n">
        <v>7514344.27315891</v>
      </c>
      <c r="M12" s="10" t="n">
        <v>8966057.46435439</v>
      </c>
      <c r="N12" s="10" t="n">
        <v>10536753.2656805</v>
      </c>
      <c r="O12" s="10" t="n">
        <v>11512931.8634761</v>
      </c>
      <c r="P12" s="10" t="n">
        <v>12490190.7073309</v>
      </c>
      <c r="Q12" s="2"/>
      <c r="R12" s="6" t="s">
        <v>45</v>
      </c>
    </row>
  </sheetData>
  <sheetProtection sheet="true" password="ef11"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6" min="2" style="0" width="12"/>
    <col collapsed="false" customWidth="true" hidden="false" outlineLevel="0" max="18" min="18" style="0" width="62"/>
  </cols>
  <sheetData>
    <row r="1" customFormat="false" ht="17.35" hidden="false" customHeight="false" outlineLevel="0" collapsed="false">
      <c r="A1" s="1" t="s">
        <v>46</v>
      </c>
      <c r="B1" s="2"/>
      <c r="C1" s="2"/>
      <c r="D1" s="2"/>
      <c r="E1" s="2"/>
      <c r="F1" s="2"/>
      <c r="G1" s="2"/>
      <c r="H1" s="2"/>
      <c r="I1" s="2"/>
      <c r="J1" s="2"/>
      <c r="K1" s="2"/>
      <c r="L1" s="2"/>
      <c r="M1" s="2"/>
      <c r="N1" s="2"/>
      <c r="O1" s="2"/>
      <c r="P1" s="2"/>
      <c r="Q1" s="2"/>
      <c r="R1" s="2"/>
    </row>
    <row r="2" customFormat="false" ht="15" hidden="false" customHeight="false" outlineLevel="0" collapsed="false">
      <c r="A2" s="3" t="s">
        <v>47</v>
      </c>
      <c r="B2" s="2"/>
      <c r="C2" s="2"/>
      <c r="D2" s="2"/>
      <c r="E2" s="2"/>
      <c r="F2" s="2"/>
      <c r="G2" s="2"/>
      <c r="H2" s="2"/>
      <c r="I2" s="2"/>
      <c r="J2" s="2"/>
      <c r="K2" s="2"/>
      <c r="L2" s="2"/>
      <c r="M2" s="2"/>
      <c r="N2" s="2"/>
      <c r="O2" s="2"/>
      <c r="P2" s="2"/>
      <c r="Q2" s="2"/>
      <c r="R2" s="2"/>
    </row>
    <row r="3" customFormat="false" ht="15" hidden="false" customHeight="false" outlineLevel="0" collapsed="false">
      <c r="A3" s="2"/>
      <c r="B3" s="2"/>
      <c r="C3" s="2"/>
      <c r="D3" s="2"/>
      <c r="E3" s="2"/>
      <c r="F3" s="2"/>
      <c r="G3" s="2"/>
      <c r="H3" s="2"/>
      <c r="I3" s="2"/>
      <c r="J3" s="2"/>
      <c r="K3" s="2"/>
      <c r="L3" s="2"/>
      <c r="M3" s="2"/>
      <c r="N3" s="2"/>
      <c r="O3" s="2"/>
      <c r="P3" s="2"/>
      <c r="Q3" s="2"/>
      <c r="R3" s="2"/>
    </row>
    <row r="4" customFormat="false" ht="15" hidden="false" customHeight="false" outlineLevel="0" collapsed="false">
      <c r="A4" s="4" t="s">
        <v>48</v>
      </c>
      <c r="B4" s="7" t="n">
        <v>0.2</v>
      </c>
      <c r="C4" s="2"/>
      <c r="D4" s="15" t="s">
        <v>49</v>
      </c>
      <c r="E4" s="2"/>
      <c r="F4" s="2"/>
      <c r="G4" s="2"/>
      <c r="H4" s="2"/>
      <c r="I4" s="2"/>
      <c r="J4" s="2"/>
      <c r="K4" s="2"/>
      <c r="L4" s="2"/>
      <c r="M4" s="2"/>
      <c r="N4" s="2"/>
      <c r="O4" s="2"/>
      <c r="P4" s="2"/>
      <c r="Q4" s="2"/>
      <c r="R4" s="2"/>
    </row>
    <row r="5" customFormat="false" ht="15" hidden="false" customHeight="false" outlineLevel="0" collapsed="false">
      <c r="A5" s="4" t="s">
        <v>50</v>
      </c>
      <c r="B5" s="7" t="n">
        <v>0.0875</v>
      </c>
      <c r="C5" s="2"/>
      <c r="D5" s="15" t="s">
        <v>51</v>
      </c>
      <c r="E5" s="2"/>
      <c r="F5" s="2"/>
      <c r="G5" s="2"/>
      <c r="H5" s="2"/>
      <c r="I5" s="2"/>
      <c r="J5" s="2"/>
      <c r="K5" s="2"/>
      <c r="L5" s="2"/>
      <c r="M5" s="2"/>
      <c r="N5" s="2"/>
      <c r="O5" s="2"/>
      <c r="P5" s="2"/>
      <c r="Q5" s="2"/>
      <c r="R5" s="2"/>
    </row>
    <row r="6" customFormat="false" ht="15" hidden="false" customHeight="false" outlineLevel="0" collapsed="false">
      <c r="A6" s="2"/>
      <c r="B6" s="2"/>
      <c r="C6" s="2"/>
      <c r="D6" s="2"/>
      <c r="E6" s="2"/>
      <c r="F6" s="2"/>
      <c r="G6" s="2"/>
      <c r="H6" s="2"/>
      <c r="I6" s="2"/>
      <c r="J6" s="2"/>
      <c r="K6" s="2"/>
      <c r="L6" s="2"/>
      <c r="M6" s="2"/>
      <c r="N6" s="2"/>
      <c r="O6" s="2"/>
      <c r="P6" s="2"/>
      <c r="Q6" s="2"/>
      <c r="R6" s="2"/>
    </row>
    <row r="7" customFormat="false" ht="15" hidden="false" customHeight="false" outlineLevel="0" collapsed="false">
      <c r="A7" s="2"/>
      <c r="B7" s="2"/>
      <c r="C7" s="2"/>
      <c r="D7" s="2"/>
      <c r="E7" s="2"/>
      <c r="F7" s="2"/>
      <c r="G7" s="2"/>
      <c r="H7" s="2"/>
      <c r="I7" s="2"/>
      <c r="J7" s="2"/>
      <c r="K7" s="2"/>
      <c r="L7" s="2"/>
      <c r="M7" s="2"/>
      <c r="N7" s="2"/>
      <c r="O7" s="2"/>
      <c r="P7" s="2"/>
      <c r="Q7" s="2"/>
      <c r="R7" s="2"/>
    </row>
    <row r="8" customFormat="false" ht="15" hidden="false" customHeight="false" outlineLevel="0" collapsed="false">
      <c r="A8" s="8" t="s">
        <v>18</v>
      </c>
      <c r="B8" s="9" t="n">
        <v>1</v>
      </c>
      <c r="C8" s="9" t="n">
        <v>2</v>
      </c>
      <c r="D8" s="9" t="n">
        <v>3</v>
      </c>
      <c r="E8" s="9" t="n">
        <v>4</v>
      </c>
      <c r="F8" s="9" t="n">
        <v>5</v>
      </c>
      <c r="G8" s="9" t="n">
        <v>6</v>
      </c>
      <c r="H8" s="9" t="n">
        <v>7</v>
      </c>
      <c r="I8" s="9" t="n">
        <v>8</v>
      </c>
      <c r="J8" s="9" t="n">
        <v>9</v>
      </c>
      <c r="K8" s="9" t="n">
        <v>10</v>
      </c>
      <c r="L8" s="9" t="n">
        <v>11</v>
      </c>
      <c r="M8" s="9" t="n">
        <v>12</v>
      </c>
      <c r="N8" s="9" t="n">
        <v>13</v>
      </c>
      <c r="O8" s="9" t="n">
        <v>14</v>
      </c>
      <c r="P8" s="9" t="n">
        <v>15</v>
      </c>
      <c r="Q8" s="2"/>
      <c r="R8" s="8" t="s">
        <v>19</v>
      </c>
    </row>
    <row r="9" customFormat="false" ht="15" hidden="false" customHeight="false" outlineLevel="0" collapsed="false">
      <c r="A9" s="8" t="s">
        <v>52</v>
      </c>
      <c r="B9" s="10" t="n">
        <f aca="false">'Year by year'!B16</f>
        <v>78197.1596018711</v>
      </c>
      <c r="C9" s="10" t="n">
        <f aca="false">'Year by year'!C16</f>
        <v>87357.6424841734</v>
      </c>
      <c r="D9" s="10" t="n">
        <f aca="false">'Year by year'!D16</f>
        <v>113373.588049657</v>
      </c>
      <c r="E9" s="10" t="n">
        <f aca="false">'Year by year'!E16</f>
        <v>235862.652683678</v>
      </c>
      <c r="F9" s="10" t="n">
        <f aca="false">'Year by year'!F16</f>
        <v>248448.533881826</v>
      </c>
      <c r="G9" s="10" t="n">
        <f aca="false">'Year by year'!G16</f>
        <v>256469.785785322</v>
      </c>
      <c r="H9" s="10" t="n">
        <f aca="false">'Year by year'!H16</f>
        <v>359486.015073591</v>
      </c>
      <c r="I9" s="10" t="n">
        <f aca="false">'Year by year'!I16</f>
        <v>475314.553218633</v>
      </c>
      <c r="J9" s="10" t="n">
        <f aca="false">'Year by year'!J16</f>
        <v>604402.723494932</v>
      </c>
      <c r="K9" s="10" t="n">
        <f aca="false">'Year by year'!K16</f>
        <v>657225.822356787</v>
      </c>
      <c r="L9" s="10" t="n">
        <f aca="false">'Year by year'!L16</f>
        <v>1101651.64097384</v>
      </c>
      <c r="M9" s="10" t="n">
        <f aca="false">'Year by year'!M16</f>
        <v>1319408.61965316</v>
      </c>
      <c r="N9" s="10" t="n">
        <f aca="false">'Year by year'!N16</f>
        <v>1555012.98985207</v>
      </c>
      <c r="O9" s="10" t="n">
        <f aca="false">'Year by year'!O16</f>
        <v>1701439.77952141</v>
      </c>
      <c r="P9" s="10" t="n">
        <f aca="false">'Year by year'!P16</f>
        <v>1848028.60609964</v>
      </c>
      <c r="Q9" s="2"/>
      <c r="R9" s="6" t="s">
        <v>53</v>
      </c>
    </row>
    <row r="10" customFormat="false" ht="15" hidden="false" customHeight="false" outlineLevel="0" collapsed="false">
      <c r="A10" s="8" t="s">
        <v>54</v>
      </c>
      <c r="B10" s="10" t="n">
        <f aca="false">B9*(1-$B$4)</f>
        <v>62557.7276814969</v>
      </c>
      <c r="C10" s="10" t="n">
        <f aca="false">C9*(1-$B$4)</f>
        <v>69886.1139873388</v>
      </c>
      <c r="D10" s="10" t="n">
        <f aca="false">D9*(1-$B$4)</f>
        <v>90698.8704397254</v>
      </c>
      <c r="E10" s="10" t="n">
        <f aca="false">E9*(1-$B$4)</f>
        <v>188690.122146942</v>
      </c>
      <c r="F10" s="10" t="n">
        <f aca="false">F9*(1-$B$4)</f>
        <v>198758.82710546</v>
      </c>
      <c r="G10" s="10" t="n">
        <f aca="false">G9*(1-$B$4)</f>
        <v>205175.828628258</v>
      </c>
      <c r="H10" s="10" t="n">
        <f aca="false">H9*(1-$B$4)</f>
        <v>287588.812058873</v>
      </c>
      <c r="I10" s="10" t="n">
        <f aca="false">I9*(1-$B$4)</f>
        <v>380251.642574906</v>
      </c>
      <c r="J10" s="10" t="n">
        <f aca="false">J9*(1-$B$4)</f>
        <v>483522.178795945</v>
      </c>
      <c r="K10" s="10" t="n">
        <f aca="false">K9*(1-$B$4)</f>
        <v>525780.65788543</v>
      </c>
      <c r="L10" s="10" t="n">
        <f aca="false">L9*(1-$B$4)</f>
        <v>881321.312779069</v>
      </c>
      <c r="M10" s="10" t="n">
        <f aca="false">M9*(1-$B$4)</f>
        <v>1055526.89572253</v>
      </c>
      <c r="N10" s="10" t="n">
        <f aca="false">N9*(1-$B$4)</f>
        <v>1244010.39188166</v>
      </c>
      <c r="O10" s="10" t="n">
        <f aca="false">O9*(1-$B$4)</f>
        <v>1361151.82361713</v>
      </c>
      <c r="P10" s="10" t="n">
        <f aca="false">P9*(1-$B$4)</f>
        <v>1478422.88487971</v>
      </c>
      <c r="Q10" s="2"/>
      <c r="R10" s="2"/>
    </row>
    <row r="11" customFormat="false" ht="15" hidden="false" customHeight="false" outlineLevel="0" collapsed="false">
      <c r="A11" s="4" t="s">
        <v>55</v>
      </c>
      <c r="B11" s="11" t="n">
        <f aca="false">B10</f>
        <v>62557.7276814969</v>
      </c>
      <c r="C11" s="11" t="n">
        <f aca="false">C10</f>
        <v>69886.1139873388</v>
      </c>
      <c r="D11" s="11" t="n">
        <f aca="false">D10</f>
        <v>90698.8704397254</v>
      </c>
      <c r="E11" s="11" t="n">
        <f aca="false">E10</f>
        <v>188690.122146942</v>
      </c>
      <c r="F11" s="11" t="n">
        <f aca="false">F10</f>
        <v>198758.82710546</v>
      </c>
      <c r="G11" s="11" t="n">
        <f aca="false">G10</f>
        <v>205175.828628258</v>
      </c>
      <c r="H11" s="11" t="n">
        <f aca="false">H10</f>
        <v>287588.812058873</v>
      </c>
      <c r="I11" s="11" t="n">
        <f aca="false">I10</f>
        <v>380251.642574906</v>
      </c>
      <c r="J11" s="11" t="n">
        <f aca="false">J10</f>
        <v>483522.178795945</v>
      </c>
      <c r="K11" s="11" t="n">
        <f aca="false">K10</f>
        <v>525780.65788543</v>
      </c>
      <c r="L11" s="11" t="n">
        <f aca="false">L10</f>
        <v>881321.312779069</v>
      </c>
      <c r="M11" s="11" t="n">
        <f aca="false">M10</f>
        <v>1055526.89572253</v>
      </c>
      <c r="N11" s="11" t="n">
        <f aca="false">N10</f>
        <v>1244010.39188166</v>
      </c>
      <c r="O11" s="11" t="n">
        <f aca="false">O10</f>
        <v>1361151.82361713</v>
      </c>
      <c r="P11" s="11" t="n">
        <f aca="false">P10</f>
        <v>1478422.88487971</v>
      </c>
      <c r="Q11" s="2"/>
      <c r="R11" s="2"/>
    </row>
    <row r="12" customFormat="false" ht="15" hidden="false" customHeight="false" outlineLevel="0" collapsed="false">
      <c r="A12" s="4" t="s">
        <v>56</v>
      </c>
      <c r="B12" s="11" t="n">
        <f aca="false">IF(B10=0,0,PMT($B$5/12,36,-B10))</f>
        <v>1982.04821671552</v>
      </c>
      <c r="C12" s="11" t="n">
        <f aca="false">IF(C10=0,0,PMT($B$5/12,36,-C10))</f>
        <v>2214.2371971537</v>
      </c>
      <c r="D12" s="11" t="n">
        <f aca="false">IF(D10=0,0,PMT($B$5/12,36,-D10))</f>
        <v>2873.6583164983</v>
      </c>
      <c r="E12" s="11" t="n">
        <f aca="false">IF(E10=0,0,PMT($B$5/12,36,-E10))</f>
        <v>5978.36484754222</v>
      </c>
      <c r="F12" s="11" t="n">
        <f aca="false">IF(F10=0,0,PMT($B$5/12,36,-F10))</f>
        <v>6297.37673379986</v>
      </c>
      <c r="G12" s="11" t="n">
        <f aca="false">IF(G10=0,0,PMT($B$5/12,36,-G10))</f>
        <v>6500.68984788351</v>
      </c>
      <c r="H12" s="11" t="n">
        <f aca="false">IF(H10=0,0,PMT($B$5/12,36,-H10))</f>
        <v>9111.82220349766</v>
      </c>
      <c r="I12" s="11" t="n">
        <f aca="false">IF(I10=0,0,PMT($B$5/12,36,-I10))</f>
        <v>12047.7056632551</v>
      </c>
      <c r="J12" s="11" t="n">
        <f aca="false">IF(J10=0,0,PMT($B$5/12,36,-J10))</f>
        <v>15319.6784433135</v>
      </c>
      <c r="K12" s="11" t="n">
        <f aca="false">IF(K10=0,0,PMT($B$5/12,36,-K10))</f>
        <v>16658.5752706866</v>
      </c>
      <c r="L12" s="11" t="n">
        <f aca="false">IF(L10=0,0,PMT($B$5/12,36,-L10))</f>
        <v>27923.3501773084</v>
      </c>
      <c r="M12" s="11" t="n">
        <f aca="false">IF(M10=0,0,PMT($B$5/12,36,-M10))</f>
        <v>33442.7940224066</v>
      </c>
      <c r="N12" s="11" t="n">
        <f aca="false">IF(N10=0,0,PMT($B$5/12,36,-N10))</f>
        <v>39414.612233972</v>
      </c>
      <c r="O12" s="11" t="n">
        <f aca="false">IF(O10=0,0,PMT($B$5/12,36,-O10))</f>
        <v>43126.0636322214</v>
      </c>
      <c r="P12" s="11" t="n">
        <f aca="false">IF(P10=0,0,PMT($B$5/12,36,-P10))</f>
        <v>46841.6221485288</v>
      </c>
      <c r="Q12" s="2"/>
      <c r="R12" s="2"/>
    </row>
    <row r="13" customFormat="false" ht="32.8" hidden="false" customHeight="false" outlineLevel="0" collapsed="false">
      <c r="A13" s="8" t="s">
        <v>57</v>
      </c>
      <c r="B13" s="10" t="n">
        <f aca="false">IF(B10=0,0,PMT($B$5/12,60,-B10))</f>
        <v>1291.0183837808</v>
      </c>
      <c r="C13" s="10" t="n">
        <f aca="false">IF(C10=0,0,PMT($B$5/12,60,-C10))</f>
        <v>1442.25599734086</v>
      </c>
      <c r="D13" s="10" t="n">
        <f aca="false">IF(D10=0,0,PMT($B$5/12,60,-D10))</f>
        <v>1871.77369552175</v>
      </c>
      <c r="E13" s="10" t="n">
        <f aca="false">IF(E10=0,0,PMT($B$5/12,60,-E10))</f>
        <v>3894.04196024849</v>
      </c>
      <c r="F13" s="10" t="n">
        <f aca="false">IF(F10=0,0,PMT($B$5/12,60,-F10))</f>
        <v>4101.83216753501</v>
      </c>
      <c r="G13" s="10" t="n">
        <f aca="false">IF(G10=0,0,PMT($B$5/12,60,-G10))</f>
        <v>4234.26132124181</v>
      </c>
      <c r="H13" s="10" t="n">
        <f aca="false">IF(H10=0,0,PMT($B$5/12,60,-H10))</f>
        <v>5935.03723837308</v>
      </c>
      <c r="I13" s="10" t="n">
        <f aca="false">IF(I10=0,0,PMT($B$5/12,60,-I10))</f>
        <v>7847.34163501675</v>
      </c>
      <c r="J13" s="10" t="n">
        <f aca="false">IF(J10=0,0,PMT($B$5/12,60,-J10))</f>
        <v>9978.55972278141</v>
      </c>
      <c r="K13" s="10" t="n">
        <f aca="false">IF(K10=0,0,PMT($B$5/12,60,-K10))</f>
        <v>10850.6577895927</v>
      </c>
      <c r="L13" s="10" t="n">
        <f aca="false">IF(L10=0,0,PMT($B$5/12,60,-L10))</f>
        <v>18188.0330214127</v>
      </c>
      <c r="M13" s="10" t="n">
        <f aca="false">IF(M10=0,0,PMT($B$5/12,60,-M10))</f>
        <v>21783.154175466</v>
      </c>
      <c r="N13" s="10" t="n">
        <f aca="false">IF(N10=0,0,PMT($B$5/12,60,-N10))</f>
        <v>25672.9319471208</v>
      </c>
      <c r="O13" s="10" t="n">
        <f aca="false">IF(O10=0,0,PMT($B$5/12,60,-O10))</f>
        <v>28090.4069334705</v>
      </c>
      <c r="P13" s="10" t="n">
        <f aca="false">IF(P10=0,0,PMT($B$5/12,60,-P10))</f>
        <v>30510.5571145368</v>
      </c>
      <c r="Q13" s="2"/>
      <c r="R13" s="6" t="s">
        <v>58</v>
      </c>
    </row>
    <row r="14" customFormat="false" ht="15" hidden="false" customHeight="false" outlineLevel="0" collapsed="false">
      <c r="A14" s="4" t="s">
        <v>59</v>
      </c>
      <c r="B14" s="11" t="n">
        <f aca="false">IF(B10=0,0,PMT($B$5/12,84,-B10))</f>
        <v>998.577247232027</v>
      </c>
      <c r="C14" s="11" t="n">
        <f aca="false">IF(C10=0,0,PMT($B$5/12,84,-C10))</f>
        <v>1115.55655730542</v>
      </c>
      <c r="D14" s="11" t="n">
        <f aca="false">IF(D10=0,0,PMT($B$5/12,84,-D10))</f>
        <v>1447.78002218811</v>
      </c>
      <c r="E14" s="11" t="n">
        <f aca="false">IF(E10=0,0,PMT($B$5/12,84,-E10))</f>
        <v>3011.96462430171</v>
      </c>
      <c r="F14" s="11" t="n">
        <f aca="false">IF(F10=0,0,PMT($B$5/12,84,-F10))</f>
        <v>3172.6862498035</v>
      </c>
      <c r="G14" s="11" t="n">
        <f aca="false">IF(G10=0,0,PMT($B$5/12,84,-G10))</f>
        <v>3275.1175872834</v>
      </c>
      <c r="H14" s="11" t="n">
        <f aca="false">IF(H10=0,0,PMT($B$5/12,84,-H10))</f>
        <v>4590.63420178254</v>
      </c>
      <c r="I14" s="11" t="n">
        <f aca="false">IF(I10=0,0,PMT($B$5/12,84,-I10))</f>
        <v>6069.76392159168</v>
      </c>
      <c r="J14" s="11" t="n">
        <f aca="false">IF(J10=0,0,PMT($B$5/12,84,-J10))</f>
        <v>7718.21906217508</v>
      </c>
      <c r="K14" s="11" t="n">
        <f aca="false">IF(K10=0,0,PMT($B$5/12,84,-K10))</f>
        <v>8392.76970979828</v>
      </c>
      <c r="L14" s="11" t="n">
        <f aca="false">IF(L10=0,0,PMT($B$5/12,84,-L10))</f>
        <v>14068.0846804821</v>
      </c>
      <c r="M14" s="11" t="n">
        <f aca="false">IF(M10=0,0,PMT($B$5/12,84,-M10))</f>
        <v>16848.8399590915</v>
      </c>
      <c r="N14" s="11" t="n">
        <f aca="false">IF(N10=0,0,PMT($B$5/12,84,-N10))</f>
        <v>19857.5063176511</v>
      </c>
      <c r="O14" s="11" t="n">
        <f aca="false">IF(O10=0,0,PMT($B$5/12,84,-O10))</f>
        <v>21727.3755212575</v>
      </c>
      <c r="P14" s="11" t="n">
        <f aca="false">IF(P10=0,0,PMT($B$5/12,84,-P10))</f>
        <v>23599.3139351938</v>
      </c>
      <c r="Q14" s="2"/>
      <c r="R14" s="2"/>
    </row>
    <row r="15" customFormat="false" ht="15" hidden="false" customHeight="false" outlineLevel="0" collapsed="false">
      <c r="A15" s="13" t="s">
        <v>60</v>
      </c>
      <c r="B15" s="14"/>
      <c r="C15" s="14"/>
      <c r="D15" s="14"/>
      <c r="E15" s="14"/>
      <c r="F15" s="14"/>
      <c r="G15" s="14"/>
      <c r="H15" s="14"/>
      <c r="I15" s="14"/>
      <c r="J15" s="14"/>
      <c r="K15" s="14"/>
      <c r="L15" s="14"/>
      <c r="M15" s="14"/>
      <c r="N15" s="14"/>
      <c r="O15" s="14"/>
      <c r="P15" s="14"/>
      <c r="Q15" s="2"/>
      <c r="R15" s="14"/>
    </row>
    <row r="16" customFormat="false" ht="15" hidden="false" customHeight="false" outlineLevel="0" collapsed="false">
      <c r="A16" s="4" t="s">
        <v>61</v>
      </c>
      <c r="B16" s="11" t="n">
        <v>314146.07309104</v>
      </c>
      <c r="C16" s="11" t="n">
        <v>303726.24221904</v>
      </c>
      <c r="D16" s="11" t="n">
        <v>361218.979335931</v>
      </c>
      <c r="E16" s="11" t="n">
        <v>487332.012318055</v>
      </c>
      <c r="F16" s="11" t="n">
        <v>479969.659557169</v>
      </c>
      <c r="G16" s="11" t="n">
        <v>466088.769207364</v>
      </c>
      <c r="H16" s="11" t="n">
        <v>597197.758851492</v>
      </c>
      <c r="I16" s="11" t="n">
        <v>735647.486330165</v>
      </c>
      <c r="J16" s="11" t="n">
        <v>881486.5874483</v>
      </c>
      <c r="K16" s="11" t="n">
        <v>898428.470548401</v>
      </c>
      <c r="L16" s="11" t="n">
        <v>1062695.91705148</v>
      </c>
      <c r="M16" s="11" t="n">
        <v>1234746.42040954</v>
      </c>
      <c r="N16" s="11" t="n">
        <v>1414609.86275326</v>
      </c>
      <c r="O16" s="11" t="n">
        <v>1480797.94885832</v>
      </c>
      <c r="P16" s="11" t="n">
        <v>1544843.49387317</v>
      </c>
      <c r="Q16" s="2"/>
      <c r="R16" s="2"/>
    </row>
    <row r="17" customFormat="false" ht="15" hidden="false" customHeight="false" outlineLevel="0" collapsed="false">
      <c r="A17" s="4" t="s">
        <v>44</v>
      </c>
      <c r="B17" s="11" t="n">
        <v>62958.4292364159</v>
      </c>
      <c r="C17" s="11" t="n">
        <v>124448.926124032</v>
      </c>
      <c r="D17" s="11" t="n">
        <v>195086.517858404</v>
      </c>
      <c r="E17" s="11" t="n">
        <v>302319.322785626</v>
      </c>
      <c r="F17" s="11" t="n">
        <v>420457.186608494</v>
      </c>
      <c r="G17" s="11" t="n">
        <v>533042.694291439</v>
      </c>
      <c r="H17" s="11" t="n">
        <v>698071.797832036</v>
      </c>
      <c r="I17" s="11" t="n">
        <v>918480.792364102</v>
      </c>
      <c r="J17" s="11" t="n">
        <v>1197225.42734342</v>
      </c>
      <c r="K17" s="11" t="n">
        <v>1482746.81556278</v>
      </c>
      <c r="L17" s="11" t="n">
        <v>1833975.18238338</v>
      </c>
      <c r="M17" s="11" t="n">
        <v>2254023.75054719</v>
      </c>
      <c r="N17" s="11" t="n">
        <v>2746017.69564849</v>
      </c>
      <c r="O17" s="11" t="n">
        <v>3278336.87519182</v>
      </c>
      <c r="P17" s="11" t="n">
        <v>3836274.27274109</v>
      </c>
      <c r="Q17" s="2"/>
      <c r="R17" s="2"/>
    </row>
    <row r="18" customFormat="false" ht="22.35" hidden="false" customHeight="false" outlineLevel="0" collapsed="false">
      <c r="A18" s="8" t="s">
        <v>62</v>
      </c>
      <c r="B18" s="18" t="n">
        <f aca="false">IF(B16=0,0,B13*12/B16)</f>
        <v>0.0493153406405304</v>
      </c>
      <c r="C18" s="18" t="n">
        <f aca="false">IF(C16=0,0,C13*12/C16)</f>
        <v>0.0569824715890332</v>
      </c>
      <c r="D18" s="18" t="n">
        <f aca="false">IF(D16=0,0,D13*12/D16)</f>
        <v>0.0621819052463801</v>
      </c>
      <c r="E18" s="18" t="n">
        <f aca="false">IF(E16=0,0,E13*12/E16)</f>
        <v>0.0958863820595571</v>
      </c>
      <c r="F18" s="18" t="n">
        <f aca="false">IF(F16=0,0,F13*12/F16)</f>
        <v>0.102552286442092</v>
      </c>
      <c r="G18" s="18" t="n">
        <f aca="false">IF(G16=0,0,G13*12/G16)</f>
        <v>0.109016005559009</v>
      </c>
      <c r="H18" s="18" t="n">
        <f aca="false">IF(H16=0,0,H13*12/H16)</f>
        <v>0.119257726280563</v>
      </c>
      <c r="I18" s="18" t="n">
        <f aca="false">IF(I16=0,0,I13*12/I16)</f>
        <v>0.128007097652119</v>
      </c>
      <c r="J18" s="18" t="n">
        <f aca="false">IF(J16=0,0,J13*12/J16)</f>
        <v>0.135841790877391</v>
      </c>
      <c r="K18" s="18" t="n">
        <f aca="false">IF(K16=0,0,K13*12/K16)</f>
        <v>0.144928503206976</v>
      </c>
      <c r="L18" s="18" t="n">
        <f aca="false">IF(L16=0,0,L13*12/L16)</f>
        <v>0.205379914192687</v>
      </c>
      <c r="M18" s="18" t="n">
        <f aca="false">IF(M16=0,0,M13*12/M16)</f>
        <v>0.21170164641489</v>
      </c>
      <c r="N18" s="18" t="n">
        <f aca="false">IF(N16=0,0,N13*12/N16)</f>
        <v>0.217781023218544</v>
      </c>
      <c r="O18" s="18" t="n">
        <f aca="false">IF(O16=0,0,O13*12/O16)</f>
        <v>0.227637324498953</v>
      </c>
      <c r="P18" s="18" t="n">
        <f aca="false">IF(P16=0,0,P13*12/P16)</f>
        <v>0.236999208545393</v>
      </c>
      <c r="Q18" s="2"/>
      <c r="R18" s="6" t="s">
        <v>63</v>
      </c>
    </row>
    <row r="19" customFormat="false" ht="15" hidden="false" customHeight="false" outlineLevel="0" collapsed="false">
      <c r="A19" s="4" t="s">
        <v>64</v>
      </c>
      <c r="B19" s="17" t="str">
        <f aca="false">IF(B10=0,"-",IF(B17&gt;=B10,"yes","no - needs a note"))</f>
        <v>yes</v>
      </c>
      <c r="C19" s="17" t="str">
        <f aca="false">IF(C10=0,"-",IF(C17&gt;=C10,"yes","no - needs a note"))</f>
        <v>yes</v>
      </c>
      <c r="D19" s="17" t="str">
        <f aca="false">IF(D10=0,"-",IF(D17&gt;=D10,"yes","no - needs a note"))</f>
        <v>yes</v>
      </c>
      <c r="E19" s="17" t="str">
        <f aca="false">IF(E10=0,"-",IF(E17&gt;=E10,"yes","no - needs a note"))</f>
        <v>yes</v>
      </c>
      <c r="F19" s="17" t="str">
        <f aca="false">IF(F10=0,"-",IF(F17&gt;=F10,"yes","no - needs a note"))</f>
        <v>yes</v>
      </c>
      <c r="G19" s="17" t="str">
        <f aca="false">IF(G10=0,"-",IF(G17&gt;=G10,"yes","no - needs a note"))</f>
        <v>yes</v>
      </c>
      <c r="H19" s="17" t="str">
        <f aca="false">IF(H10=0,"-",IF(H17&gt;=H10,"yes","no - needs a note"))</f>
        <v>yes</v>
      </c>
      <c r="I19" s="17" t="str">
        <f aca="false">IF(I10=0,"-",IF(I17&gt;=I10,"yes","no - needs a note"))</f>
        <v>yes</v>
      </c>
      <c r="J19" s="17" t="str">
        <f aca="false">IF(J10=0,"-",IF(J17&gt;=J10,"yes","no - needs a note"))</f>
        <v>yes</v>
      </c>
      <c r="K19" s="17" t="str">
        <f aca="false">IF(K10=0,"-",IF(K17&gt;=K10,"yes","no - needs a note"))</f>
        <v>yes</v>
      </c>
      <c r="L19" s="17" t="str">
        <f aca="false">IF(L10=0,"-",IF(L17&gt;=L10,"yes","no - needs a note"))</f>
        <v>yes</v>
      </c>
      <c r="M19" s="17" t="str">
        <f aca="false">IF(M10=0,"-",IF(M17&gt;=M10,"yes","no - needs a note"))</f>
        <v>yes</v>
      </c>
      <c r="N19" s="17" t="str">
        <f aca="false">IF(N10=0,"-",IF(N17&gt;=N10,"yes","no - needs a note"))</f>
        <v>yes</v>
      </c>
      <c r="O19" s="17" t="str">
        <f aca="false">IF(O10=0,"-",IF(O17&gt;=O10,"yes","no - needs a note"))</f>
        <v>yes</v>
      </c>
      <c r="P19" s="17" t="str">
        <f aca="false">IF(P10=0,"-",IF(P17&gt;=P10,"yes","no - needs a note"))</f>
        <v>yes</v>
      </c>
      <c r="Q19" s="2"/>
      <c r="R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row>
    <row r="21" customFormat="false" ht="15" hidden="false" customHeight="false" outlineLevel="0" collapsed="false">
      <c r="A21" s="19" t="s">
        <v>65</v>
      </c>
      <c r="B21" s="20"/>
      <c r="C21" s="20"/>
      <c r="D21" s="20"/>
      <c r="E21" s="20"/>
      <c r="F21" s="20"/>
      <c r="G21" s="20"/>
      <c r="H21" s="20"/>
      <c r="I21" s="20"/>
      <c r="J21" s="20"/>
      <c r="K21" s="20"/>
      <c r="L21" s="20"/>
      <c r="M21" s="20"/>
      <c r="N21" s="20"/>
      <c r="O21" s="20"/>
      <c r="P21" s="20"/>
      <c r="Q21" s="2"/>
      <c r="R21" s="20"/>
    </row>
    <row r="22" customFormat="false" ht="27.75" hidden="false" customHeight="true" outlineLevel="0" collapsed="false">
      <c r="A22" s="21" t="s">
        <v>66</v>
      </c>
      <c r="B22" s="21"/>
      <c r="C22" s="21"/>
      <c r="D22" s="21"/>
      <c r="E22" s="21"/>
      <c r="F22" s="21"/>
      <c r="G22" s="21"/>
      <c r="H22" s="21"/>
      <c r="I22" s="21"/>
      <c r="J22" s="21"/>
      <c r="K22" s="21"/>
      <c r="L22" s="21"/>
      <c r="M22" s="21"/>
      <c r="N22" s="21"/>
      <c r="O22" s="21"/>
      <c r="P22" s="21"/>
      <c r="Q22" s="21"/>
      <c r="R22" s="21"/>
    </row>
    <row r="23" customFormat="false" ht="27.75" hidden="false" customHeight="true" outlineLevel="0" collapsed="false">
      <c r="A23" s="21" t="s">
        <v>67</v>
      </c>
      <c r="B23" s="21"/>
      <c r="C23" s="21"/>
      <c r="D23" s="21"/>
      <c r="E23" s="21"/>
      <c r="F23" s="21"/>
      <c r="G23" s="21"/>
      <c r="H23" s="21"/>
      <c r="I23" s="21"/>
      <c r="J23" s="21"/>
      <c r="K23" s="21"/>
      <c r="L23" s="21"/>
      <c r="M23" s="21"/>
      <c r="N23" s="21"/>
      <c r="O23" s="21"/>
      <c r="P23" s="21"/>
      <c r="Q23" s="21"/>
      <c r="R23" s="21"/>
    </row>
    <row r="24" customFormat="false" ht="27.75" hidden="false" customHeight="true" outlineLevel="0" collapsed="false">
      <c r="A24" s="21" t="s">
        <v>68</v>
      </c>
      <c r="B24" s="21"/>
      <c r="C24" s="21"/>
      <c r="D24" s="21"/>
      <c r="E24" s="21"/>
      <c r="F24" s="21"/>
      <c r="G24" s="21"/>
      <c r="H24" s="21"/>
      <c r="I24" s="21"/>
      <c r="J24" s="21"/>
      <c r="K24" s="21"/>
      <c r="L24" s="21"/>
      <c r="M24" s="21"/>
      <c r="N24" s="21"/>
      <c r="O24" s="21"/>
      <c r="P24" s="21"/>
      <c r="Q24" s="21"/>
      <c r="R24" s="21"/>
    </row>
    <row r="25" customFormat="false" ht="27.75" hidden="false" customHeight="true" outlineLevel="0" collapsed="false">
      <c r="A25" s="21" t="s">
        <v>69</v>
      </c>
      <c r="B25" s="21"/>
      <c r="C25" s="21"/>
      <c r="D25" s="21"/>
      <c r="E25" s="21"/>
      <c r="F25" s="21"/>
      <c r="G25" s="21"/>
      <c r="H25" s="21"/>
      <c r="I25" s="21"/>
      <c r="J25" s="21"/>
      <c r="K25" s="21"/>
      <c r="L25" s="21"/>
      <c r="M25" s="21"/>
      <c r="N25" s="21"/>
      <c r="O25" s="21"/>
      <c r="P25" s="21"/>
      <c r="Q25" s="21"/>
      <c r="R25" s="21"/>
    </row>
    <row r="26" customFormat="false" ht="27.75" hidden="false" customHeight="true" outlineLevel="0" collapsed="false">
      <c r="A26" s="21" t="s">
        <v>70</v>
      </c>
      <c r="B26" s="21"/>
      <c r="C26" s="21"/>
      <c r="D26" s="21"/>
      <c r="E26" s="21"/>
      <c r="F26" s="21"/>
      <c r="G26" s="21"/>
      <c r="H26" s="21"/>
      <c r="I26" s="21"/>
      <c r="J26" s="21"/>
      <c r="K26" s="21"/>
      <c r="L26" s="21"/>
      <c r="M26" s="21"/>
      <c r="N26" s="21"/>
      <c r="O26" s="21"/>
      <c r="P26" s="21"/>
      <c r="Q26" s="21"/>
      <c r="R26" s="21"/>
    </row>
    <row r="27" customFormat="false" ht="27.75" hidden="false" customHeight="true" outlineLevel="0" collapsed="false">
      <c r="A27" s="21" t="s">
        <v>71</v>
      </c>
      <c r="B27" s="21"/>
      <c r="C27" s="21"/>
      <c r="D27" s="21"/>
      <c r="E27" s="21"/>
      <c r="F27" s="21"/>
      <c r="G27" s="21"/>
      <c r="H27" s="21"/>
      <c r="I27" s="21"/>
      <c r="J27" s="21"/>
      <c r="K27" s="21"/>
      <c r="L27" s="21"/>
      <c r="M27" s="21"/>
      <c r="N27" s="21"/>
      <c r="O27" s="21"/>
      <c r="P27" s="21"/>
      <c r="Q27" s="21"/>
      <c r="R27" s="21"/>
    </row>
  </sheetData>
  <sheetProtection sheet="true" password="ef11" formatCells="false" formatColumns="false" formatRows="false"/>
  <mergeCells count="6">
    <mergeCell ref="A22:R22"/>
    <mergeCell ref="A23:R23"/>
    <mergeCell ref="A24:R24"/>
    <mergeCell ref="A25:R25"/>
    <mergeCell ref="A26:R26"/>
    <mergeCell ref="A27:R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4"/>
    <col collapsed="false" customWidth="true" hidden="false" outlineLevel="0" max="3" min="3" style="0" width="60"/>
  </cols>
  <sheetData>
    <row r="1" customFormat="false" ht="17.35" hidden="false" customHeight="false" outlineLevel="0" collapsed="false">
      <c r="A1" s="1" t="s">
        <v>72</v>
      </c>
      <c r="B1" s="2"/>
      <c r="C1" s="2"/>
    </row>
    <row r="2" customFormat="false" ht="15" hidden="false" customHeight="false" outlineLevel="0" collapsed="false">
      <c r="A2" s="3" t="s">
        <v>73</v>
      </c>
      <c r="B2" s="2"/>
      <c r="C2" s="2"/>
    </row>
    <row r="3" customFormat="false" ht="15" hidden="false" customHeight="false" outlineLevel="0" collapsed="false">
      <c r="A3" s="2"/>
      <c r="B3" s="2"/>
      <c r="C3" s="2"/>
    </row>
    <row r="4" customFormat="false" ht="15" hidden="false" customHeight="false" outlineLevel="0" collapsed="false">
      <c r="A4" s="19" t="s">
        <v>74</v>
      </c>
      <c r="B4" s="20"/>
      <c r="C4" s="20"/>
    </row>
    <row r="5" customFormat="false" ht="15" hidden="false" customHeight="false" outlineLevel="0" collapsed="false">
      <c r="A5" s="22" t="s">
        <v>75</v>
      </c>
      <c r="B5" s="22" t="s">
        <v>76</v>
      </c>
      <c r="C5" s="22" t="s">
        <v>77</v>
      </c>
    </row>
    <row r="6" customFormat="false" ht="39" hidden="false" customHeight="true" outlineLevel="0" collapsed="false">
      <c r="A6" s="23" t="s">
        <v>78</v>
      </c>
      <c r="B6" s="24" t="s">
        <v>79</v>
      </c>
      <c r="C6" s="24" t="s">
        <v>80</v>
      </c>
    </row>
    <row r="7" customFormat="false" ht="25.5" hidden="false" customHeight="true" outlineLevel="0" collapsed="false">
      <c r="A7" s="23" t="s">
        <v>81</v>
      </c>
      <c r="B7" s="24" t="s">
        <v>82</v>
      </c>
      <c r="C7" s="24" t="s">
        <v>83</v>
      </c>
    </row>
    <row r="8" customFormat="false" ht="39" hidden="false" customHeight="true" outlineLevel="0" collapsed="false">
      <c r="A8" s="23" t="s">
        <v>84</v>
      </c>
      <c r="B8" s="24" t="s">
        <v>85</v>
      </c>
      <c r="C8" s="24" t="s">
        <v>86</v>
      </c>
    </row>
    <row r="9" customFormat="false" ht="25.5" hidden="false" customHeight="true" outlineLevel="0" collapsed="false">
      <c r="A9" s="23" t="s">
        <v>87</v>
      </c>
      <c r="B9" s="24" t="s">
        <v>88</v>
      </c>
      <c r="C9" s="24" t="s">
        <v>89</v>
      </c>
    </row>
    <row r="10" customFormat="false" ht="25.5" hidden="false" customHeight="true" outlineLevel="0" collapsed="false">
      <c r="A10" s="23" t="s">
        <v>90</v>
      </c>
      <c r="B10" s="24" t="s">
        <v>91</v>
      </c>
      <c r="C10" s="24" t="s">
        <v>92</v>
      </c>
    </row>
    <row r="11" customFormat="false" ht="15" hidden="false" customHeight="false" outlineLevel="0" collapsed="false">
      <c r="A11" s="2"/>
      <c r="B11" s="2"/>
      <c r="C11" s="2"/>
    </row>
    <row r="12" customFormat="false" ht="15" hidden="false" customHeight="false" outlineLevel="0" collapsed="false">
      <c r="A12" s="25" t="s">
        <v>93</v>
      </c>
      <c r="B12" s="26"/>
      <c r="C12" s="26"/>
    </row>
    <row r="13" customFormat="false" ht="15" hidden="false" customHeight="false" outlineLevel="0" collapsed="false">
      <c r="A13" s="22" t="s">
        <v>75</v>
      </c>
      <c r="B13" s="22" t="s">
        <v>76</v>
      </c>
      <c r="C13" s="22" t="s">
        <v>77</v>
      </c>
    </row>
    <row r="14" customFormat="false" ht="39" hidden="false" customHeight="true" outlineLevel="0" collapsed="false">
      <c r="A14" s="23" t="s">
        <v>94</v>
      </c>
      <c r="B14" s="24" t="s">
        <v>95</v>
      </c>
      <c r="C14" s="24" t="s">
        <v>96</v>
      </c>
    </row>
    <row r="15" customFormat="false" ht="39" hidden="false" customHeight="true" outlineLevel="0" collapsed="false">
      <c r="A15" s="23" t="s">
        <v>97</v>
      </c>
      <c r="B15" s="24" t="s">
        <v>98</v>
      </c>
      <c r="C15" s="24" t="s">
        <v>99</v>
      </c>
    </row>
    <row r="16" customFormat="false" ht="51.75" hidden="false" customHeight="true" outlineLevel="0" collapsed="false">
      <c r="A16" s="23" t="s">
        <v>100</v>
      </c>
      <c r="B16" s="24" t="s">
        <v>101</v>
      </c>
      <c r="C16" s="24" t="s">
        <v>102</v>
      </c>
    </row>
    <row r="17" customFormat="false" ht="39" hidden="false" customHeight="true" outlineLevel="0" collapsed="false">
      <c r="A17" s="23" t="s">
        <v>103</v>
      </c>
      <c r="B17" s="24" t="s">
        <v>104</v>
      </c>
      <c r="C17" s="24" t="s">
        <v>105</v>
      </c>
    </row>
    <row r="18" customFormat="false" ht="39" hidden="false" customHeight="true" outlineLevel="0" collapsed="false">
      <c r="A18" s="23" t="s">
        <v>106</v>
      </c>
      <c r="B18" s="24" t="s">
        <v>107</v>
      </c>
      <c r="C18" s="24" t="s">
        <v>108</v>
      </c>
    </row>
    <row r="19" customFormat="false" ht="15" hidden="false" customHeight="false" outlineLevel="0" collapsed="false">
      <c r="A19" s="2"/>
      <c r="B19" s="2"/>
      <c r="C19" s="2"/>
    </row>
    <row r="20" customFormat="false" ht="15" hidden="false" customHeight="false" outlineLevel="0" collapsed="false">
      <c r="A20" s="27" t="s">
        <v>109</v>
      </c>
      <c r="B20" s="28"/>
      <c r="C20" s="28"/>
    </row>
    <row r="21" customFormat="false" ht="15" hidden="false" customHeight="false" outlineLevel="0" collapsed="false">
      <c r="A21" s="22" t="s">
        <v>110</v>
      </c>
      <c r="B21" s="22" t="s">
        <v>111</v>
      </c>
      <c r="C21" s="22" t="s">
        <v>112</v>
      </c>
    </row>
    <row r="22" customFormat="false" ht="39" hidden="false" customHeight="true" outlineLevel="0" collapsed="false">
      <c r="A22" s="23" t="s">
        <v>113</v>
      </c>
      <c r="B22" s="24" t="s">
        <v>114</v>
      </c>
      <c r="C22" s="24" t="s">
        <v>115</v>
      </c>
    </row>
    <row r="23" customFormat="false" ht="64.5" hidden="false" customHeight="true" outlineLevel="0" collapsed="false">
      <c r="A23" s="23" t="s">
        <v>116</v>
      </c>
      <c r="B23" s="24" t="s">
        <v>117</v>
      </c>
      <c r="C23" s="24" t="s">
        <v>118</v>
      </c>
    </row>
    <row r="24" customFormat="false" ht="39" hidden="false" customHeight="true" outlineLevel="0" collapsed="false">
      <c r="A24" s="23" t="s">
        <v>119</v>
      </c>
      <c r="B24" s="24" t="s">
        <v>120</v>
      </c>
      <c r="C24" s="24" t="s">
        <v>121</v>
      </c>
    </row>
    <row r="25" customFormat="false" ht="64.5" hidden="false" customHeight="true" outlineLevel="0" collapsed="false">
      <c r="A25" s="23" t="s">
        <v>122</v>
      </c>
      <c r="B25" s="24" t="s">
        <v>123</v>
      </c>
      <c r="C25" s="24" t="s">
        <v>124</v>
      </c>
    </row>
    <row r="26" customFormat="false" ht="51.75" hidden="false" customHeight="true" outlineLevel="0" collapsed="false">
      <c r="A26" s="23" t="s">
        <v>125</v>
      </c>
      <c r="B26" s="24" t="s">
        <v>126</v>
      </c>
      <c r="C26" s="24" t="s">
        <v>127</v>
      </c>
    </row>
    <row r="27" customFormat="false" ht="51.75" hidden="false" customHeight="true" outlineLevel="0" collapsed="false">
      <c r="A27" s="23" t="s">
        <v>128</v>
      </c>
      <c r="B27" s="24" t="s">
        <v>129</v>
      </c>
      <c r="C27" s="24" t="s">
        <v>130</v>
      </c>
    </row>
    <row r="28" customFormat="false" ht="15" hidden="false" customHeight="false" outlineLevel="0" collapsed="false">
      <c r="A28" s="2"/>
      <c r="B28" s="2"/>
      <c r="C28" s="2"/>
    </row>
    <row r="29" customFormat="false" ht="15" hidden="false" customHeight="false" outlineLevel="0" collapsed="false">
      <c r="A29" s="27" t="s">
        <v>131</v>
      </c>
      <c r="B29" s="28"/>
      <c r="C29" s="28"/>
    </row>
    <row r="30" customFormat="false" ht="12.75" hidden="false" customHeight="true" outlineLevel="0" collapsed="false">
      <c r="A30" s="2" t="s">
        <v>132</v>
      </c>
      <c r="B30" s="29" t="s">
        <v>133</v>
      </c>
      <c r="C30" s="29"/>
    </row>
    <row r="31" customFormat="false" ht="25.5" hidden="false" customHeight="true" outlineLevel="0" collapsed="false">
      <c r="A31" s="2" t="s">
        <v>132</v>
      </c>
      <c r="B31" s="29" t="s">
        <v>134</v>
      </c>
      <c r="C31" s="29"/>
    </row>
    <row r="32" customFormat="false" ht="12.75" hidden="false" customHeight="true" outlineLevel="0" collapsed="false">
      <c r="A32" s="2" t="s">
        <v>132</v>
      </c>
      <c r="B32" s="29" t="s">
        <v>135</v>
      </c>
      <c r="C32" s="29"/>
    </row>
    <row r="33" customFormat="false" ht="25.5" hidden="false" customHeight="true" outlineLevel="0" collapsed="false">
      <c r="A33" s="2" t="s">
        <v>132</v>
      </c>
      <c r="B33" s="29" t="s">
        <v>136</v>
      </c>
      <c r="C33" s="29"/>
    </row>
    <row r="34" customFormat="false" ht="25.5" hidden="false" customHeight="true" outlineLevel="0" collapsed="false">
      <c r="A34" s="2" t="s">
        <v>132</v>
      </c>
      <c r="B34" s="29" t="s">
        <v>137</v>
      </c>
      <c r="C34" s="29"/>
    </row>
    <row r="35" customFormat="false" ht="15" hidden="false" customHeight="false" outlineLevel="0" collapsed="false">
      <c r="A35" s="2"/>
      <c r="B35" s="2"/>
      <c r="C35" s="2"/>
    </row>
    <row r="36" customFormat="false" ht="25.5" hidden="false" customHeight="true" outlineLevel="0" collapsed="false">
      <c r="A36" s="30" t="s">
        <v>138</v>
      </c>
      <c r="B36" s="30"/>
      <c r="C36" s="30"/>
    </row>
    <row r="37" customFormat="false" ht="15" hidden="false" customHeight="false" outlineLevel="0" collapsed="false">
      <c r="A37" s="2"/>
      <c r="B37" s="2"/>
      <c r="C37" s="2"/>
    </row>
    <row r="38" customFormat="false" ht="39" hidden="false" customHeight="true" outlineLevel="0" collapsed="false">
      <c r="A38" s="30" t="s">
        <v>139</v>
      </c>
      <c r="B38" s="30"/>
      <c r="C38" s="30"/>
    </row>
    <row r="39" customFormat="false" ht="15" hidden="false" customHeight="false" outlineLevel="0" collapsed="false">
      <c r="A39" s="2"/>
      <c r="B39" s="2"/>
      <c r="C39" s="2"/>
    </row>
    <row r="40" customFormat="false" ht="25.5" hidden="false" customHeight="true" outlineLevel="0" collapsed="false">
      <c r="A40" s="30" t="s">
        <v>140</v>
      </c>
      <c r="B40" s="30"/>
      <c r="C40" s="30"/>
    </row>
  </sheetData>
  <sheetProtection sheet="true" password="ef11" formatCells="false" formatColumns="false" formatRows="false"/>
  <mergeCells count="8">
    <mergeCell ref="B30:C30"/>
    <mergeCell ref="B31:C31"/>
    <mergeCell ref="B32:C32"/>
    <mergeCell ref="B33:C33"/>
    <mergeCell ref="B34:C34"/>
    <mergeCell ref="A36:C36"/>
    <mergeCell ref="A38:C38"/>
    <mergeCell ref="A40:C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2026-09-17T04:16:42Z</dcterms:created>
  <dc:creator>openpyxl</dc:creator>
  <dc:description/>
  <dc:language>en-US</dc:language>
  <cp:lastModifiedBy/>
  <dcterms:modified xsi:type="dcterms:W3CDTF">2026-09-17T04:16:42Z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