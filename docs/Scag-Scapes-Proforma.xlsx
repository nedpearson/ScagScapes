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Sources &amp; no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<sst xmlns="http://schemas.openxmlformats.org/spreadsheetml/2006/main" count="694" uniqueCount="563">
  <si>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</si>
  <si>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</si>
  <si>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</si>
  <si>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</si>
  <si>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 Cross-check: today's ~$1,500/day at ~400 LF/month implies ~$78/LF all-in (drain + basins + restoration + other work) - set this higher to match that.</t>
  </si>
  <si>
    <t xml:space="preserve">Crew 1 - LF installed per month, month 1</t>
  </si>
  <si>
    <t xml:space="preserve">Charlie: currently doing roughly 400 LF/month with a 3-man crew. Model ramps from here to the target.</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</si>
  <si>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</si>
  <si>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</si>
  <si>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</si>
  <si>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</si>
  <si>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</si>
  <si>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pads, fences, sod, patios</t>
  </si>
  <si>
    <t xml:space="preserve">Fills the days drains do not. Lower value per day than drainage; same 20% materials.</t>
  </si>
  <si>
    <t xml:space="preserve">Crew 1 - LF target per month (reached by month 6)</t>
  </si>
  <si>
    <t xml:space="preserve">Charlie's stated goal (800-1,000).</t>
  </si>
  <si>
    <t xml:space="preserve">Crew 2 - start month (1-24)</t>
  </si>
  <si>
    <t xml:space="preserve">Second crew starts when Crew 1 has run 3 months at target and backlog &gt; 4 weeks. Change to test.</t>
  </si>
  <si>
    <t xml:space="preserve">Crew 2 - LF per month, first month</t>
  </si>
  <si>
    <t xml:space="preserve">New crew ramps over 4 months to the target.</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</si>
  <si>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</si>
  <si>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</si>
  <si>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</si>
  <si>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</si>
  <si>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</si>
  <si>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</si>
  <si>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</si>
  <si>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</si>
  <si>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</si>
  <si>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</si>
  <si>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</si>
  <si>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</si>
  <si>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</si>
  <si>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</si>
  <si>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</si>
  <si>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</si>
  <si>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</si>
  <si>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</si>
  <si>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</si>
  <si>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</si>
  <si>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</si>
  <si>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</si>
  <si>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</si>
  <si>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</si>
  <si>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</si>
  <si>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</si>
  <si>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</si>
  <si>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</si>
  <si>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</si>
  <si>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</si>
  <si>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</si>
  <si>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</si>
  <si>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</si>
  <si>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</si>
  <si>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</si>
  <si>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</si>
  <si>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</si>
  <si>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</si>
  <si>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</si>
  <si>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</si>
  <si>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</si>
  <si>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</si>
  <si>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</si>
  <si>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</si>
  <si>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</si>
  <si>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</si>
  <si>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</si>
  <si>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</si>
  <si>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</si>
  <si>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</si>
  <si>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</si>
  <si>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</si>
  <si>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</si>
  <si>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</si>
  <si>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</si>
  <si>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</si>
  <si>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</si>
  <si>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</si>
  <si>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</si>
  <si>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</si>
  <si>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not a published figure: contracted, repeating revenue and a manager in the seat sit at the top of the range. BizBuySell median for the category is 2.46x (945 sales).</t>
  </si>
  <si>
    <t xml:space="preserve">Value multiple WITHOUT a service book (x owner cash)</t>
  </si>
  <si>
    <t xml:space="preserve">Judgment: a pure job shop with no repeating revenue sits at the bottom of the range.</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</si>
  <si>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</si>
  <si>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</si>
  <si>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</si>
  <si>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</si>
  <si>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</si>
  <si>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</si>
  <si>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</si>
  <si>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</si>
  <si>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</si>
  <si>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</si>
  <si>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</si>
  <si>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</si>
  <si>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</si>
  <si>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</si>
  <si>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</si>
  <si>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</si>
  <si>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</si>
  <si>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</si>
  <si>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</si>
  <si>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</si>
  <si>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</si>
  <si>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</si>
  <si>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</si>
  <si>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</si>
  <si>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</si>
  <si>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</si>
  <si>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</si>
  <si>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</si>
  <si>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</si>
  <si>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</si>
  <si>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</si>
  <si>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</si>
  <si>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</si>
  <si>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</si>
  <si>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</si>
  <si>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</si>
  <si>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</si>
  <si>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</si>
  <si>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</si>
  <si>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</si>
  <si>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</si>
  <si>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</si>
  <si>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</si>
  <si>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</si>
  <si>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</si>
  <si>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</si>
  <si>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</si>
  <si>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</si>
  <si>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</si>
  <si>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</si>
  <si>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</si>
  <si>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</si>
  <si>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</si>
  <si>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</si>
  <si>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</si>
  <si>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</si>
  <si>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</si>
  <si>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</si>
  <si>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</si>
  <si>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</si>
  <si>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</si>
  <si>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</si>
  <si>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</si>
  <si>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</si>
  <si>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</si>
  <si>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</si>
  <si>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</si>
  <si>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</si>
  <si>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</si>
  <si>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</si>
  <si>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</si>
  <si>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</si>
  <si>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</si>
  <si>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</si>
  <si>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</si>
  <si>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</si>
  <si>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</si>
  <si>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</si>
  <si>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</si>
  <si>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</si>
  <si>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</si>
  <si>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</si>
  <si>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</si>
  <si>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</si>
  <si>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</si>
  <si>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</si>
  <si>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</si>
  <si>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</si>
  <si>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</si>
  <si>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</si>
  <si>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</si>
  <si>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</si>
  <si>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</si>
  <si>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</si>
  <si>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</si>
  <si>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</si>
  <si>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</si>
  <si>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</si>
  <si>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</si>
  <si>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</si>
  <si>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</si>
  <si>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</si>
  <si>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</si>
  <si>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</si>
  <si>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</si>
  <si>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</si>
  <si>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</si>
  <si>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</si>
  <si>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</si>
  <si>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</si>
  <si>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</si>
  <si>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</si>
  <si>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</si>
  <si>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</si>
  <si>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</si>
  <si>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</si>
  <si>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</si>
  <si>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</si>
  <si>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</si>
  <si>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</si>
  <si>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</si>
  <si>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</si>
  <si>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</si>
  <si>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</si>
  <si>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</si>
  <si>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Crew-days on other work (days not used by drains)</t>
  </si>
  <si>
    <t xml:space="preserve">Drainage revenue (LF installed x $/LF)</t>
  </si>
  <si>
    <t xml:space="preserve">Other work revenue (other days x $/day)</t>
  </si>
  <si>
    <t xml:space="preserve">Install revenue (drainage + other work)</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</si>
  <si>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</si>
  <si>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</si>
  <si>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</si>
  <si>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</si>
  <si>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</si>
  <si>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</si>
  <si>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</si>
  <si>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</si>
  <si>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</si>
  <si>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</si>
  <si>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</si>
  <si>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</si>
  <si>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</si>
  <si>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</si>
  <si>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</si>
  <si>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</si>
  <si>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</si>
  <si>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</si>
  <si>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</si>
  <si>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</si>
  <si>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</si>
  <si>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</si>
  <si>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</si>
  <si>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</si>
  <si>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</si>
  <si>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</si>
  <si>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</si>
  <si>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</si>
  <si>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</si>
  <si>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</si>
  <si>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</si>
  <si>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</si>
  <si>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</si>
  <si>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</si>
  <si>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</si>
  <si>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</si>
  <si>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</si>
  <si>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</si>
  <si>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</si>
  <si>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</si>
  <si>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</si>
  <si>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</si>
  <si>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</si>
  <si>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</si>
  <si>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</si>
  <si>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</si>
  <si>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</si>
  <si>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</si>
  <si>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</si>
  <si>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</si>
  <si>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</si>
  <si>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</si>
  <si>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</si>
  <si>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</si>
  <si>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</si>
  <si>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</si>
  <si>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</si>
  <si>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</si>
  <si>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</si>
  <si>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</si>
  <si>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</si>
  <si>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</si>
  <si>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</si>
  <si>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</si>
  <si>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</si>
  <si>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</si>
  <si>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</si>
  <si>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</si>
  <si>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</si>
  <si>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</si>
  <si>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t>
  </si>
  <si>
    <t xml:space="preserve">Today: revenue per crew-month (drain LF x $/LF + other-work days x $/day)</t>
  </si>
  <si>
    <t xml:space="preserve">Today: revenue per crew-day (model) vs Charlie's $1,500</t>
  </si>
  <si>
    <t xml:space="preserve">Month 1 of the proforma: about 9 crew-days on drains, 12 on other work - matches Charlie: $1,500/day.</t>
  </si>
  <si>
    <t xml:space="preserve">Today: labor as % of revenue</t>
  </si>
  <si>
    <t xml:space="preserve">At today's 400 LF the crew is expensive relative to revenue; at 900 LF it is not. That gap is the whole growth case.</t>
  </si>
  <si>
    <t xml:space="preserve">Target: labor as % of revenue</t>
  </si>
  <si>
    <t xml:space="preserve">Monthly overhead, one crew (Proforma month 3)</t>
  </si>
  <si>
    <t xml:space="preserve">Break-even LF per month, one crew (overhead + crew cost,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</si>
  <si>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</si>
  <si>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</si>
  <si>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</si>
  <si>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</si>
  <si>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</si>
  <si>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</si>
  <si>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</si>
  <si>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</si>
  <si>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</si>
  <si>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</si>
  <si>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</si>
  <si>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</si>
  <si>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</si>
  <si>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</si>
  <si>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</si>
  <si>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</si>
  <si>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</si>
  <si>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</si>
  <si>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</si>
  <si>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</si>
  <si>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</si>
  <si>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</si>
  <si>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</si>
  <si>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</si>
  <si>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</si>
  <si>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</si>
  <si>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</si>
  <si>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</si>
  <si>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</si>
  <si>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</si>
  <si>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</si>
  <si>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</si>
  <si>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</si>
  <si>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</si>
  <si>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</si>
  <si>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</si>
  <si>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</si>
  <si>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</si>
  <si>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</si>
  <si>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</si>
  <si>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</si>
  <si>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</si>
  <si>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</si>
  <si>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</si>
  <si>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</si>
  <si>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</si>
  <si>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</si>
  <si>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70 in the base case).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</si>
  <si>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</si>
  <si>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</si>
  <si>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</si>
  <si>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</si>
  <si>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</si>
  <si>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</si>
  <si>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</si>
  <si>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</si>
  <si>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</si>
  <si>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Crew 3 in year 3, Crew 4 in year 4, then consolidate. Change to test a slower or faster path.</t>
  </si>
  <si>
    <t xml:space="preserve">Average crews running during the year</t>
  </si>
  <si>
    <t xml:space="preserve">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</si>
  <si>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</si>
  <si>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</si>
  <si>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</si>
  <si>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</si>
  <si>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 other install revenue</t>
  </si>
  <si>
    <t xml:space="preserve">Years 1-2 include other-work days; years 3-5 crews are full on drainage.</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</si>
  <si>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</si>
  <si>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</si>
  <si>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</si>
  <si>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</si>
  <si>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</si>
  <si>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</si>
  <si>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</si>
  <si>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</si>
  <si>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</si>
  <si>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</si>
  <si>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</si>
  <si>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</si>
  <si>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</si>
  <si>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</si>
  <si>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</si>
  <si>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</si>
  <si>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</si>
  <si>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</si>
  <si>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</si>
  <si>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</si>
  <si>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</si>
  <si>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</si>
  <si>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</si>
  <si>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</si>
  <si>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</si>
  <si>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</si>
  <si>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</si>
  <si>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</si>
  <si>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</si>
  <si>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</si>
  <si>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</si>
  <si>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</si>
  <si>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</si>
  <si>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</si>
  <si>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</si>
  <si>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</si>
  <si>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</si>
  <si>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</si>
  <si>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</si>
  <si>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</si>
  <si>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</si>
  <si>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</si>
  <si>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</si>
  <si>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</si>
  <si>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</si>
  <si>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</si>
  <si>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</si>
  <si>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</si>
  <si>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</si>
  <si>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</si>
  <si>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</si>
  <si>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</si>
  <si>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</si>
  <si>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</si>
  <si>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</si>
  <si>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</si>
  <si>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</si>
  <si>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</si>
  <si>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</si>
  <si>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</si>
  <si>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</si>
  <si>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</si>
  <si>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</si>
  <si>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</si>
  <si>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</si>
  <si>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</si>
  <si>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</si>
  <si>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</si>
  <si>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</si>
  <si>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</si>
  <si>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</si>
  <si>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</si>
  <si>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</si>
  <si>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</si>
  <si>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</si>
  <si>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</si>
  <si>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Leads cost more and close worse, crews never beat 36 LF a day, Crew 2 slips to the middle of year 2, few plans attach. The 90-day gate is missed, so the growth lead is ended after three months (that is the $15,000 in year 1 - the whole exposure) and no share is ever earned. The company then looks much like it does today: it covers itself and pays the owner, and it does not run away from anyone.</t>
  </si>
  <si>
    <t xml:space="preserve">Drivers - change any blue cell</t>
  </si>
  <si>
    <t xml:space="preserve">Half a crew = started mid-year. A crew is added only after three months at target, backlog over four weeks and cash above two months of overhead.</t>
  </si>
  <si>
    <t xml:space="preserve">Share of crew days on drainage (the rest is pads, fences, sod, patios)</t>
  </si>
  <si>
    <t xml:space="preserve">Today one crew spends about 42% of its days on drain feet. Filling the calendar is the whole growth engine.</t>
  </si>
  <si>
    <t xml:space="preserve">LF a crew installs per working day</t>
  </si>
  <si>
    <t xml:space="preserve">Charlie's target is 43 (900 LF / 21 days).</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</si>
  <si>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</si>
  <si>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</si>
  <si>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</si>
  <si>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</si>
  <si>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</si>
  <si>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</si>
  <si>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</si>
  <si>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</si>
  <si>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</si>
  <si>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</si>
  <si>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Other work on the remaining days</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</si>
  <si>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</si>
  <si>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</si>
  <si>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</si>
  <si>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</si>
  <si>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</si>
  <si>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</si>
  <si>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</si>
  <si>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</si>
  <si>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</si>
  <si>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</si>
  <si>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</si>
  <si>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</si>
  <si>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</si>
  <si>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</si>
  <si>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</si>
  <si>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</si>
  <si>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</si>
  <si>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</si>
  <si>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</si>
  <si>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Charlie's own targets on the blueprint's schedule: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</si>
  <si>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</si>
  <si>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</si>
  <si>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</si>
  <si>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</si>
  <si>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</si>
  <si>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</si>
  <si>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</si>
  <si>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</si>
  <si>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</si>
  <si>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</si>
  <si>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</si>
  <si>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</si>
  <si>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</si>
  <si>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</si>
  <si>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</si>
  <si>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</si>
  <si>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</si>
  <si>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</si>
  <si>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</si>
  <si>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</si>
  <si>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</si>
  <si>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Raise it to see what productivity alone is worth.</t>
  </si>
  <si>
    <t xml:space="preserve">Share of crew days on drainage</t>
  </si>
  <si>
    <t xml:space="preserve">The rest of the days are pads, fences, sod and patios.</t>
  </si>
  <si>
    <t xml:space="preserve">PEOPLE ON BOARD</t>
  </si>
  <si>
    <t xml:space="preserve">Crew members in the field</t>
  </si>
  <si>
    <t xml:space="preserve">Office admin</t>
  </si>
  <si>
    <t xml:space="preserve">Operations managers</t>
  </si>
  <si>
    <t xml:space="preserve">Estimators</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</si>
  <si>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</si>
  <si>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</si>
  <si>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</si>
  <si>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</si>
  <si>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</si>
  <si>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</si>
  <si>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</si>
  <si>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</si>
  <si>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</si>
  <si>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</si>
  <si>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Salaried staff (admin, managers, estimators)</t>
  </si>
  <si>
    <t xml:space="preserve">All other overhead (owner draw, per crew, marketing, yard, loans)</t>
  </si>
  <si>
    <t xml:space="preserve">Yard space grows with the crews (capped at three times the space on the Assumptions tab). Marketing held at 5% of revenue.</t>
  </si>
  <si>
    <t xml:space="preserve">OPERATING PROFIT (after the owner draw, before tax)</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</si>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</sst>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7">
    <numFmt numFmtId="164" formatCode="General"/>
    <numFmt numFmtId="165" formatCode="#,##0;\(#,##0\);\-"/>
    <numFmt numFmtId="166" formatCode="\$#,##0;&quot;($&quot;#,##0\);\-"/>
    <numFmt numFmtId="167" formatCode="0.0%"/>
    <numFmt numFmtId="168" formatCode="0.00"/>
    <numFmt numFmtId="169" formatCode="\$0.00"/>
    <numFmt numFmtId="170" formatCode="@"/>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s>
  <fills count="5">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D8E7EC"/>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true">
      <alignment horizontal="general" vertical="bottom" textRotation="0" wrapText="false" indent="0" shrinkToFit="false"/>
      <protection locked="false" hidden="false"/>
    </xf>
    <xf numFmtId="166"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6" fontId="8" fillId="3" borderId="0" xfId="0" applyFont="true" applyBorder="false" applyAlignment="false" applyProtection="true">
      <alignment horizontal="general" vertical="bottom" textRotation="0" wrapText="false" indent="0" shrinkToFit="false"/>
      <protection locked="false" hidden="false"/>
    </xf>
    <xf numFmtId="165" fontId="8" fillId="0" borderId="0" xfId="0" applyFont="true" applyBorder="false" applyAlignment="false" applyProtection="true">
      <alignment horizontal="general" vertical="bottom" textRotation="0" wrapText="false" indent="0" shrinkToFit="false"/>
      <protection locked="false" hidden="false"/>
    </xf>
    <xf numFmtId="167" fontId="8" fillId="0"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true">
      <alignment horizontal="general" vertical="bottom" textRotation="0" wrapText="false" indent="0" shrinkToFit="false"/>
      <protection locked="false" hidden="false"/>
    </xf>
    <xf numFmtId="168" fontId="10" fillId="0" borderId="0" xfId="0" applyFont="true" applyBorder="false" applyAlignment="false" applyProtection="true">
      <alignment horizontal="general" vertical="bottom" textRotation="0" wrapText="false" indent="0" shrinkToFit="false"/>
      <protection locked="true" hidden="true"/>
    </xf>
    <xf numFmtId="166" fontId="10"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true">
      <alignment horizontal="general" vertical="bottom" textRotation="0" wrapText="false" indent="0" shrinkToFit="false"/>
      <protection locked="true" hidden="true"/>
    </xf>
    <xf numFmtId="165" fontId="11"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true">
      <alignment horizontal="general" vertical="bottom" textRotation="0" wrapText="false" indent="0" shrinkToFit="false"/>
      <protection locked="true" hidden="true"/>
    </xf>
    <xf numFmtId="166" fontId="11" fillId="0" borderId="0" xfId="0" applyFont="true" applyBorder="false" applyAlignment="false" applyProtection="true">
      <alignment horizontal="general" vertical="bottom" textRotation="0" wrapText="false" indent="0" shrinkToFit="false"/>
      <protection locked="true" hidden="true"/>
    </xf>
    <xf numFmtId="166" fontId="11" fillId="0" borderId="1" xfId="0" applyFont="true" applyBorder="true" applyAlignment="false" applyProtection="true">
      <alignment horizontal="general" vertical="bottom" textRotation="0" wrapText="false" indent="0" shrinkToFit="false"/>
      <protection locked="true" hidden="true"/>
    </xf>
    <xf numFmtId="165" fontId="12" fillId="0" borderId="0" xfId="0" applyFont="true" applyBorder="false" applyAlignment="false" applyProtection="true">
      <alignment horizontal="general" vertical="bottom" textRotation="0" wrapText="false" indent="0" shrinkToFit="false"/>
      <protection locked="true" hidden="true"/>
    </xf>
    <xf numFmtId="166" fontId="12" fillId="0" borderId="0" xfId="0" applyFont="true" applyBorder="false" applyAlignment="false" applyProtection="true">
      <alignment horizontal="general" vertical="bottom" textRotation="0" wrapText="false" indent="0" shrinkToFit="false"/>
      <protection locked="true" hidden="true"/>
    </xf>
    <xf numFmtId="168" fontId="12" fillId="0" borderId="0" xfId="0" applyFont="true" applyBorder="false" applyAlignment="false" applyProtection="true">
      <alignment horizontal="general" vertical="bottom" textRotation="0" wrapText="false" indent="0" shrinkToFit="false"/>
      <protection locked="true" hidden="true"/>
    </xf>
    <xf numFmtId="167" fontId="12" fillId="0" borderId="0" xfId="0" applyFont="true" applyBorder="false" applyAlignment="false" applyProtection="true">
      <alignment horizontal="general" vertical="bottom" textRotation="0" wrapText="false" indent="0" shrinkToFit="false"/>
      <protection locked="true" hidden="true"/>
    </xf>
    <xf numFmtId="164"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8" fillId="0" borderId="0" xfId="0" applyFont="true" applyBorder="false" applyAlignment="false" applyProtection="true">
      <alignment horizontal="general" vertical="bottom" textRotation="0" wrapText="false" indent="0" shrinkToFit="false"/>
      <protection locked="fals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true">
      <alignment horizontal="general" vertical="bottom" textRotation="0" wrapText="false" indent="0" shrinkToFit="false"/>
      <protection locked="false" hidden="false"/>
    </xf>
    <xf numFmtId="169" fontId="12" fillId="0" borderId="0" xfId="0" applyFont="true" applyBorder="false" applyAlignment="false" applyProtection="true">
      <alignment horizontal="general"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true">
      <alignment horizontal="general" vertical="bottom" textRotation="0" wrapText="false" indent="0" shrinkToFit="false"/>
      <protection locked="true" hidden="true"/>
    </xf>
    <xf numFmtId="168" fontId="14" fillId="0" borderId="0" xfId="0" applyFont="true" applyBorder="false" applyAlignment="false" applyProtection="true">
      <alignment horizontal="general" vertical="bottom" textRotation="0" wrapText="false" indent="0" shrinkToFit="false"/>
      <protection locked="true" hidden="true"/>
    </xf>
    <xf numFmtId="166" fontId="14"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FFFCC"/>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5"/>
      <c r="C4" s="5"/>
    </row>
    <row r="5" customFormat="false" ht="15" hidden="false" customHeight="false" outlineLevel="0" collapsed="false">
      <c r="A5" s="2" t="s">
        <v>3</v>
      </c>
      <c r="B5" s="6" t="n">
        <v>50</v>
      </c>
      <c r="C5" s="7" t="s">
        <v>4</v>
      </c>
    </row>
    <row r="6" customFormat="false" ht="15" hidden="false" customHeight="false" outlineLevel="0" collapsed="false">
      <c r="A6" s="2" t="s">
        <v>5</v>
      </c>
      <c r="B6" s="8" t="n">
        <v>400</v>
      </c>
      <c r="C6" s="7" t="s">
        <v>6</v>
      </c>
    </row>
    <row r="7" customFormat="false" ht="15" hidden="false" customHeight="false" outlineLevel="0" collapsed="false">
      <c r="A7" s="2" t="s">
        <v>7</v>
      </c>
      <c r="B7" s="9" t="n">
        <v>1500</v>
      </c>
      <c r="C7" s="7" t="s">
        <v>8</v>
      </c>
    </row>
    <row r="8" customFormat="false" ht="15" hidden="false" customHeight="false" outlineLevel="0" collapsed="false">
      <c r="A8" s="2" t="s">
        <v>9</v>
      </c>
      <c r="B8" s="10" t="n">
        <v>21</v>
      </c>
      <c r="C8" s="7"/>
    </row>
    <row r="9" customFormat="false" ht="15" hidden="false" customHeight="false" outlineLevel="0" collapsed="false">
      <c r="A9" s="2" t="s">
        <v>10</v>
      </c>
      <c r="B9" s="6" t="n">
        <v>43</v>
      </c>
      <c r="C9" s="7" t="s">
        <v>11</v>
      </c>
    </row>
    <row r="10" customFormat="false" ht="15" hidden="false" customHeight="false" outlineLevel="0" collapsed="false">
      <c r="A10" s="2" t="s">
        <v>12</v>
      </c>
      <c r="B10" s="11" t="n">
        <v>1000</v>
      </c>
      <c r="C10" s="7" t="s">
        <v>13</v>
      </c>
    </row>
    <row r="11" customFormat="false" ht="15" hidden="false" customHeight="false" outlineLevel="0" collapsed="false">
      <c r="A11" s="2" t="s">
        <v>14</v>
      </c>
      <c r="B11" s="8" t="n">
        <v>900</v>
      </c>
      <c r="C11" s="7" t="s">
        <v>15</v>
      </c>
    </row>
    <row r="12" customFormat="false" ht="15" hidden="false" customHeight="false" outlineLevel="0" collapsed="false">
      <c r="A12" s="2" t="s">
        <v>16</v>
      </c>
      <c r="B12" s="6" t="n">
        <v>7</v>
      </c>
      <c r="C12" s="7" t="s">
        <v>17</v>
      </c>
    </row>
    <row r="13" customFormat="false" ht="15" hidden="false" customHeight="false" outlineLevel="0" collapsed="false">
      <c r="A13" s="2" t="s">
        <v>18</v>
      </c>
      <c r="B13" s="12" t="n">
        <v>500</v>
      </c>
      <c r="C13" s="7" t="s">
        <v>19</v>
      </c>
    </row>
    <row r="14" customFormat="false" ht="15" hidden="false" customHeight="false" outlineLevel="0" collapsed="false">
      <c r="A14" s="2" t="s">
        <v>20</v>
      </c>
      <c r="B14" s="12" t="n">
        <v>900</v>
      </c>
      <c r="C14" s="7" t="s">
        <v>21</v>
      </c>
    </row>
    <row r="15" customFormat="false" ht="15" hidden="false" customHeight="false" outlineLevel="0" collapsed="false">
      <c r="A15" s="2" t="s">
        <v>22</v>
      </c>
      <c r="B15" s="12" t="n">
        <v>100</v>
      </c>
      <c r="C15" s="7" t="s">
        <v>23</v>
      </c>
    </row>
    <row r="16" customFormat="false" ht="15" hidden="false" customHeight="false" outlineLevel="0" collapsed="false">
      <c r="A16" s="2" t="s">
        <v>24</v>
      </c>
      <c r="B16" s="10" t="n">
        <v>1</v>
      </c>
      <c r="C16" s="7" t="s">
        <v>25</v>
      </c>
    </row>
    <row r="17" customFormat="false" ht="15" hidden="false" customHeight="false" outlineLevel="0" collapsed="false">
      <c r="A17" s="4" t="s">
        <v>26</v>
      </c>
      <c r="B17" s="5"/>
      <c r="C17" s="5"/>
    </row>
    <row r="18" customFormat="false" ht="15" hidden="false" customHeight="false" outlineLevel="0" collapsed="false">
      <c r="A18" s="2" t="s">
        <v>27</v>
      </c>
      <c r="B18" s="6" t="n">
        <v>2</v>
      </c>
      <c r="C18" s="7" t="s">
        <v>28</v>
      </c>
    </row>
    <row r="19" customFormat="false" ht="15" hidden="false" customHeight="false" outlineLevel="0" collapsed="false">
      <c r="A19" s="2" t="s">
        <v>29</v>
      </c>
      <c r="B19" s="13" t="n">
        <v>0.32</v>
      </c>
      <c r="C19" s="7" t="s">
        <v>30</v>
      </c>
    </row>
    <row r="20" customFormat="false" ht="15" hidden="false" customHeight="false" outlineLevel="0" collapsed="false">
      <c r="A20" s="2" t="s">
        <v>31</v>
      </c>
      <c r="B20" s="14" t="n">
        <v>0.2</v>
      </c>
      <c r="C20" s="7" t="s">
        <v>32</v>
      </c>
    </row>
    <row r="21" customFormat="false" ht="15" hidden="false" customHeight="false" outlineLevel="0" collapsed="false">
      <c r="A21" s="2" t="s">
        <v>33</v>
      </c>
      <c r="B21" s="6" t="n">
        <v>22.5</v>
      </c>
      <c r="C21" s="7" t="s">
        <v>34</v>
      </c>
    </row>
    <row r="22" customFormat="false" ht="15" hidden="false" customHeight="false" outlineLevel="0" collapsed="false">
      <c r="A22" s="2" t="s">
        <v>35</v>
      </c>
      <c r="B22" s="10" t="n">
        <v>3</v>
      </c>
      <c r="C22" s="7" t="s">
        <v>36</v>
      </c>
    </row>
    <row r="23" customFormat="false" ht="15" hidden="false" customHeight="false" outlineLevel="0" collapsed="false">
      <c r="A23" s="2" t="s">
        <v>37</v>
      </c>
      <c r="B23" s="14" t="n">
        <v>0.14</v>
      </c>
      <c r="C23" s="7" t="s">
        <v>38</v>
      </c>
    </row>
    <row r="24" customFormat="false" ht="15" hidden="false" customHeight="false" outlineLevel="0" collapsed="false">
      <c r="A24" s="2" t="s">
        <v>39</v>
      </c>
      <c r="B24" s="10" t="n">
        <v>3</v>
      </c>
      <c r="C24" s="7" t="s">
        <v>40</v>
      </c>
    </row>
    <row r="25" customFormat="false" ht="15" hidden="false" customHeight="false" outlineLevel="0" collapsed="false">
      <c r="A25" s="2" t="s">
        <v>41</v>
      </c>
      <c r="B25" s="12" t="n">
        <v>173</v>
      </c>
      <c r="C25" s="7" t="s">
        <v>42</v>
      </c>
    </row>
    <row r="26" customFormat="false" ht="15" hidden="false" customHeight="false" outlineLevel="0" collapsed="false">
      <c r="A26" s="2" t="s">
        <v>43</v>
      </c>
      <c r="B26" s="10" t="n">
        <v>0</v>
      </c>
      <c r="C26" s="7" t="s">
        <v>44</v>
      </c>
    </row>
    <row r="27" customFormat="false" ht="15" hidden="false" customHeight="false" outlineLevel="0" collapsed="false">
      <c r="A27" s="4" t="s">
        <v>45</v>
      </c>
      <c r="B27" s="5"/>
      <c r="C27" s="5"/>
    </row>
    <row r="28" customFormat="false" ht="15" hidden="false" customHeight="false" outlineLevel="0" collapsed="false">
      <c r="A28" s="2" t="s">
        <v>46</v>
      </c>
      <c r="B28" s="11" t="n">
        <v>249</v>
      </c>
      <c r="C28" s="7" t="s">
        <v>47</v>
      </c>
    </row>
    <row r="29" customFormat="false" ht="15" hidden="false" customHeight="false" outlineLevel="0" collapsed="false">
      <c r="A29" s="2" t="s">
        <v>48</v>
      </c>
      <c r="B29" s="14" t="n">
        <v>0.6</v>
      </c>
      <c r="C29" s="7" t="s">
        <v>49</v>
      </c>
    </row>
    <row r="30" customFormat="false" ht="15" hidden="false" customHeight="false" outlineLevel="0" collapsed="false">
      <c r="A30" s="2" t="s">
        <v>50</v>
      </c>
      <c r="B30" s="14" t="n">
        <v>0.5</v>
      </c>
      <c r="C30" s="7" t="s">
        <v>51</v>
      </c>
    </row>
    <row r="31" customFormat="false" ht="15" hidden="false" customHeight="false" outlineLevel="0" collapsed="false">
      <c r="A31" s="2" t="s">
        <v>52</v>
      </c>
      <c r="B31" s="15" t="n">
        <f aca="false">$B$30*1+(1-$B$30)*0.5</f>
        <v>0.75</v>
      </c>
      <c r="C31" s="7" t="s">
        <v>53</v>
      </c>
    </row>
    <row r="32" customFormat="false" ht="15" hidden="false" customHeight="false" outlineLevel="0" collapsed="false">
      <c r="A32" s="2" t="s">
        <v>54</v>
      </c>
      <c r="B32" s="12" t="n">
        <v>150</v>
      </c>
      <c r="C32" s="7" t="s">
        <v>55</v>
      </c>
    </row>
    <row r="33" customFormat="false" ht="15" hidden="false" customHeight="false" outlineLevel="0" collapsed="false">
      <c r="A33" s="2" t="s">
        <v>56</v>
      </c>
      <c r="B33" s="13" t="n">
        <v>0.15</v>
      </c>
      <c r="C33" s="7" t="s">
        <v>57</v>
      </c>
    </row>
    <row r="34" customFormat="false" ht="15" hidden="false" customHeight="false" outlineLevel="0" collapsed="false">
      <c r="A34" s="2" t="s">
        <v>58</v>
      </c>
      <c r="B34" s="10" t="n">
        <v>3</v>
      </c>
      <c r="C34" s="7" t="s">
        <v>59</v>
      </c>
    </row>
    <row r="35" customFormat="false" ht="15" hidden="false" customHeight="false" outlineLevel="0" collapsed="false">
      <c r="A35" s="2" t="s">
        <v>60</v>
      </c>
      <c r="B35" s="10" t="n">
        <v>70</v>
      </c>
      <c r="C35" s="7" t="s">
        <v>61</v>
      </c>
    </row>
    <row r="36" customFormat="false" ht="15" hidden="false" customHeight="false" outlineLevel="0" collapsed="false">
      <c r="A36" s="4" t="s">
        <v>62</v>
      </c>
      <c r="B36" s="5"/>
      <c r="C36" s="5"/>
    </row>
    <row r="37" customFormat="false" ht="15" hidden="false" customHeight="false" outlineLevel="0" collapsed="false">
      <c r="A37" s="2" t="s">
        <v>63</v>
      </c>
      <c r="B37" s="6" t="n">
        <v>10</v>
      </c>
      <c r="C37" s="7" t="s">
        <v>64</v>
      </c>
    </row>
    <row r="38" customFormat="false" ht="15" hidden="false" customHeight="false" outlineLevel="0" collapsed="false">
      <c r="A38" s="2" t="s">
        <v>65</v>
      </c>
      <c r="B38" s="14" t="n">
        <v>0.5</v>
      </c>
      <c r="C38" s="7" t="s">
        <v>66</v>
      </c>
    </row>
    <row r="39" customFormat="false" ht="15" hidden="false" customHeight="false" outlineLevel="0" collapsed="false">
      <c r="A39" s="2" t="s">
        <v>67</v>
      </c>
      <c r="B39" s="6" t="n">
        <v>8</v>
      </c>
      <c r="C39" s="7" t="s">
        <v>68</v>
      </c>
    </row>
    <row r="40" customFormat="false" ht="15" hidden="false" customHeight="false" outlineLevel="0" collapsed="false">
      <c r="A40" s="2" t="s">
        <v>69</v>
      </c>
      <c r="B40" s="14" t="n">
        <v>0.03</v>
      </c>
      <c r="C40" s="7" t="s">
        <v>70</v>
      </c>
    </row>
    <row r="41" customFormat="false" ht="15" hidden="false" customHeight="false" outlineLevel="0" collapsed="false">
      <c r="A41" s="2" t="s">
        <v>71</v>
      </c>
      <c r="B41" s="13" t="n">
        <v>0.08</v>
      </c>
      <c r="C41" s="7" t="s">
        <v>72</v>
      </c>
    </row>
    <row r="42" customFormat="false" ht="15" hidden="false" customHeight="false" outlineLevel="0" collapsed="false">
      <c r="A42" s="2" t="s">
        <v>73</v>
      </c>
      <c r="B42" s="14" t="n">
        <v>0.6</v>
      </c>
      <c r="C42" s="7" t="s">
        <v>74</v>
      </c>
    </row>
    <row r="43" customFormat="false" ht="15" hidden="false" customHeight="false" outlineLevel="0" collapsed="false">
      <c r="A43" s="2" t="s">
        <v>75</v>
      </c>
      <c r="B43" s="11" t="n">
        <v>60000</v>
      </c>
      <c r="C43" s="7" t="s">
        <v>76</v>
      </c>
    </row>
    <row r="44" customFormat="false" ht="15" hidden="false" customHeight="false" outlineLevel="0" collapsed="false">
      <c r="A44" s="2" t="s">
        <v>77</v>
      </c>
      <c r="B44" s="10" t="n">
        <v>7</v>
      </c>
      <c r="C44" s="7" t="s">
        <v>78</v>
      </c>
    </row>
    <row r="45" customFormat="false" ht="15" hidden="false" customHeight="false" outlineLevel="0" collapsed="false">
      <c r="A45" s="2" t="s">
        <v>79</v>
      </c>
      <c r="B45" s="6" t="n">
        <v>2.7</v>
      </c>
      <c r="C45" s="7" t="s">
        <v>80</v>
      </c>
    </row>
    <row r="46" customFormat="false" ht="15" hidden="false" customHeight="false" outlineLevel="0" collapsed="false">
      <c r="A46" s="2" t="s">
        <v>81</v>
      </c>
      <c r="B46" s="6" t="n">
        <v>2.1</v>
      </c>
      <c r="C46" s="7" t="s">
        <v>82</v>
      </c>
    </row>
    <row r="47" customFormat="false" ht="15" hidden="false" customHeight="false" outlineLevel="0" collapsed="false">
      <c r="A47" s="2" t="s">
        <v>83</v>
      </c>
      <c r="B47" s="10" t="n">
        <v>1</v>
      </c>
      <c r="C47" s="7" t="s">
        <v>84</v>
      </c>
    </row>
    <row r="48" customFormat="false" ht="15" hidden="false" customHeight="false" outlineLevel="0" collapsed="false">
      <c r="A48" s="4" t="s">
        <v>85</v>
      </c>
      <c r="B48" s="5"/>
      <c r="C48" s="5"/>
    </row>
    <row r="49" customFormat="false" ht="15" hidden="false" customHeight="false" outlineLevel="0" collapsed="false">
      <c r="A49" s="2" t="s">
        <v>86</v>
      </c>
      <c r="B49" s="10" t="n">
        <v>2</v>
      </c>
      <c r="C49" s="7" t="s">
        <v>87</v>
      </c>
    </row>
    <row r="50" customFormat="false" ht="15" hidden="false" customHeight="false" outlineLevel="0" collapsed="false">
      <c r="A50" s="2" t="s">
        <v>88</v>
      </c>
      <c r="B50" s="10" t="n">
        <v>4</v>
      </c>
      <c r="C50" s="7" t="s">
        <v>89</v>
      </c>
    </row>
    <row r="51" customFormat="false" ht="15" hidden="false" customHeight="false" outlineLevel="0" collapsed="false">
      <c r="A51" s="2" t="s">
        <v>90</v>
      </c>
      <c r="B51" s="10" t="n">
        <v>3</v>
      </c>
      <c r="C51" s="7" t="s">
        <v>91</v>
      </c>
    </row>
    <row r="52" customFormat="false" ht="15" hidden="false" customHeight="false" outlineLevel="0" collapsed="false">
      <c r="A52" s="2" t="s">
        <v>92</v>
      </c>
      <c r="B52" s="12" t="n">
        <v>900</v>
      </c>
      <c r="C52" s="7" t="s">
        <v>93</v>
      </c>
    </row>
    <row r="53" customFormat="false" ht="15" hidden="false" customHeight="false" outlineLevel="0" collapsed="false">
      <c r="A53" s="2" t="s">
        <v>94</v>
      </c>
      <c r="B53" s="9" t="n">
        <v>48000</v>
      </c>
      <c r="C53" s="7"/>
    </row>
    <row r="54" customFormat="false" ht="15" hidden="false" customHeight="false" outlineLevel="0" collapsed="false">
      <c r="A54" s="2" t="s">
        <v>95</v>
      </c>
      <c r="B54" s="9" t="n">
        <v>72000</v>
      </c>
      <c r="C54" s="7"/>
    </row>
    <row r="55" customFormat="false" ht="15" hidden="false" customHeight="false" outlineLevel="0" collapsed="false">
      <c r="A55" s="2" t="s">
        <v>96</v>
      </c>
      <c r="B55" s="9" t="n">
        <v>58000</v>
      </c>
      <c r="C55" s="7"/>
    </row>
    <row r="56" customFormat="false" ht="15" hidden="false" customHeight="false" outlineLevel="0" collapsed="false">
      <c r="A56" s="4" t="s">
        <v>97</v>
      </c>
      <c r="B56" s="5"/>
      <c r="C56" s="5"/>
    </row>
    <row r="57" customFormat="false" ht="15" hidden="false" customHeight="false" outlineLevel="0" collapsed="false">
      <c r="A57" s="2" t="s">
        <v>98</v>
      </c>
      <c r="B57" s="13" t="n">
        <v>0.3</v>
      </c>
      <c r="C57" s="7" t="s">
        <v>99</v>
      </c>
    </row>
    <row r="58" customFormat="false" ht="15" hidden="false" customHeight="false" outlineLevel="0" collapsed="false">
      <c r="A58" s="2" t="s">
        <v>100</v>
      </c>
      <c r="B58" s="13" t="n">
        <v>0.9</v>
      </c>
      <c r="C58" s="7" t="s">
        <v>101</v>
      </c>
    </row>
    <row r="59" customFormat="false" ht="15" hidden="false" customHeight="false" outlineLevel="0" collapsed="false">
      <c r="A59" s="2" t="s">
        <v>102</v>
      </c>
      <c r="B59" s="10" t="n">
        <v>1</v>
      </c>
      <c r="C59" s="7" t="s">
        <v>103</v>
      </c>
    </row>
    <row r="60" customFormat="false" ht="15" hidden="false" customHeight="false" outlineLevel="0" collapsed="false">
      <c r="A60" s="2" t="s">
        <v>104</v>
      </c>
      <c r="B60" s="11" t="n">
        <v>25000</v>
      </c>
      <c r="C60" s="7" t="s">
        <v>105</v>
      </c>
    </row>
    <row r="61" customFormat="false" ht="15" hidden="false" customHeight="false" outlineLevel="0" collapsed="false">
      <c r="A61" s="4" t="s">
        <v>106</v>
      </c>
      <c r="B61" s="5"/>
      <c r="C61" s="5"/>
    </row>
    <row r="62" customFormat="false" ht="15" hidden="false" customHeight="false" outlineLevel="0" collapsed="false">
      <c r="A62" s="2" t="s">
        <v>107</v>
      </c>
      <c r="B62" s="11" t="n">
        <v>900</v>
      </c>
      <c r="C62" s="7" t="s">
        <v>108</v>
      </c>
    </row>
    <row r="63" customFormat="false" ht="15" hidden="false" customHeight="false" outlineLevel="0" collapsed="false">
      <c r="A63" s="2" t="s">
        <v>109</v>
      </c>
      <c r="B63" s="10" t="n">
        <v>59</v>
      </c>
      <c r="C63" s="7" t="s">
        <v>110</v>
      </c>
    </row>
    <row r="64" customFormat="false" ht="15" hidden="false" customHeight="false" outlineLevel="0" collapsed="false">
      <c r="A64" s="2" t="s">
        <v>111</v>
      </c>
      <c r="B64" s="13" t="n">
        <v>0.5</v>
      </c>
      <c r="C64" s="7" t="s">
        <v>112</v>
      </c>
    </row>
    <row r="65" customFormat="false" ht="15" hidden="false" customHeight="false" outlineLevel="0" collapsed="false">
      <c r="A65" s="2" t="s">
        <v>113</v>
      </c>
      <c r="B65" s="11" t="n">
        <v>600</v>
      </c>
      <c r="C65" s="7" t="s">
        <v>114</v>
      </c>
    </row>
    <row r="66" customFormat="false" ht="15" hidden="false" customHeight="false" outlineLevel="0" collapsed="false">
      <c r="A66" s="2" t="s">
        <v>115</v>
      </c>
      <c r="B66" s="10" t="n">
        <v>55</v>
      </c>
      <c r="C66" s="7" t="s">
        <v>116</v>
      </c>
    </row>
    <row r="67" customFormat="false" ht="15" hidden="false" customHeight="false" outlineLevel="0" collapsed="false">
      <c r="A67" s="2" t="s">
        <v>117</v>
      </c>
      <c r="B67" s="13" t="n">
        <v>0.3</v>
      </c>
      <c r="C67" s="7" t="s">
        <v>118</v>
      </c>
    </row>
    <row r="68" customFormat="false" ht="15" hidden="false" customHeight="false" outlineLevel="0" collapsed="false">
      <c r="A68" s="2" t="s">
        <v>119</v>
      </c>
      <c r="B68" s="10" t="n">
        <v>6</v>
      </c>
      <c r="C68" s="7" t="s">
        <v>120</v>
      </c>
    </row>
    <row r="69" customFormat="false" ht="15" hidden="false" customHeight="false" outlineLevel="0" collapsed="false">
      <c r="A69" s="2" t="s">
        <v>121</v>
      </c>
      <c r="B69" s="13" t="n">
        <v>0.06</v>
      </c>
      <c r="C69" s="7" t="s">
        <v>122</v>
      </c>
    </row>
    <row r="70" customFormat="false" ht="15" hidden="false" customHeight="false" outlineLevel="0" collapsed="false">
      <c r="A70" s="2" t="s">
        <v>123</v>
      </c>
      <c r="B70" s="13" t="n">
        <v>0.65</v>
      </c>
      <c r="C70" s="7" t="s">
        <v>124</v>
      </c>
    </row>
    <row r="71" customFormat="false" ht="15" hidden="false" customHeight="false" outlineLevel="0" collapsed="false">
      <c r="A71" s="4" t="s">
        <v>125</v>
      </c>
      <c r="B71" s="5"/>
      <c r="C71" s="5"/>
    </row>
    <row r="72" customFormat="false" ht="15" hidden="false" customHeight="false" outlineLevel="0" collapsed="false">
      <c r="A72" s="2" t="s">
        <v>126</v>
      </c>
      <c r="B72" s="14" t="n">
        <v>0.7</v>
      </c>
      <c r="C72" s="7" t="s">
        <v>127</v>
      </c>
    </row>
    <row r="73" customFormat="false" ht="15" hidden="false" customHeight="false" outlineLevel="0" collapsed="false">
      <c r="A73" s="2" t="s">
        <v>128</v>
      </c>
      <c r="B73" s="6" t="n">
        <v>1.6</v>
      </c>
      <c r="C73" s="7" t="s">
        <v>129</v>
      </c>
    </row>
    <row r="74" customFormat="false" ht="15" hidden="false" customHeight="false" outlineLevel="0" collapsed="false">
      <c r="A74" s="2" t="s">
        <v>130</v>
      </c>
      <c r="B74" s="9" t="n">
        <v>300</v>
      </c>
      <c r="C74" s="7" t="s">
        <v>131</v>
      </c>
    </row>
    <row r="75" customFormat="false" ht="15" hidden="false" customHeight="false" outlineLevel="0" collapsed="false">
      <c r="A75" s="4" t="s">
        <v>132</v>
      </c>
      <c r="B75" s="5"/>
      <c r="C75" s="5"/>
    </row>
    <row r="76" customFormat="false" ht="15" hidden="false" customHeight="false" outlineLevel="0" collapsed="false">
      <c r="A76" s="2" t="s">
        <v>133</v>
      </c>
      <c r="B76" s="11" t="n">
        <v>6000</v>
      </c>
      <c r="C76" s="7" t="s">
        <v>134</v>
      </c>
    </row>
    <row r="77" customFormat="false" ht="15" hidden="false" customHeight="false" outlineLevel="0" collapsed="false">
      <c r="A77" s="2" t="s">
        <v>135</v>
      </c>
      <c r="B77" s="9" t="n">
        <v>900</v>
      </c>
      <c r="C77" s="7" t="s">
        <v>136</v>
      </c>
    </row>
    <row r="78" customFormat="false" ht="15" hidden="false" customHeight="false" outlineLevel="0" collapsed="false">
      <c r="A78" s="2" t="s">
        <v>137</v>
      </c>
      <c r="B78" s="9" t="n">
        <v>1800</v>
      </c>
      <c r="C78" s="7" t="s">
        <v>105</v>
      </c>
    </row>
    <row r="79" customFormat="false" ht="15" hidden="false" customHeight="false" outlineLevel="0" collapsed="false">
      <c r="A79" s="2" t="s">
        <v>138</v>
      </c>
      <c r="B79" s="9" t="n">
        <v>350</v>
      </c>
      <c r="C79" s="7" t="s">
        <v>139</v>
      </c>
    </row>
    <row r="80" customFormat="false" ht="15" hidden="false" customHeight="false" outlineLevel="0" collapsed="false">
      <c r="A80" s="2" t="s">
        <v>140</v>
      </c>
      <c r="B80" s="9" t="n">
        <v>250</v>
      </c>
      <c r="C80" s="7" t="s">
        <v>141</v>
      </c>
    </row>
    <row r="81" customFormat="false" ht="15" hidden="false" customHeight="false" outlineLevel="0" collapsed="false">
      <c r="A81" s="2" t="s">
        <v>142</v>
      </c>
      <c r="B81" s="9" t="n">
        <v>600</v>
      </c>
      <c r="C81" s="7" t="s">
        <v>141</v>
      </c>
    </row>
    <row r="82" customFormat="false" ht="15" hidden="false" customHeight="false" outlineLevel="0" collapsed="false">
      <c r="A82" s="2" t="s">
        <v>143</v>
      </c>
      <c r="B82" s="8" t="n">
        <v>2500</v>
      </c>
      <c r="C82" s="7" t="s">
        <v>144</v>
      </c>
    </row>
    <row r="83" customFormat="false" ht="15" hidden="false" customHeight="false" outlineLevel="0" collapsed="false">
      <c r="A83" s="2" t="s">
        <v>145</v>
      </c>
      <c r="B83" s="14" t="n">
        <v>0.85</v>
      </c>
      <c r="C83" s="7" t="s">
        <v>146</v>
      </c>
    </row>
    <row r="84" customFormat="false" ht="15" hidden="false" customHeight="false" outlineLevel="0" collapsed="false">
      <c r="A84" s="2" t="s">
        <v>147</v>
      </c>
      <c r="B84" s="6" t="n">
        <v>1</v>
      </c>
      <c r="C84" s="7" t="s">
        <v>148</v>
      </c>
    </row>
    <row r="85" customFormat="false" ht="15" hidden="false" customHeight="false" outlineLevel="0" collapsed="false">
      <c r="A85" s="2" t="s">
        <v>149</v>
      </c>
      <c r="B85" s="16" t="n">
        <f aca="false">$B$82*$B$83</f>
        <v>2125</v>
      </c>
      <c r="C85" s="7" t="s">
        <v>150</v>
      </c>
    </row>
    <row r="86" customFormat="false" ht="15" hidden="false" customHeight="false" outlineLevel="0" collapsed="false">
      <c r="A86" s="2" t="s">
        <v>151</v>
      </c>
      <c r="B86" s="6" t="n">
        <v>0</v>
      </c>
      <c r="C86" s="7" t="s">
        <v>152</v>
      </c>
    </row>
    <row r="87" customFormat="false" ht="15" hidden="false" customHeight="false" outlineLevel="0" collapsed="false">
      <c r="A87" s="4" t="s">
        <v>153</v>
      </c>
      <c r="B87" s="5"/>
      <c r="C87" s="5"/>
    </row>
    <row r="88" customFormat="false" ht="15" hidden="false" customHeight="false" outlineLevel="0" collapsed="false">
      <c r="A88" s="2" t="s">
        <v>154</v>
      </c>
      <c r="B88" s="11" t="n">
        <v>50000</v>
      </c>
      <c r="C88" s="7" t="s">
        <v>155</v>
      </c>
    </row>
    <row r="89" customFormat="false" ht="15" hidden="false" customHeight="false" outlineLevel="0" collapsed="false">
      <c r="A89" s="2" t="s">
        <v>156</v>
      </c>
      <c r="B89" s="9" t="n">
        <v>2000</v>
      </c>
      <c r="C89" s="7" t="s">
        <v>157</v>
      </c>
    </row>
    <row r="90" customFormat="false" ht="15" hidden="false" customHeight="false" outlineLevel="0" collapsed="false">
      <c r="A90" s="2" t="s">
        <v>158</v>
      </c>
      <c r="B90" s="6" t="n">
        <v>3</v>
      </c>
      <c r="C90" s="7" t="s">
        <v>159</v>
      </c>
    </row>
    <row r="91" customFormat="false" ht="15" hidden="false" customHeight="false" outlineLevel="0" collapsed="false">
      <c r="A91" s="2" t="s">
        <v>160</v>
      </c>
      <c r="B91" s="11" t="n">
        <v>38000</v>
      </c>
      <c r="C91" s="7" t="s">
        <v>161</v>
      </c>
    </row>
    <row r="92" customFormat="false" ht="15" hidden="false" customHeight="false" outlineLevel="0" collapsed="false">
      <c r="A92" s="2" t="s">
        <v>162</v>
      </c>
      <c r="B92" s="9" t="n">
        <v>1700</v>
      </c>
      <c r="C92" s="7" t="s">
        <v>163</v>
      </c>
    </row>
    <row r="93" customFormat="false" ht="15" hidden="false" customHeight="false" outlineLevel="0" collapsed="false">
      <c r="A93" s="2" t="s">
        <v>164</v>
      </c>
      <c r="B93" s="6" t="n">
        <v>3</v>
      </c>
      <c r="C93" s="7"/>
    </row>
    <row r="94" customFormat="false" ht="15" hidden="false" customHeight="false" outlineLevel="0" collapsed="false">
      <c r="A94" s="2" t="s">
        <v>165</v>
      </c>
      <c r="B94" s="9" t="n">
        <v>9500</v>
      </c>
      <c r="C94" s="7" t="s">
        <v>166</v>
      </c>
    </row>
    <row r="95" customFormat="false" ht="15" hidden="false" customHeight="false" outlineLevel="0" collapsed="false">
      <c r="A95" s="2" t="s">
        <v>167</v>
      </c>
      <c r="B95" s="9" t="n">
        <v>600</v>
      </c>
      <c r="C95" s="7"/>
    </row>
    <row r="96" customFormat="false" ht="15" hidden="false" customHeight="false" outlineLevel="0" collapsed="false">
      <c r="A96" s="2" t="s">
        <v>168</v>
      </c>
      <c r="B96" s="10" t="n">
        <v>0</v>
      </c>
      <c r="C96" s="7" t="s">
        <v>169</v>
      </c>
    </row>
    <row r="97" customFormat="false" ht="15" hidden="false" customHeight="false" outlineLevel="0" collapsed="false">
      <c r="A97" s="2" t="s">
        <v>170</v>
      </c>
      <c r="B97" s="9" t="n">
        <v>35000</v>
      </c>
      <c r="C97" s="7"/>
    </row>
    <row r="98" customFormat="false" ht="15" hidden="false" customHeight="false" outlineLevel="0" collapsed="false">
      <c r="A98" s="2" t="s">
        <v>171</v>
      </c>
      <c r="B98" s="10" t="n">
        <v>0</v>
      </c>
      <c r="C98" s="7" t="s">
        <v>172</v>
      </c>
    </row>
    <row r="99" customFormat="false" ht="15" hidden="false" customHeight="false" outlineLevel="0" collapsed="false">
      <c r="A99" s="2" t="s">
        <v>173</v>
      </c>
      <c r="B99" s="10" t="n">
        <v>0</v>
      </c>
      <c r="C99" s="7"/>
    </row>
    <row r="100" customFormat="false" ht="15" hidden="false" customHeight="false" outlineLevel="0" collapsed="false">
      <c r="A100" s="2" t="s">
        <v>174</v>
      </c>
      <c r="B100" s="9" t="n">
        <v>6000</v>
      </c>
      <c r="C100" s="7" t="s">
        <v>175</v>
      </c>
    </row>
    <row r="101" customFormat="false" ht="15" hidden="false" customHeight="false" outlineLevel="0" collapsed="false">
      <c r="A101" s="2" t="s">
        <v>176</v>
      </c>
      <c r="B101" s="10" t="n">
        <v>0</v>
      </c>
      <c r="C101" s="7"/>
    </row>
    <row r="102" customFormat="false" ht="15" hidden="false" customHeight="false" outlineLevel="0" collapsed="false">
      <c r="A102" s="2" t="s">
        <v>177</v>
      </c>
      <c r="B102" s="10" t="n">
        <v>0</v>
      </c>
      <c r="C102" s="7"/>
    </row>
    <row r="103" customFormat="false" ht="15" hidden="false" customHeight="false" outlineLevel="0" collapsed="false">
      <c r="A103" s="2" t="s">
        <v>178</v>
      </c>
      <c r="B103" s="13" t="n">
        <v>0.8</v>
      </c>
      <c r="C103" s="7" t="s">
        <v>179</v>
      </c>
    </row>
    <row r="104" customFormat="false" ht="15" hidden="false" customHeight="false" outlineLevel="0" collapsed="false">
      <c r="A104" s="2" t="s">
        <v>180</v>
      </c>
      <c r="B104" s="13" t="n">
        <v>0.09</v>
      </c>
      <c r="C104" s="7" t="s">
        <v>181</v>
      </c>
    </row>
    <row r="105" customFormat="false" ht="15" hidden="false" customHeight="false" outlineLevel="0" collapsed="false">
      <c r="A105" s="2" t="s">
        <v>182</v>
      </c>
      <c r="B105" s="10" t="n">
        <v>60</v>
      </c>
      <c r="C105" s="7"/>
    </row>
    <row r="106" customFormat="false" ht="15" hidden="false" customHeight="false" outlineLevel="0" collapsed="false">
      <c r="A106" s="2" t="s">
        <v>183</v>
      </c>
      <c r="B106" s="9" t="n">
        <v>4500</v>
      </c>
      <c r="C106" s="7" t="s">
        <v>184</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5" min="2" style="0" width="11"/>
    <col collapsed="false" customWidth="true" hidden="false" outlineLevel="0" max="28" min="26" style="0" width="13"/>
  </cols>
  <sheetData>
    <row r="1" customFormat="false" ht="17.35" hidden="false" customHeight="false" outlineLevel="0" collapsed="false">
      <c r="A1" s="1" t="s">
        <v>185</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186</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false" outlineLevel="0" collapsed="false">
      <c r="A4" s="17" t="s">
        <v>187</v>
      </c>
      <c r="B4" s="18" t="n">
        <v>1</v>
      </c>
      <c r="C4" s="18" t="n">
        <v>2</v>
      </c>
      <c r="D4" s="18" t="n">
        <v>3</v>
      </c>
      <c r="E4" s="18" t="n">
        <v>4</v>
      </c>
      <c r="F4" s="18" t="n">
        <v>5</v>
      </c>
      <c r="G4" s="18" t="n">
        <v>6</v>
      </c>
      <c r="H4" s="18" t="n">
        <v>7</v>
      </c>
      <c r="I4" s="18" t="n">
        <v>8</v>
      </c>
      <c r="J4" s="18" t="n">
        <v>9</v>
      </c>
      <c r="K4" s="18" t="n">
        <v>10</v>
      </c>
      <c r="L4" s="18" t="n">
        <v>11</v>
      </c>
      <c r="M4" s="18" t="n">
        <v>12</v>
      </c>
      <c r="N4" s="18" t="n">
        <v>13</v>
      </c>
      <c r="O4" s="18" t="n">
        <v>14</v>
      </c>
      <c r="P4" s="18" t="n">
        <v>15</v>
      </c>
      <c r="Q4" s="18" t="n">
        <v>16</v>
      </c>
      <c r="R4" s="18" t="n">
        <v>17</v>
      </c>
      <c r="S4" s="18" t="n">
        <v>18</v>
      </c>
      <c r="T4" s="18" t="n">
        <v>19</v>
      </c>
      <c r="U4" s="18" t="n">
        <v>20</v>
      </c>
      <c r="V4" s="18" t="n">
        <v>21</v>
      </c>
      <c r="W4" s="18" t="n">
        <v>22</v>
      </c>
      <c r="X4" s="18" t="n">
        <v>23</v>
      </c>
      <c r="Y4" s="18" t="n">
        <v>24</v>
      </c>
      <c r="Z4" s="17" t="s">
        <v>188</v>
      </c>
      <c r="AA4" s="17" t="s">
        <v>189</v>
      </c>
      <c r="AB4" s="17" t="s">
        <v>190</v>
      </c>
    </row>
    <row r="5" customFormat="false" ht="15" hidden="false" customHeight="false" outlineLevel="0" collapsed="false">
      <c r="A5" s="4" t="s">
        <v>191</v>
      </c>
      <c r="B5" s="5"/>
      <c r="C5" s="5"/>
      <c r="D5" s="5"/>
      <c r="E5" s="5"/>
      <c r="F5" s="5"/>
      <c r="G5" s="5"/>
      <c r="H5" s="5"/>
      <c r="I5" s="5"/>
      <c r="J5" s="5"/>
      <c r="K5" s="5"/>
      <c r="L5" s="5"/>
      <c r="M5" s="5"/>
      <c r="N5" s="5"/>
      <c r="O5" s="5"/>
      <c r="P5" s="5"/>
      <c r="Q5" s="5"/>
      <c r="R5" s="5"/>
      <c r="S5" s="5"/>
      <c r="T5" s="5"/>
      <c r="U5" s="5"/>
      <c r="V5" s="5"/>
      <c r="W5" s="5"/>
      <c r="X5" s="5"/>
      <c r="Y5" s="5"/>
      <c r="Z5" s="5"/>
      <c r="AA5" s="5"/>
      <c r="AB5" s="5"/>
    </row>
    <row r="6" customFormat="false" ht="15" hidden="false" customHeight="false" outlineLevel="0" collapsed="false">
      <c r="A6" s="19" t="s">
        <v>192</v>
      </c>
      <c r="B6" s="20" t="n">
        <f aca="false">MIN(Assumptions!$B$11,Assumptions!$B$6+(Assumptions!$B$11-Assumptions!$B$6)*(1-1)/5)</f>
        <v>400</v>
      </c>
      <c r="C6" s="20" t="n">
        <f aca="false">MIN(Assumptions!$B$11,Assumptions!$B$6+(Assumptions!$B$11-Assumptions!$B$6)*(2-1)/5)</f>
        <v>500</v>
      </c>
      <c r="D6" s="20" t="n">
        <f aca="false">MIN(Assumptions!$B$11,Assumptions!$B$6+(Assumptions!$B$11-Assumptions!$B$6)*(3-1)/5)</f>
        <v>600</v>
      </c>
      <c r="E6" s="20" t="n">
        <f aca="false">MIN(Assumptions!$B$11,Assumptions!$B$6+(Assumptions!$B$11-Assumptions!$B$6)*(4-1)/5)</f>
        <v>700</v>
      </c>
      <c r="F6" s="20" t="n">
        <f aca="false">MIN(Assumptions!$B$11,Assumptions!$B$6+(Assumptions!$B$11-Assumptions!$B$6)*(5-1)/5)</f>
        <v>800</v>
      </c>
      <c r="G6" s="20" t="n">
        <f aca="false">MIN(Assumptions!$B$11,Assumptions!$B$6+(Assumptions!$B$11-Assumptions!$B$6)*(6-1)/5)</f>
        <v>900</v>
      </c>
      <c r="H6" s="20" t="n">
        <f aca="false">MIN(Assumptions!$B$11,Assumptions!$B$6+(Assumptions!$B$11-Assumptions!$B$6)*(7-1)/5)</f>
        <v>900</v>
      </c>
      <c r="I6" s="20" t="n">
        <f aca="false">MIN(Assumptions!$B$11,Assumptions!$B$6+(Assumptions!$B$11-Assumptions!$B$6)*(8-1)/5)</f>
        <v>900</v>
      </c>
      <c r="J6" s="20" t="n">
        <f aca="false">MIN(Assumptions!$B$11,Assumptions!$B$6+(Assumptions!$B$11-Assumptions!$B$6)*(9-1)/5)</f>
        <v>900</v>
      </c>
      <c r="K6" s="20" t="n">
        <f aca="false">MIN(Assumptions!$B$11,Assumptions!$B$6+(Assumptions!$B$11-Assumptions!$B$6)*(10-1)/5)</f>
        <v>900</v>
      </c>
      <c r="L6" s="20" t="n">
        <f aca="false">MIN(Assumptions!$B$11,Assumptions!$B$6+(Assumptions!$B$11-Assumptions!$B$6)*(11-1)/5)</f>
        <v>900</v>
      </c>
      <c r="M6" s="20" t="n">
        <f aca="false">MIN(Assumptions!$B$11,Assumptions!$B$6+(Assumptions!$B$11-Assumptions!$B$6)*(12-1)/5)</f>
        <v>900</v>
      </c>
      <c r="N6" s="20" t="n">
        <f aca="false">MIN(Assumptions!$B$11,Assumptions!$B$6+(Assumptions!$B$11-Assumptions!$B$6)*(13-1)/5)</f>
        <v>900</v>
      </c>
      <c r="O6" s="20" t="n">
        <f aca="false">MIN(Assumptions!$B$11,Assumptions!$B$6+(Assumptions!$B$11-Assumptions!$B$6)*(14-1)/5)</f>
        <v>900</v>
      </c>
      <c r="P6" s="20" t="n">
        <f aca="false">MIN(Assumptions!$B$11,Assumptions!$B$6+(Assumptions!$B$11-Assumptions!$B$6)*(15-1)/5)</f>
        <v>900</v>
      </c>
      <c r="Q6" s="20" t="n">
        <f aca="false">MIN(Assumptions!$B$11,Assumptions!$B$6+(Assumptions!$B$11-Assumptions!$B$6)*(16-1)/5)</f>
        <v>900</v>
      </c>
      <c r="R6" s="20" t="n">
        <f aca="false">MIN(Assumptions!$B$11,Assumptions!$B$6+(Assumptions!$B$11-Assumptions!$B$6)*(17-1)/5)</f>
        <v>900</v>
      </c>
      <c r="S6" s="20" t="n">
        <f aca="false">MIN(Assumptions!$B$11,Assumptions!$B$6+(Assumptions!$B$11-Assumptions!$B$6)*(18-1)/5)</f>
        <v>900</v>
      </c>
      <c r="T6" s="20" t="n">
        <f aca="false">MIN(Assumptions!$B$11,Assumptions!$B$6+(Assumptions!$B$11-Assumptions!$B$6)*(19-1)/5)</f>
        <v>900</v>
      </c>
      <c r="U6" s="20" t="n">
        <f aca="false">MIN(Assumptions!$B$11,Assumptions!$B$6+(Assumptions!$B$11-Assumptions!$B$6)*(20-1)/5)</f>
        <v>900</v>
      </c>
      <c r="V6" s="20" t="n">
        <f aca="false">MIN(Assumptions!$B$11,Assumptions!$B$6+(Assumptions!$B$11-Assumptions!$B$6)*(21-1)/5)</f>
        <v>900</v>
      </c>
      <c r="W6" s="20" t="n">
        <f aca="false">MIN(Assumptions!$B$11,Assumptions!$B$6+(Assumptions!$B$11-Assumptions!$B$6)*(22-1)/5)</f>
        <v>900</v>
      </c>
      <c r="X6" s="20" t="n">
        <f aca="false">MIN(Assumptions!$B$11,Assumptions!$B$6+(Assumptions!$B$11-Assumptions!$B$6)*(23-1)/5)</f>
        <v>900</v>
      </c>
      <c r="Y6" s="20" t="n">
        <f aca="false">MIN(Assumptions!$B$11,Assumptions!$B$6+(Assumptions!$B$11-Assumptions!$B$6)*(24-1)/5)</f>
        <v>900</v>
      </c>
      <c r="Z6" s="20" t="n">
        <f aca="false">SUM(B6:M6)</f>
        <v>9300</v>
      </c>
      <c r="AA6" s="20" t="n">
        <f aca="false">SUM(N6:Y6)</f>
        <v>10800</v>
      </c>
      <c r="AB6" s="20" t="n">
        <f aca="false">SUM(B6:Y6)</f>
        <v>20100</v>
      </c>
    </row>
    <row r="7" customFormat="false" ht="15" hidden="false" customHeight="false" outlineLevel="0" collapsed="false">
      <c r="A7" s="19" t="s">
        <v>193</v>
      </c>
      <c r="B7" s="20" t="n">
        <f aca="false">IF(1&lt;Assumptions!$B$12,0,MIN(Assumptions!$B$14,Assumptions!$B$13+(Assumptions!$B$14-Assumptions!$B$13)*(1-Assumptions!$B$12)/3))</f>
        <v>0</v>
      </c>
      <c r="C7" s="20" t="n">
        <f aca="false">IF(2&lt;Assumptions!$B$12,0,MIN(Assumptions!$B$14,Assumptions!$B$13+(Assumptions!$B$14-Assumptions!$B$13)*(2-Assumptions!$B$12)/3))</f>
        <v>0</v>
      </c>
      <c r="D7" s="20" t="n">
        <f aca="false">IF(3&lt;Assumptions!$B$12,0,MIN(Assumptions!$B$14,Assumptions!$B$13+(Assumptions!$B$14-Assumptions!$B$13)*(3-Assumptions!$B$12)/3))</f>
        <v>0</v>
      </c>
      <c r="E7" s="20" t="n">
        <f aca="false">IF(4&lt;Assumptions!$B$12,0,MIN(Assumptions!$B$14,Assumptions!$B$13+(Assumptions!$B$14-Assumptions!$B$13)*(4-Assumptions!$B$12)/3))</f>
        <v>0</v>
      </c>
      <c r="F7" s="20" t="n">
        <f aca="false">IF(5&lt;Assumptions!$B$12,0,MIN(Assumptions!$B$14,Assumptions!$B$13+(Assumptions!$B$14-Assumptions!$B$13)*(5-Assumptions!$B$12)/3))</f>
        <v>0</v>
      </c>
      <c r="G7" s="20" t="n">
        <f aca="false">IF(6&lt;Assumptions!$B$12,0,MIN(Assumptions!$B$14,Assumptions!$B$13+(Assumptions!$B$14-Assumptions!$B$13)*(6-Assumptions!$B$12)/3))</f>
        <v>0</v>
      </c>
      <c r="H7" s="20" t="n">
        <f aca="false">IF(7&lt;Assumptions!$B$12,0,MIN(Assumptions!$B$14,Assumptions!$B$13+(Assumptions!$B$14-Assumptions!$B$13)*(7-Assumptions!$B$12)/3))</f>
        <v>500</v>
      </c>
      <c r="I7" s="20" t="n">
        <f aca="false">IF(8&lt;Assumptions!$B$12,0,MIN(Assumptions!$B$14,Assumptions!$B$13+(Assumptions!$B$14-Assumptions!$B$13)*(8-Assumptions!$B$12)/3))</f>
        <v>633.333333333333</v>
      </c>
      <c r="J7" s="20" t="n">
        <f aca="false">IF(9&lt;Assumptions!$B$12,0,MIN(Assumptions!$B$14,Assumptions!$B$13+(Assumptions!$B$14-Assumptions!$B$13)*(9-Assumptions!$B$12)/3))</f>
        <v>766.666666666667</v>
      </c>
      <c r="K7" s="20" t="n">
        <f aca="false">IF(10&lt;Assumptions!$B$12,0,MIN(Assumptions!$B$14,Assumptions!$B$13+(Assumptions!$B$14-Assumptions!$B$13)*(10-Assumptions!$B$12)/3))</f>
        <v>900</v>
      </c>
      <c r="L7" s="20" t="n">
        <f aca="false">IF(11&lt;Assumptions!$B$12,0,MIN(Assumptions!$B$14,Assumptions!$B$13+(Assumptions!$B$14-Assumptions!$B$13)*(11-Assumptions!$B$12)/3))</f>
        <v>900</v>
      </c>
      <c r="M7" s="20" t="n">
        <f aca="false">IF(12&lt;Assumptions!$B$12,0,MIN(Assumptions!$B$14,Assumptions!$B$13+(Assumptions!$B$14-Assumptions!$B$13)*(12-Assumptions!$B$12)/3))</f>
        <v>900</v>
      </c>
      <c r="N7" s="20" t="n">
        <f aca="false">IF(13&lt;Assumptions!$B$12,0,MIN(Assumptions!$B$14,Assumptions!$B$13+(Assumptions!$B$14-Assumptions!$B$13)*(13-Assumptions!$B$12)/3))</f>
        <v>900</v>
      </c>
      <c r="O7" s="20" t="n">
        <f aca="false">IF(14&lt;Assumptions!$B$12,0,MIN(Assumptions!$B$14,Assumptions!$B$13+(Assumptions!$B$14-Assumptions!$B$13)*(14-Assumptions!$B$12)/3))</f>
        <v>900</v>
      </c>
      <c r="P7" s="20" t="n">
        <f aca="false">IF(15&lt;Assumptions!$B$12,0,MIN(Assumptions!$B$14,Assumptions!$B$13+(Assumptions!$B$14-Assumptions!$B$13)*(15-Assumptions!$B$12)/3))</f>
        <v>900</v>
      </c>
      <c r="Q7" s="20" t="n">
        <f aca="false">IF(16&lt;Assumptions!$B$12,0,MIN(Assumptions!$B$14,Assumptions!$B$13+(Assumptions!$B$14-Assumptions!$B$13)*(16-Assumptions!$B$12)/3))</f>
        <v>900</v>
      </c>
      <c r="R7" s="20" t="n">
        <f aca="false">IF(17&lt;Assumptions!$B$12,0,MIN(Assumptions!$B$14,Assumptions!$B$13+(Assumptions!$B$14-Assumptions!$B$13)*(17-Assumptions!$B$12)/3))</f>
        <v>900</v>
      </c>
      <c r="S7" s="20" t="n">
        <f aca="false">IF(18&lt;Assumptions!$B$12,0,MIN(Assumptions!$B$14,Assumptions!$B$13+(Assumptions!$B$14-Assumptions!$B$13)*(18-Assumptions!$B$12)/3))</f>
        <v>900</v>
      </c>
      <c r="T7" s="20" t="n">
        <f aca="false">IF(19&lt;Assumptions!$B$12,0,MIN(Assumptions!$B$14,Assumptions!$B$13+(Assumptions!$B$14-Assumptions!$B$13)*(19-Assumptions!$B$12)/3))</f>
        <v>900</v>
      </c>
      <c r="U7" s="20" t="n">
        <f aca="false">IF(20&lt;Assumptions!$B$12,0,MIN(Assumptions!$B$14,Assumptions!$B$13+(Assumptions!$B$14-Assumptions!$B$13)*(20-Assumptions!$B$12)/3))</f>
        <v>900</v>
      </c>
      <c r="V7" s="20" t="n">
        <f aca="false">IF(21&lt;Assumptions!$B$12,0,MIN(Assumptions!$B$14,Assumptions!$B$13+(Assumptions!$B$14-Assumptions!$B$13)*(21-Assumptions!$B$12)/3))</f>
        <v>900</v>
      </c>
      <c r="W7" s="20" t="n">
        <f aca="false">IF(22&lt;Assumptions!$B$12,0,MIN(Assumptions!$B$14,Assumptions!$B$13+(Assumptions!$B$14-Assumptions!$B$13)*(22-Assumptions!$B$12)/3))</f>
        <v>900</v>
      </c>
      <c r="X7" s="20" t="n">
        <f aca="false">IF(23&lt;Assumptions!$B$12,0,MIN(Assumptions!$B$14,Assumptions!$B$13+(Assumptions!$B$14-Assumptions!$B$13)*(23-Assumptions!$B$12)/3))</f>
        <v>900</v>
      </c>
      <c r="Y7" s="20" t="n">
        <f aca="false">IF(24&lt;Assumptions!$B$12,0,MIN(Assumptions!$B$14,Assumptions!$B$13+(Assumptions!$B$14-Assumptions!$B$13)*(24-Assumptions!$B$12)/3))</f>
        <v>900</v>
      </c>
      <c r="Z7" s="20" t="n">
        <f aca="false">SUM(B7:M7)</f>
        <v>4600</v>
      </c>
      <c r="AA7" s="20" t="n">
        <f aca="false">SUM(N7:Y7)</f>
        <v>10800</v>
      </c>
      <c r="AB7" s="20" t="n">
        <f aca="false">SUM(B7:Y7)</f>
        <v>15400</v>
      </c>
    </row>
    <row r="8" customFormat="false" ht="15" hidden="false" customHeight="false" outlineLevel="0" collapsed="false">
      <c r="A8" s="17" t="s">
        <v>194</v>
      </c>
      <c r="B8" s="21" t="n">
        <f aca="false">B6+B7</f>
        <v>400</v>
      </c>
      <c r="C8" s="21" t="n">
        <f aca="false">C6+C7</f>
        <v>500</v>
      </c>
      <c r="D8" s="21" t="n">
        <f aca="false">D6+D7</f>
        <v>600</v>
      </c>
      <c r="E8" s="21" t="n">
        <f aca="false">E6+E7</f>
        <v>700</v>
      </c>
      <c r="F8" s="21" t="n">
        <f aca="false">F6+F7</f>
        <v>800</v>
      </c>
      <c r="G8" s="21" t="n">
        <f aca="false">G6+G7</f>
        <v>900</v>
      </c>
      <c r="H8" s="21" t="n">
        <f aca="false">H6+H7</f>
        <v>1400</v>
      </c>
      <c r="I8" s="21" t="n">
        <f aca="false">I6+I7</f>
        <v>1533.33333333333</v>
      </c>
      <c r="J8" s="21" t="n">
        <f aca="false">J6+J7</f>
        <v>1666.66666666667</v>
      </c>
      <c r="K8" s="21" t="n">
        <f aca="false">K6+K7</f>
        <v>1800</v>
      </c>
      <c r="L8" s="21" t="n">
        <f aca="false">L6+L7</f>
        <v>1800</v>
      </c>
      <c r="M8" s="21" t="n">
        <f aca="false">M6+M7</f>
        <v>1800</v>
      </c>
      <c r="N8" s="21" t="n">
        <f aca="false">N6+N7</f>
        <v>1800</v>
      </c>
      <c r="O8" s="21" t="n">
        <f aca="false">O6+O7</f>
        <v>1800</v>
      </c>
      <c r="P8" s="21" t="n">
        <f aca="false">P6+P7</f>
        <v>1800</v>
      </c>
      <c r="Q8" s="21" t="n">
        <f aca="false">Q6+Q7</f>
        <v>1800</v>
      </c>
      <c r="R8" s="21" t="n">
        <f aca="false">R6+R7</f>
        <v>1800</v>
      </c>
      <c r="S8" s="21" t="n">
        <f aca="false">S6+S7</f>
        <v>1800</v>
      </c>
      <c r="T8" s="21" t="n">
        <f aca="false">T6+T7</f>
        <v>1800</v>
      </c>
      <c r="U8" s="21" t="n">
        <f aca="false">U6+U7</f>
        <v>1800</v>
      </c>
      <c r="V8" s="21" t="n">
        <f aca="false">V6+V7</f>
        <v>1800</v>
      </c>
      <c r="W8" s="21" t="n">
        <f aca="false">W6+W7</f>
        <v>1800</v>
      </c>
      <c r="X8" s="21" t="n">
        <f aca="false">X6+X7</f>
        <v>1800</v>
      </c>
      <c r="Y8" s="21" t="n">
        <f aca="false">Y6+Y7</f>
        <v>1800</v>
      </c>
      <c r="Z8" s="21" t="n">
        <f aca="false">SUM(B8:M8)</f>
        <v>13900</v>
      </c>
      <c r="AA8" s="21" t="n">
        <f aca="false">SUM(N8:Y8)</f>
        <v>21600</v>
      </c>
      <c r="AB8" s="21" t="n">
        <f aca="false">SUM(B8:Y8)</f>
        <v>35500</v>
      </c>
    </row>
    <row r="9" customFormat="false" ht="15" hidden="false" customHeight="false" outlineLevel="0" collapsed="false">
      <c r="A9" s="4" t="s">
        <v>195</v>
      </c>
      <c r="B9" s="5"/>
      <c r="C9" s="5"/>
      <c r="D9" s="5"/>
      <c r="E9" s="5"/>
      <c r="F9" s="5"/>
      <c r="G9" s="5"/>
      <c r="H9" s="5"/>
      <c r="I9" s="5"/>
      <c r="J9" s="5"/>
      <c r="K9" s="5"/>
      <c r="L9" s="5"/>
      <c r="M9" s="5"/>
      <c r="N9" s="5"/>
      <c r="O9" s="5"/>
      <c r="P9" s="5"/>
      <c r="Q9" s="5"/>
      <c r="R9" s="5"/>
      <c r="S9" s="5"/>
      <c r="T9" s="5"/>
      <c r="U9" s="5"/>
      <c r="V9" s="5"/>
      <c r="W9" s="5"/>
      <c r="X9" s="5"/>
      <c r="Y9" s="5"/>
      <c r="Z9" s="5"/>
      <c r="AA9" s="5"/>
      <c r="AB9" s="5"/>
    </row>
    <row r="10" customFormat="false" ht="15" hidden="false" customHeight="false" outlineLevel="0" collapsed="false">
      <c r="A10" s="19" t="s">
        <v>196</v>
      </c>
      <c r="B10" s="20" t="n">
        <f aca="false">Assumptions!$B$62*IF(1&gt;=Assumptions!$B$12,Assumptions!$B$73,1)/Assumptions!$B$63</f>
        <v>15.2542372881356</v>
      </c>
      <c r="C10" s="20" t="n">
        <f aca="false">Assumptions!$B$62*IF(2&gt;=Assumptions!$B$12,Assumptions!$B$73,1)/Assumptions!$B$63</f>
        <v>15.2542372881356</v>
      </c>
      <c r="D10" s="20" t="n">
        <f aca="false">Assumptions!$B$62*IF(3&gt;=Assumptions!$B$12,Assumptions!$B$73,1)/Assumptions!$B$63</f>
        <v>15.2542372881356</v>
      </c>
      <c r="E10" s="20" t="n">
        <f aca="false">Assumptions!$B$62*IF(4&gt;=Assumptions!$B$12,Assumptions!$B$73,1)/Assumptions!$B$63</f>
        <v>15.2542372881356</v>
      </c>
      <c r="F10" s="20" t="n">
        <f aca="false">Assumptions!$B$62*IF(5&gt;=Assumptions!$B$12,Assumptions!$B$73,1)/Assumptions!$B$63</f>
        <v>15.2542372881356</v>
      </c>
      <c r="G10" s="20" t="n">
        <f aca="false">Assumptions!$B$62*IF(6&gt;=Assumptions!$B$12,Assumptions!$B$73,1)/Assumptions!$B$63</f>
        <v>15.2542372881356</v>
      </c>
      <c r="H10" s="20" t="n">
        <f aca="false">Assumptions!$B$62*IF(7&gt;=Assumptions!$B$12,Assumptions!$B$73,1)/Assumptions!$B$63</f>
        <v>24.4067796610169</v>
      </c>
      <c r="I10" s="20" t="n">
        <f aca="false">Assumptions!$B$62*IF(8&gt;=Assumptions!$B$12,Assumptions!$B$73,1)/Assumptions!$B$63</f>
        <v>24.4067796610169</v>
      </c>
      <c r="J10" s="20" t="n">
        <f aca="false">Assumptions!$B$62*IF(9&gt;=Assumptions!$B$12,Assumptions!$B$73,1)/Assumptions!$B$63</f>
        <v>24.4067796610169</v>
      </c>
      <c r="K10" s="20" t="n">
        <f aca="false">Assumptions!$B$62*IF(10&gt;=Assumptions!$B$12,Assumptions!$B$73,1)/Assumptions!$B$63</f>
        <v>24.4067796610169</v>
      </c>
      <c r="L10" s="20" t="n">
        <f aca="false">Assumptions!$B$62*IF(11&gt;=Assumptions!$B$12,Assumptions!$B$73,1)/Assumptions!$B$63</f>
        <v>24.4067796610169</v>
      </c>
      <c r="M10" s="20" t="n">
        <f aca="false">Assumptions!$B$62*IF(12&gt;=Assumptions!$B$12,Assumptions!$B$73,1)/Assumptions!$B$63</f>
        <v>24.4067796610169</v>
      </c>
      <c r="N10" s="20" t="n">
        <f aca="false">Assumptions!$B$62*IF(13&gt;=Assumptions!$B$12,Assumptions!$B$73,1)/Assumptions!$B$63</f>
        <v>24.4067796610169</v>
      </c>
      <c r="O10" s="20" t="n">
        <f aca="false">Assumptions!$B$62*IF(14&gt;=Assumptions!$B$12,Assumptions!$B$73,1)/Assumptions!$B$63</f>
        <v>24.4067796610169</v>
      </c>
      <c r="P10" s="20" t="n">
        <f aca="false">Assumptions!$B$62*IF(15&gt;=Assumptions!$B$12,Assumptions!$B$73,1)/Assumptions!$B$63</f>
        <v>24.4067796610169</v>
      </c>
      <c r="Q10" s="20" t="n">
        <f aca="false">Assumptions!$B$62*IF(16&gt;=Assumptions!$B$12,Assumptions!$B$73,1)/Assumptions!$B$63</f>
        <v>24.4067796610169</v>
      </c>
      <c r="R10" s="20" t="n">
        <f aca="false">Assumptions!$B$62*IF(17&gt;=Assumptions!$B$12,Assumptions!$B$73,1)/Assumptions!$B$63</f>
        <v>24.4067796610169</v>
      </c>
      <c r="S10" s="20" t="n">
        <f aca="false">Assumptions!$B$62*IF(18&gt;=Assumptions!$B$12,Assumptions!$B$73,1)/Assumptions!$B$63</f>
        <v>24.4067796610169</v>
      </c>
      <c r="T10" s="20" t="n">
        <f aca="false">Assumptions!$B$62*IF(19&gt;=Assumptions!$B$12,Assumptions!$B$73,1)/Assumptions!$B$63</f>
        <v>24.4067796610169</v>
      </c>
      <c r="U10" s="20" t="n">
        <f aca="false">Assumptions!$B$62*IF(20&gt;=Assumptions!$B$12,Assumptions!$B$73,1)/Assumptions!$B$63</f>
        <v>24.4067796610169</v>
      </c>
      <c r="V10" s="20" t="n">
        <f aca="false">Assumptions!$B$62*IF(21&gt;=Assumptions!$B$12,Assumptions!$B$73,1)/Assumptions!$B$63</f>
        <v>24.4067796610169</v>
      </c>
      <c r="W10" s="20" t="n">
        <f aca="false">Assumptions!$B$62*IF(22&gt;=Assumptions!$B$12,Assumptions!$B$73,1)/Assumptions!$B$63</f>
        <v>24.4067796610169</v>
      </c>
      <c r="X10" s="20" t="n">
        <f aca="false">Assumptions!$B$62*IF(23&gt;=Assumptions!$B$12,Assumptions!$B$73,1)/Assumptions!$B$63</f>
        <v>24.4067796610169</v>
      </c>
      <c r="Y10" s="20" t="n">
        <f aca="false">Assumptions!$B$62*IF(24&gt;=Assumptions!$B$12,Assumptions!$B$73,1)/Assumptions!$B$63</f>
        <v>24.4067796610169</v>
      </c>
      <c r="Z10" s="20" t="n">
        <f aca="false">SUM(B10:M10)</f>
        <v>237.966101694915</v>
      </c>
      <c r="AA10" s="20" t="n">
        <f aca="false">SUM(N10:Y10)</f>
        <v>292.881355932203</v>
      </c>
      <c r="AB10" s="20" t="n">
        <f aca="false">SUM(B10:Y10)</f>
        <v>530.847457627119</v>
      </c>
    </row>
    <row r="11" customFormat="false" ht="15" hidden="false" customHeight="false" outlineLevel="0" collapsed="false">
      <c r="A11" s="19" t="s">
        <v>197</v>
      </c>
      <c r="B11" s="20" t="n">
        <f aca="false">IF(1&gt;=2,Assumptions!$B$65*IF(1&gt;=Assumptions!$B$12,Assumptions!$B$73,1)/Assumptions!$B$66,0)</f>
        <v>0</v>
      </c>
      <c r="C11" s="20" t="n">
        <f aca="false">IF(2&gt;=2,Assumptions!$B$65*IF(2&gt;=Assumptions!$B$12,Assumptions!$B$73,1)/Assumptions!$B$66,0)</f>
        <v>10.9090909090909</v>
      </c>
      <c r="D11" s="20" t="n">
        <f aca="false">IF(3&gt;=2,Assumptions!$B$65*IF(3&gt;=Assumptions!$B$12,Assumptions!$B$73,1)/Assumptions!$B$66,0)</f>
        <v>10.9090909090909</v>
      </c>
      <c r="E11" s="20" t="n">
        <f aca="false">IF(4&gt;=2,Assumptions!$B$65*IF(4&gt;=Assumptions!$B$12,Assumptions!$B$73,1)/Assumptions!$B$66,0)</f>
        <v>10.9090909090909</v>
      </c>
      <c r="F11" s="20" t="n">
        <f aca="false">IF(5&gt;=2,Assumptions!$B$65*IF(5&gt;=Assumptions!$B$12,Assumptions!$B$73,1)/Assumptions!$B$66,0)</f>
        <v>10.9090909090909</v>
      </c>
      <c r="G11" s="20" t="n">
        <f aca="false">IF(6&gt;=2,Assumptions!$B$65*IF(6&gt;=Assumptions!$B$12,Assumptions!$B$73,1)/Assumptions!$B$66,0)</f>
        <v>10.9090909090909</v>
      </c>
      <c r="H11" s="20" t="n">
        <f aca="false">IF(7&gt;=2,Assumptions!$B$65*IF(7&gt;=Assumptions!$B$12,Assumptions!$B$73,1)/Assumptions!$B$66,0)</f>
        <v>17.4545454545455</v>
      </c>
      <c r="I11" s="20" t="n">
        <f aca="false">IF(8&gt;=2,Assumptions!$B$65*IF(8&gt;=Assumptions!$B$12,Assumptions!$B$73,1)/Assumptions!$B$66,0)</f>
        <v>17.4545454545455</v>
      </c>
      <c r="J11" s="20" t="n">
        <f aca="false">IF(9&gt;=2,Assumptions!$B$65*IF(9&gt;=Assumptions!$B$12,Assumptions!$B$73,1)/Assumptions!$B$66,0)</f>
        <v>17.4545454545455</v>
      </c>
      <c r="K11" s="20" t="n">
        <f aca="false">IF(10&gt;=2,Assumptions!$B$65*IF(10&gt;=Assumptions!$B$12,Assumptions!$B$73,1)/Assumptions!$B$66,0)</f>
        <v>17.4545454545455</v>
      </c>
      <c r="L11" s="20" t="n">
        <f aca="false">IF(11&gt;=2,Assumptions!$B$65*IF(11&gt;=Assumptions!$B$12,Assumptions!$B$73,1)/Assumptions!$B$66,0)</f>
        <v>17.4545454545455</v>
      </c>
      <c r="M11" s="20" t="n">
        <f aca="false">IF(12&gt;=2,Assumptions!$B$65*IF(12&gt;=Assumptions!$B$12,Assumptions!$B$73,1)/Assumptions!$B$66,0)</f>
        <v>17.4545454545455</v>
      </c>
      <c r="N11" s="20" t="n">
        <f aca="false">IF(13&gt;=2,Assumptions!$B$65*IF(13&gt;=Assumptions!$B$12,Assumptions!$B$73,1)/Assumptions!$B$66,0)</f>
        <v>17.4545454545455</v>
      </c>
      <c r="O11" s="20" t="n">
        <f aca="false">IF(14&gt;=2,Assumptions!$B$65*IF(14&gt;=Assumptions!$B$12,Assumptions!$B$73,1)/Assumptions!$B$66,0)</f>
        <v>17.4545454545455</v>
      </c>
      <c r="P11" s="20" t="n">
        <f aca="false">IF(15&gt;=2,Assumptions!$B$65*IF(15&gt;=Assumptions!$B$12,Assumptions!$B$73,1)/Assumptions!$B$66,0)</f>
        <v>17.4545454545455</v>
      </c>
      <c r="Q11" s="20" t="n">
        <f aca="false">IF(16&gt;=2,Assumptions!$B$65*IF(16&gt;=Assumptions!$B$12,Assumptions!$B$73,1)/Assumptions!$B$66,0)</f>
        <v>17.4545454545455</v>
      </c>
      <c r="R11" s="20" t="n">
        <f aca="false">IF(17&gt;=2,Assumptions!$B$65*IF(17&gt;=Assumptions!$B$12,Assumptions!$B$73,1)/Assumptions!$B$66,0)</f>
        <v>17.4545454545455</v>
      </c>
      <c r="S11" s="20" t="n">
        <f aca="false">IF(18&gt;=2,Assumptions!$B$65*IF(18&gt;=Assumptions!$B$12,Assumptions!$B$73,1)/Assumptions!$B$66,0)</f>
        <v>17.4545454545455</v>
      </c>
      <c r="T11" s="20" t="n">
        <f aca="false">IF(19&gt;=2,Assumptions!$B$65*IF(19&gt;=Assumptions!$B$12,Assumptions!$B$73,1)/Assumptions!$B$66,0)</f>
        <v>17.4545454545455</v>
      </c>
      <c r="U11" s="20" t="n">
        <f aca="false">IF(20&gt;=2,Assumptions!$B$65*IF(20&gt;=Assumptions!$B$12,Assumptions!$B$73,1)/Assumptions!$B$66,0)</f>
        <v>17.4545454545455</v>
      </c>
      <c r="V11" s="20" t="n">
        <f aca="false">IF(21&gt;=2,Assumptions!$B$65*IF(21&gt;=Assumptions!$B$12,Assumptions!$B$73,1)/Assumptions!$B$66,0)</f>
        <v>17.4545454545455</v>
      </c>
      <c r="W11" s="20" t="n">
        <f aca="false">IF(22&gt;=2,Assumptions!$B$65*IF(22&gt;=Assumptions!$B$12,Assumptions!$B$73,1)/Assumptions!$B$66,0)</f>
        <v>17.4545454545455</v>
      </c>
      <c r="X11" s="20" t="n">
        <f aca="false">IF(23&gt;=2,Assumptions!$B$65*IF(23&gt;=Assumptions!$B$12,Assumptions!$B$73,1)/Assumptions!$B$66,0)</f>
        <v>17.4545454545455</v>
      </c>
      <c r="Y11" s="20" t="n">
        <f aca="false">IF(24&gt;=2,Assumptions!$B$65*IF(24&gt;=Assumptions!$B$12,Assumptions!$B$73,1)/Assumptions!$B$66,0)</f>
        <v>17.4545454545455</v>
      </c>
      <c r="Z11" s="20" t="n">
        <f aca="false">SUM(B11:M11)</f>
        <v>159.272727272727</v>
      </c>
      <c r="AA11" s="20" t="n">
        <f aca="false">SUM(N11:Y11)</f>
        <v>209.454545454545</v>
      </c>
      <c r="AB11" s="20" t="n">
        <f aca="false">SUM(B11:Y11)</f>
        <v>368.727272727273</v>
      </c>
    </row>
    <row r="12" customFormat="false" ht="15" hidden="false" customHeight="false" outlineLevel="0" collapsed="false">
      <c r="A12" s="19" t="s">
        <v>198</v>
      </c>
      <c r="B12" s="20" t="n">
        <f aca="false">Assumptions!$B$68*(1+Assumptions!$B$69)^(1-1)</f>
        <v>6</v>
      </c>
      <c r="C12" s="20" t="n">
        <f aca="false">Assumptions!$B$68*(1+Assumptions!$B$69)^(2-1)</f>
        <v>6.36</v>
      </c>
      <c r="D12" s="20" t="n">
        <f aca="false">Assumptions!$B$68*(1+Assumptions!$B$69)^(3-1)</f>
        <v>6.7416</v>
      </c>
      <c r="E12" s="20" t="n">
        <f aca="false">Assumptions!$B$68*(1+Assumptions!$B$69)^(4-1)</f>
        <v>7.146096</v>
      </c>
      <c r="F12" s="20" t="n">
        <f aca="false">Assumptions!$B$68*(1+Assumptions!$B$69)^(5-1)</f>
        <v>7.57486176</v>
      </c>
      <c r="G12" s="20" t="n">
        <f aca="false">Assumptions!$B$68*(1+Assumptions!$B$69)^(6-1)</f>
        <v>8.0293534656</v>
      </c>
      <c r="H12" s="20" t="n">
        <f aca="false">Assumptions!$B$68*(1+Assumptions!$B$69)^(7-1)</f>
        <v>8.511114673536</v>
      </c>
      <c r="I12" s="20" t="n">
        <f aca="false">Assumptions!$B$68*(1+Assumptions!$B$69)^(8-1)</f>
        <v>9.02178155394816</v>
      </c>
      <c r="J12" s="20" t="n">
        <f aca="false">Assumptions!$B$68*(1+Assumptions!$B$69)^(9-1)</f>
        <v>9.56308844718505</v>
      </c>
      <c r="K12" s="20" t="n">
        <f aca="false">Assumptions!$B$68*(1+Assumptions!$B$69)^(10-1)</f>
        <v>10.1368737540162</v>
      </c>
      <c r="L12" s="20" t="n">
        <f aca="false">Assumptions!$B$68*(1+Assumptions!$B$69)^(11-1)</f>
        <v>10.7450861792571</v>
      </c>
      <c r="M12" s="20" t="n">
        <f aca="false">Assumptions!$B$68*(1+Assumptions!$B$69)^(12-1)</f>
        <v>11.3897913500126</v>
      </c>
      <c r="N12" s="20" t="n">
        <f aca="false">Assumptions!$B$68*(1+Assumptions!$B$69)^(13-1)</f>
        <v>12.0731788310133</v>
      </c>
      <c r="O12" s="20" t="n">
        <f aca="false">Assumptions!$B$68*(1+Assumptions!$B$69)^(14-1)</f>
        <v>12.7975695608741</v>
      </c>
      <c r="P12" s="20" t="n">
        <f aca="false">Assumptions!$B$68*(1+Assumptions!$B$69)^(15-1)</f>
        <v>13.5654237345266</v>
      </c>
      <c r="Q12" s="20" t="n">
        <f aca="false">Assumptions!$B$68*(1+Assumptions!$B$69)^(16-1)</f>
        <v>14.3793491585982</v>
      </c>
      <c r="R12" s="20" t="n">
        <f aca="false">Assumptions!$B$68*(1+Assumptions!$B$69)^(17-1)</f>
        <v>15.242110108114</v>
      </c>
      <c r="S12" s="20" t="n">
        <f aca="false">Assumptions!$B$68*(1+Assumptions!$B$69)^(18-1)</f>
        <v>16.1566367146009</v>
      </c>
      <c r="T12" s="20" t="n">
        <f aca="false">Assumptions!$B$68*(1+Assumptions!$B$69)^(19-1)</f>
        <v>17.1260349174769</v>
      </c>
      <c r="U12" s="20" t="n">
        <f aca="false">Assumptions!$B$68*(1+Assumptions!$B$69)^(20-1)</f>
        <v>18.1535970125256</v>
      </c>
      <c r="V12" s="20" t="n">
        <f aca="false">Assumptions!$B$68*(1+Assumptions!$B$69)^(21-1)</f>
        <v>19.2428128332771</v>
      </c>
      <c r="W12" s="20" t="n">
        <f aca="false">Assumptions!$B$68*(1+Assumptions!$B$69)^(22-1)</f>
        <v>20.3973816032737</v>
      </c>
      <c r="X12" s="20" t="n">
        <f aca="false">Assumptions!$B$68*(1+Assumptions!$B$69)^(23-1)</f>
        <v>21.6212244994701</v>
      </c>
      <c r="Y12" s="20" t="n">
        <f aca="false">Assumptions!$B$68*(1+Assumptions!$B$69)^(24-1)</f>
        <v>22.9184979694384</v>
      </c>
      <c r="Z12" s="20" t="n">
        <f aca="false">SUM(B12:M12)</f>
        <v>101.219647183555</v>
      </c>
      <c r="AA12" s="20" t="n">
        <f aca="false">SUM(N12:Y12)</f>
        <v>203.673816943189</v>
      </c>
      <c r="AB12" s="20" t="n">
        <f aca="false">SUM(B12:Y12)</f>
        <v>304.893464126744</v>
      </c>
    </row>
    <row r="13" customFormat="false" ht="15" hidden="false" customHeight="false" outlineLevel="0" collapsed="false">
      <c r="A13" s="17" t="s">
        <v>199</v>
      </c>
      <c r="B13" s="21" t="n">
        <f aca="false">B10+B11+B12</f>
        <v>21.2542372881356</v>
      </c>
      <c r="C13" s="21" t="n">
        <f aca="false">C10+C11+C12</f>
        <v>32.5233281972265</v>
      </c>
      <c r="D13" s="21" t="n">
        <f aca="false">D10+D11+D12</f>
        <v>32.9049281972265</v>
      </c>
      <c r="E13" s="21" t="n">
        <f aca="false">E10+E11+E12</f>
        <v>33.3094241972265</v>
      </c>
      <c r="F13" s="21" t="n">
        <f aca="false">F10+F11+F12</f>
        <v>33.7381899572265</v>
      </c>
      <c r="G13" s="21" t="n">
        <f aca="false">G10+G11+G12</f>
        <v>34.1926816628265</v>
      </c>
      <c r="H13" s="21" t="n">
        <f aca="false">H10+H11+H12</f>
        <v>50.3724397890984</v>
      </c>
      <c r="I13" s="21" t="n">
        <f aca="false">I10+I11+I12</f>
        <v>50.8831066695106</v>
      </c>
      <c r="J13" s="21" t="n">
        <f aca="false">J10+J11+J12</f>
        <v>51.4244135627475</v>
      </c>
      <c r="K13" s="21" t="n">
        <f aca="false">K10+K11+K12</f>
        <v>51.9981988695786</v>
      </c>
      <c r="L13" s="21" t="n">
        <f aca="false">L10+L11+L12</f>
        <v>52.6064112948195</v>
      </c>
      <c r="M13" s="21" t="n">
        <f aca="false">M10+M11+M12</f>
        <v>53.251116465575</v>
      </c>
      <c r="N13" s="21" t="n">
        <f aca="false">N10+N11+N12</f>
        <v>53.9345039465757</v>
      </c>
      <c r="O13" s="21" t="n">
        <f aca="false">O10+O11+O12</f>
        <v>54.6588946764365</v>
      </c>
      <c r="P13" s="21" t="n">
        <f aca="false">P10+P11+P12</f>
        <v>55.426748850089</v>
      </c>
      <c r="Q13" s="21" t="n">
        <f aca="false">Q10+Q11+Q12</f>
        <v>56.2406742741606</v>
      </c>
      <c r="R13" s="21" t="n">
        <f aca="false">R10+R11+R12</f>
        <v>57.1034352236764</v>
      </c>
      <c r="S13" s="21" t="n">
        <f aca="false">S10+S11+S12</f>
        <v>58.0179618301633</v>
      </c>
      <c r="T13" s="21" t="n">
        <f aca="false">T10+T11+T12</f>
        <v>58.9873600330393</v>
      </c>
      <c r="U13" s="21" t="n">
        <f aca="false">U10+U11+U12</f>
        <v>60.014922128088</v>
      </c>
      <c r="V13" s="21" t="n">
        <f aca="false">V10+V11+V12</f>
        <v>61.1041379488395</v>
      </c>
      <c r="W13" s="21" t="n">
        <f aca="false">W10+W11+W12</f>
        <v>62.2587067188361</v>
      </c>
      <c r="X13" s="21" t="n">
        <f aca="false">X10+X11+X12</f>
        <v>63.4825496150325</v>
      </c>
      <c r="Y13" s="21" t="n">
        <f aca="false">Y10+Y11+Y12</f>
        <v>64.7798230850007</v>
      </c>
      <c r="Z13" s="21" t="n">
        <f aca="false">SUM(B13:M13)</f>
        <v>498.458476151198</v>
      </c>
      <c r="AA13" s="21" t="n">
        <f aca="false">SUM(N13:Y13)</f>
        <v>706.009718329938</v>
      </c>
      <c r="AB13" s="21" t="n">
        <f aca="false">SUM(B13:Y13)</f>
        <v>1204.46819448114</v>
      </c>
    </row>
    <row r="14" customFormat="false" ht="15" hidden="false" customHeight="false" outlineLevel="0" collapsed="false">
      <c r="A14" s="19" t="s">
        <v>200</v>
      </c>
      <c r="B14" s="20" t="n">
        <f aca="false">B10*Assumptions!$B$64+B11*Assumptions!$B$67+B12*Assumptions!$B$70</f>
        <v>11.5271186440678</v>
      </c>
      <c r="C14" s="20" t="n">
        <f aca="false">C10*Assumptions!$B$64+C11*Assumptions!$B$67+C12*Assumptions!$B$70</f>
        <v>15.0338459167951</v>
      </c>
      <c r="D14" s="20" t="n">
        <f aca="false">D10*Assumptions!$B$64+D11*Assumptions!$B$67+D12*Assumptions!$B$70</f>
        <v>15.2818859167951</v>
      </c>
      <c r="E14" s="20" t="n">
        <f aca="false">E10*Assumptions!$B$64+E11*Assumptions!$B$67+E12*Assumptions!$B$70</f>
        <v>15.5448083167951</v>
      </c>
      <c r="F14" s="20" t="n">
        <f aca="false">F10*Assumptions!$B$64+F11*Assumptions!$B$67+F12*Assumptions!$B$70</f>
        <v>15.8235060607951</v>
      </c>
      <c r="G14" s="20" t="n">
        <f aca="false">G10*Assumptions!$B$64+G11*Assumptions!$B$67+G12*Assumptions!$B$70</f>
        <v>16.1189256694351</v>
      </c>
      <c r="H14" s="20" t="n">
        <f aca="false">H10*Assumptions!$B$64+H11*Assumptions!$B$67+H12*Assumptions!$B$70</f>
        <v>22.9719780046705</v>
      </c>
      <c r="I14" s="20" t="n">
        <f aca="false">I10*Assumptions!$B$64+I11*Assumptions!$B$67+I12*Assumptions!$B$70</f>
        <v>23.3039114769384</v>
      </c>
      <c r="J14" s="20" t="n">
        <f aca="false">J10*Assumptions!$B$64+J11*Assumptions!$B$67+J12*Assumptions!$B$70</f>
        <v>23.6557609575424</v>
      </c>
      <c r="K14" s="20" t="n">
        <f aca="false">K10*Assumptions!$B$64+K11*Assumptions!$B$67+K12*Assumptions!$B$70</f>
        <v>24.0287214069826</v>
      </c>
      <c r="L14" s="20" t="n">
        <f aca="false">L10*Assumptions!$B$64+L11*Assumptions!$B$67+L12*Assumptions!$B$70</f>
        <v>24.4240594833892</v>
      </c>
      <c r="M14" s="20" t="n">
        <f aca="false">M10*Assumptions!$B$64+M11*Assumptions!$B$67+M12*Assumptions!$B$70</f>
        <v>24.8431178443803</v>
      </c>
      <c r="N14" s="20" t="n">
        <f aca="false">N10*Assumptions!$B$64+N11*Assumptions!$B$67+N12*Assumptions!$B$70</f>
        <v>25.2873197070308</v>
      </c>
      <c r="O14" s="20" t="n">
        <f aca="false">O10*Assumptions!$B$64+O11*Assumptions!$B$67+O12*Assumptions!$B$70</f>
        <v>25.7581736814403</v>
      </c>
      <c r="P14" s="20" t="n">
        <f aca="false">P10*Assumptions!$B$64+P11*Assumptions!$B$67+P12*Assumptions!$B$70</f>
        <v>26.2572788943144</v>
      </c>
      <c r="Q14" s="20" t="n">
        <f aca="false">Q10*Assumptions!$B$64+Q11*Assumptions!$B$67+Q12*Assumptions!$B$70</f>
        <v>26.7863304199609</v>
      </c>
      <c r="R14" s="20" t="n">
        <f aca="false">R10*Assumptions!$B$64+R11*Assumptions!$B$67+R12*Assumptions!$B$70</f>
        <v>27.3471250371462</v>
      </c>
      <c r="S14" s="20" t="n">
        <f aca="false">S10*Assumptions!$B$64+S11*Assumptions!$B$67+S12*Assumptions!$B$70</f>
        <v>27.9415673313627</v>
      </c>
      <c r="T14" s="20" t="n">
        <f aca="false">T10*Assumptions!$B$64+T11*Assumptions!$B$67+T12*Assumptions!$B$70</f>
        <v>28.5716761632321</v>
      </c>
      <c r="U14" s="20" t="n">
        <f aca="false">U10*Assumptions!$B$64+U11*Assumptions!$B$67+U12*Assumptions!$B$70</f>
        <v>29.2395915250137</v>
      </c>
      <c r="V14" s="20" t="n">
        <f aca="false">V10*Assumptions!$B$64+V11*Assumptions!$B$67+V12*Assumptions!$B$70</f>
        <v>29.9475818085022</v>
      </c>
      <c r="W14" s="20" t="n">
        <f aca="false">W10*Assumptions!$B$64+W11*Assumptions!$B$67+W12*Assumptions!$B$70</f>
        <v>30.698051509</v>
      </c>
      <c r="X14" s="20" t="n">
        <f aca="false">X10*Assumptions!$B$64+X11*Assumptions!$B$67+X12*Assumptions!$B$70</f>
        <v>31.4935493915277</v>
      </c>
      <c r="Y14" s="20" t="n">
        <f aca="false">Y10*Assumptions!$B$64+Y11*Assumptions!$B$67+Y12*Assumptions!$B$70</f>
        <v>32.336777147007</v>
      </c>
      <c r="Z14" s="20" t="n">
        <f aca="false">SUM(B14:M14)</f>
        <v>232.557639698587</v>
      </c>
      <c r="AA14" s="20" t="n">
        <f aca="false">SUM(N14:Y14)</f>
        <v>341.665022615538</v>
      </c>
      <c r="AB14" s="20" t="n">
        <f aca="false">SUM(B14:Y14)</f>
        <v>574.222662314125</v>
      </c>
    </row>
    <row r="15" customFormat="false" ht="15" hidden="false" customHeight="false" outlineLevel="0" collapsed="false">
      <c r="A15" s="17" t="s">
        <v>201</v>
      </c>
      <c r="B15" s="21" t="n">
        <f aca="false">B14*Assumptions!$B$72</f>
        <v>8.06898305084746</v>
      </c>
      <c r="C15" s="21" t="n">
        <f aca="false">C14*Assumptions!$B$72</f>
        <v>10.5236921417565</v>
      </c>
      <c r="D15" s="21" t="n">
        <f aca="false">D14*Assumptions!$B$72</f>
        <v>10.6973201417565</v>
      </c>
      <c r="E15" s="21" t="n">
        <f aca="false">E14*Assumptions!$B$72</f>
        <v>10.8813658217565</v>
      </c>
      <c r="F15" s="21" t="n">
        <f aca="false">F14*Assumptions!$B$72</f>
        <v>11.0764542425565</v>
      </c>
      <c r="G15" s="21" t="n">
        <f aca="false">G14*Assumptions!$B$72</f>
        <v>11.2832479686045</v>
      </c>
      <c r="H15" s="21" t="n">
        <f aca="false">H14*Assumptions!$B$72</f>
        <v>16.0803846032694</v>
      </c>
      <c r="I15" s="21" t="n">
        <f aca="false">I14*Assumptions!$B$72</f>
        <v>16.3127380338569</v>
      </c>
      <c r="J15" s="21" t="n">
        <f aca="false">J14*Assumptions!$B$72</f>
        <v>16.5590326702797</v>
      </c>
      <c r="K15" s="21" t="n">
        <f aca="false">K14*Assumptions!$B$72</f>
        <v>16.8201049848878</v>
      </c>
      <c r="L15" s="21" t="n">
        <f aca="false">L14*Assumptions!$B$72</f>
        <v>17.0968416383725</v>
      </c>
      <c r="M15" s="21" t="n">
        <f aca="false">M14*Assumptions!$B$72</f>
        <v>17.3901824910662</v>
      </c>
      <c r="N15" s="21" t="n">
        <f aca="false">N14*Assumptions!$B$72</f>
        <v>17.7011237949215</v>
      </c>
      <c r="O15" s="21" t="n">
        <f aca="false">O14*Assumptions!$B$72</f>
        <v>18.0307215770082</v>
      </c>
      <c r="P15" s="21" t="n">
        <f aca="false">P14*Assumptions!$B$72</f>
        <v>18.3800952260201</v>
      </c>
      <c r="Q15" s="21" t="n">
        <f aca="false">Q14*Assumptions!$B$72</f>
        <v>18.7504312939726</v>
      </c>
      <c r="R15" s="21" t="n">
        <f aca="false">R14*Assumptions!$B$72</f>
        <v>19.1429875260024</v>
      </c>
      <c r="S15" s="21" t="n">
        <f aca="false">S14*Assumptions!$B$72</f>
        <v>19.5590971319539</v>
      </c>
      <c r="T15" s="21" t="n">
        <f aca="false">T14*Assumptions!$B$72</f>
        <v>20.0001733142625</v>
      </c>
      <c r="U15" s="21" t="n">
        <f aca="false">U14*Assumptions!$B$72</f>
        <v>20.4677140675096</v>
      </c>
      <c r="V15" s="21" t="n">
        <f aca="false">V14*Assumptions!$B$72</f>
        <v>20.9633072659516</v>
      </c>
      <c r="W15" s="21" t="n">
        <f aca="false">W14*Assumptions!$B$72</f>
        <v>21.4886360563</v>
      </c>
      <c r="X15" s="21" t="n">
        <f aca="false">X14*Assumptions!$B$72</f>
        <v>22.0454845740694</v>
      </c>
      <c r="Y15" s="21" t="n">
        <f aca="false">Y14*Assumptions!$B$72</f>
        <v>22.6357440029049</v>
      </c>
      <c r="Z15" s="21" t="n">
        <f aca="false">SUM(B15:M15)</f>
        <v>162.790347789011</v>
      </c>
      <c r="AA15" s="21" t="n">
        <f aca="false">SUM(N15:Y15)</f>
        <v>239.165515830877</v>
      </c>
      <c r="AB15" s="21" t="n">
        <f aca="false">SUM(B15:Y15)</f>
        <v>401.955863619887</v>
      </c>
    </row>
    <row r="16" customFormat="false" ht="15" hidden="false" customHeight="false" outlineLevel="0" collapsed="false">
      <c r="A16" s="19" t="s">
        <v>202</v>
      </c>
      <c r="B16" s="20" t="n">
        <f aca="false">B15*Assumptions!$B$15</f>
        <v>806.898305084746</v>
      </c>
      <c r="C16" s="20" t="n">
        <f aca="false">C15*Assumptions!$B$15</f>
        <v>1052.36921417565</v>
      </c>
      <c r="D16" s="20" t="n">
        <f aca="false">D15*Assumptions!$B$15</f>
        <v>1069.73201417565</v>
      </c>
      <c r="E16" s="20" t="n">
        <f aca="false">E15*Assumptions!$B$15</f>
        <v>1088.13658217566</v>
      </c>
      <c r="F16" s="20" t="n">
        <f aca="false">F15*Assumptions!$B$15</f>
        <v>1107.64542425566</v>
      </c>
      <c r="G16" s="20" t="n">
        <f aca="false">G15*Assumptions!$B$15</f>
        <v>1128.32479686045</v>
      </c>
      <c r="H16" s="20" t="n">
        <f aca="false">H15*Assumptions!$B$15</f>
        <v>1608.03846032694</v>
      </c>
      <c r="I16" s="20" t="n">
        <f aca="false">I15*Assumptions!$B$15</f>
        <v>1631.27380338569</v>
      </c>
      <c r="J16" s="20" t="n">
        <f aca="false">J15*Assumptions!$B$15</f>
        <v>1655.90326702797</v>
      </c>
      <c r="K16" s="20" t="n">
        <f aca="false">K15*Assumptions!$B$15</f>
        <v>1682.01049848878</v>
      </c>
      <c r="L16" s="20" t="n">
        <f aca="false">L15*Assumptions!$B$15</f>
        <v>1709.68416383725</v>
      </c>
      <c r="M16" s="20" t="n">
        <f aca="false">M15*Assumptions!$B$15</f>
        <v>1739.01824910662</v>
      </c>
      <c r="N16" s="20" t="n">
        <f aca="false">N15*Assumptions!$B$15</f>
        <v>1770.11237949215</v>
      </c>
      <c r="O16" s="20" t="n">
        <f aca="false">O15*Assumptions!$B$15</f>
        <v>1803.07215770082</v>
      </c>
      <c r="P16" s="20" t="n">
        <f aca="false">P15*Assumptions!$B$15</f>
        <v>1838.00952260201</v>
      </c>
      <c r="Q16" s="20" t="n">
        <f aca="false">Q15*Assumptions!$B$15</f>
        <v>1875.04312939726</v>
      </c>
      <c r="R16" s="20" t="n">
        <f aca="false">R15*Assumptions!$B$15</f>
        <v>1914.29875260024</v>
      </c>
      <c r="S16" s="20" t="n">
        <f aca="false">S15*Assumptions!$B$15</f>
        <v>1955.90971319539</v>
      </c>
      <c r="T16" s="20" t="n">
        <f aca="false">T15*Assumptions!$B$15</f>
        <v>2000.01733142625</v>
      </c>
      <c r="U16" s="20" t="n">
        <f aca="false">U15*Assumptions!$B$15</f>
        <v>2046.77140675096</v>
      </c>
      <c r="V16" s="20" t="n">
        <f aca="false">V15*Assumptions!$B$15</f>
        <v>2096.33072659516</v>
      </c>
      <c r="W16" s="20" t="n">
        <f aca="false">W15*Assumptions!$B$15</f>
        <v>2148.86360563</v>
      </c>
      <c r="X16" s="20" t="n">
        <f aca="false">X15*Assumptions!$B$15</f>
        <v>2204.54845740694</v>
      </c>
      <c r="Y16" s="20" t="n">
        <f aca="false">Y15*Assumptions!$B$15</f>
        <v>2263.57440029049</v>
      </c>
      <c r="Z16" s="20" t="n">
        <f aca="false">SUM(B16:M16)</f>
        <v>16279.0347789011</v>
      </c>
      <c r="AA16" s="20" t="n">
        <f aca="false">SUM(N16:Y16)</f>
        <v>23916.5515830877</v>
      </c>
      <c r="AB16" s="20" t="n">
        <f aca="false">SUM(B16:Y16)</f>
        <v>40195.5863619887</v>
      </c>
    </row>
    <row r="17" customFormat="false" ht="15" hidden="false" customHeight="false" outlineLevel="0" collapsed="false">
      <c r="A17" s="17" t="s">
        <v>203</v>
      </c>
      <c r="B17" s="21" t="n">
        <f aca="false">MIN(B16+0,B8)</f>
        <v>400</v>
      </c>
      <c r="C17" s="21" t="n">
        <f aca="false">MIN(C16+B18,C8)</f>
        <v>500</v>
      </c>
      <c r="D17" s="21" t="n">
        <f aca="false">MIN(D16+C18,D8)</f>
        <v>600</v>
      </c>
      <c r="E17" s="21" t="n">
        <f aca="false">MIN(E16+D18,E8)</f>
        <v>700</v>
      </c>
      <c r="F17" s="21" t="n">
        <f aca="false">MIN(F16+E18,F8)</f>
        <v>800</v>
      </c>
      <c r="G17" s="21" t="n">
        <f aca="false">MIN(G16+F18,G8)</f>
        <v>900</v>
      </c>
      <c r="H17" s="21" t="n">
        <f aca="false">MIN(H16+G18,H8)</f>
        <v>1400</v>
      </c>
      <c r="I17" s="21" t="n">
        <f aca="false">MIN(I16+H18,I8)</f>
        <v>1533.33333333333</v>
      </c>
      <c r="J17" s="21" t="n">
        <f aca="false">MIN(J16+I18,J8)</f>
        <v>1666.66666666667</v>
      </c>
      <c r="K17" s="21" t="n">
        <f aca="false">MIN(K16+J18,K8)</f>
        <v>1800</v>
      </c>
      <c r="L17" s="21" t="n">
        <f aca="false">MIN(L16+K18,L8)</f>
        <v>1800</v>
      </c>
      <c r="M17" s="21" t="n">
        <f aca="false">MIN(M16+L18,M8)</f>
        <v>1800</v>
      </c>
      <c r="N17" s="21" t="n">
        <f aca="false">MIN(N16+M18,N8)</f>
        <v>1800</v>
      </c>
      <c r="O17" s="21" t="n">
        <f aca="false">MIN(O16+N18,O8)</f>
        <v>1800</v>
      </c>
      <c r="P17" s="21" t="n">
        <f aca="false">MIN(P16+O18,P8)</f>
        <v>1800</v>
      </c>
      <c r="Q17" s="21" t="n">
        <f aca="false">MIN(Q16+P18,Q8)</f>
        <v>1800</v>
      </c>
      <c r="R17" s="21" t="n">
        <f aca="false">MIN(R16+Q18,R8)</f>
        <v>1800</v>
      </c>
      <c r="S17" s="21" t="n">
        <f aca="false">MIN(S16+R18,S8)</f>
        <v>1800</v>
      </c>
      <c r="T17" s="21" t="n">
        <f aca="false">MIN(T16+S18,T8)</f>
        <v>1800</v>
      </c>
      <c r="U17" s="21" t="n">
        <f aca="false">MIN(U16+T18,U8)</f>
        <v>1800</v>
      </c>
      <c r="V17" s="21" t="n">
        <f aca="false">MIN(V16+U18,V8)</f>
        <v>1800</v>
      </c>
      <c r="W17" s="21" t="n">
        <f aca="false">MIN(W16+V18,W8)</f>
        <v>1800</v>
      </c>
      <c r="X17" s="21" t="n">
        <f aca="false">MIN(X16+W18,X8)</f>
        <v>1800</v>
      </c>
      <c r="Y17" s="21" t="n">
        <f aca="false">MIN(Y16+X18,Y8)</f>
        <v>1800</v>
      </c>
      <c r="Z17" s="21" t="n">
        <f aca="false">SUM(B17:M17)</f>
        <v>13900</v>
      </c>
      <c r="AA17" s="21" t="n">
        <f aca="false">SUM(N17:Y17)</f>
        <v>21600</v>
      </c>
      <c r="AB17" s="21" t="n">
        <f aca="false">SUM(B17:Y17)</f>
        <v>35500</v>
      </c>
    </row>
    <row r="18" customFormat="false" ht="15" hidden="false" customHeight="false" outlineLevel="0" collapsed="false">
      <c r="A18" s="19" t="s">
        <v>204</v>
      </c>
      <c r="B18" s="20" t="n">
        <f aca="false">MIN(B8*Assumptions!$B$16,MAX(0,B16+0-B17))</f>
        <v>400</v>
      </c>
      <c r="C18" s="20" t="n">
        <f aca="false">MIN(C8*Assumptions!$B$16,MAX(0,C16+B18-C17))</f>
        <v>500</v>
      </c>
      <c r="D18" s="20" t="n">
        <f aca="false">MIN(D8*Assumptions!$B$16,MAX(0,D16+C18-D17))</f>
        <v>600</v>
      </c>
      <c r="E18" s="20" t="n">
        <f aca="false">MIN(E8*Assumptions!$B$16,MAX(0,E16+D18-E17))</f>
        <v>700</v>
      </c>
      <c r="F18" s="20" t="n">
        <f aca="false">MIN(F8*Assumptions!$B$16,MAX(0,F16+E18-F17))</f>
        <v>800</v>
      </c>
      <c r="G18" s="20" t="n">
        <f aca="false">MIN(G8*Assumptions!$B$16,MAX(0,G16+F18-G17))</f>
        <v>900</v>
      </c>
      <c r="H18" s="20" t="n">
        <f aca="false">MIN(H8*Assumptions!$B$16,MAX(0,H16+G18-H17))</f>
        <v>1108.03846032694</v>
      </c>
      <c r="I18" s="20" t="n">
        <f aca="false">MIN(I8*Assumptions!$B$16,MAX(0,I16+H18-I17))</f>
        <v>1205.97893037929</v>
      </c>
      <c r="J18" s="20" t="n">
        <f aca="false">MIN(J8*Assumptions!$B$16,MAX(0,J16+I18-J17))</f>
        <v>1195.21553074059</v>
      </c>
      <c r="K18" s="20" t="n">
        <f aca="false">MIN(K8*Assumptions!$B$16,MAX(0,K16+J18-K17))</f>
        <v>1077.22602922937</v>
      </c>
      <c r="L18" s="20" t="n">
        <f aca="false">MIN(L8*Assumptions!$B$16,MAX(0,L16+K18-L17))</f>
        <v>986.910193066621</v>
      </c>
      <c r="M18" s="20" t="n">
        <f aca="false">MIN(M8*Assumptions!$B$16,MAX(0,M16+L18-M17))</f>
        <v>925.92844217324</v>
      </c>
      <c r="N18" s="20" t="n">
        <f aca="false">MIN(N8*Assumptions!$B$16,MAX(0,N16+M18-N17))</f>
        <v>896.040821665393</v>
      </c>
      <c r="O18" s="20" t="n">
        <f aca="false">MIN(O8*Assumptions!$B$16,MAX(0,O16+N18-O17))</f>
        <v>899.112979366212</v>
      </c>
      <c r="P18" s="20" t="n">
        <f aca="false">MIN(P8*Assumptions!$B$16,MAX(0,P16+O18-P17))</f>
        <v>937.122501968218</v>
      </c>
      <c r="Q18" s="20" t="n">
        <f aca="false">MIN(Q8*Assumptions!$B$16,MAX(0,Q16+P18-Q17))</f>
        <v>1012.16563136548</v>
      </c>
      <c r="R18" s="20" t="n">
        <f aca="false">MIN(R8*Assumptions!$B$16,MAX(0,R16+Q18-R17))</f>
        <v>1126.46438396572</v>
      </c>
      <c r="S18" s="20" t="n">
        <f aca="false">MIN(S8*Assumptions!$B$16,MAX(0,S16+R18-S17))</f>
        <v>1282.37409716111</v>
      </c>
      <c r="T18" s="20" t="n">
        <f aca="false">MIN(T8*Assumptions!$B$16,MAX(0,T16+S18-T17))</f>
        <v>1482.39142858735</v>
      </c>
      <c r="U18" s="20" t="n">
        <f aca="false">MIN(U8*Assumptions!$B$16,MAX(0,U16+T18-U17))</f>
        <v>1729.16283533831</v>
      </c>
      <c r="V18" s="20" t="n">
        <f aca="false">MIN(V8*Assumptions!$B$16,MAX(0,V16+U18-V17))</f>
        <v>1800</v>
      </c>
      <c r="W18" s="20" t="n">
        <f aca="false">MIN(W8*Assumptions!$B$16,MAX(0,W16+V18-W17))</f>
        <v>1800</v>
      </c>
      <c r="X18" s="20" t="n">
        <f aca="false">MIN(X8*Assumptions!$B$16,MAX(0,X16+W18-X17))</f>
        <v>1800</v>
      </c>
      <c r="Y18" s="20" t="n">
        <f aca="false">MIN(Y8*Assumptions!$B$16,MAX(0,Y16+X18-Y17))</f>
        <v>1800</v>
      </c>
      <c r="Z18" s="2"/>
      <c r="AA18" s="2"/>
      <c r="AB18" s="2"/>
    </row>
    <row r="19" customFormat="false" ht="15" hidden="false" customHeight="false" outlineLevel="0" collapsed="false">
      <c r="A19" s="19" t="s">
        <v>205</v>
      </c>
      <c r="B19" s="22" t="n">
        <f aca="false">IF(B8=0,0,B17/B8)</f>
        <v>1</v>
      </c>
      <c r="C19" s="22" t="n">
        <f aca="false">IF(C8=0,0,C17/C8)</f>
        <v>1</v>
      </c>
      <c r="D19" s="22" t="n">
        <f aca="false">IF(D8=0,0,D17/D8)</f>
        <v>1</v>
      </c>
      <c r="E19" s="22" t="n">
        <f aca="false">IF(E8=0,0,E17/E8)</f>
        <v>1</v>
      </c>
      <c r="F19" s="22" t="n">
        <f aca="false">IF(F8=0,0,F17/F8)</f>
        <v>1</v>
      </c>
      <c r="G19" s="22" t="n">
        <f aca="false">IF(G8=0,0,G17/G8)</f>
        <v>1</v>
      </c>
      <c r="H19" s="22" t="n">
        <f aca="false">IF(H8=0,0,H17/H8)</f>
        <v>1</v>
      </c>
      <c r="I19" s="22" t="n">
        <f aca="false">IF(I8=0,0,I17/I8)</f>
        <v>1</v>
      </c>
      <c r="J19" s="22" t="n">
        <f aca="false">IF(J8=0,0,J17/J8)</f>
        <v>1</v>
      </c>
      <c r="K19" s="22" t="n">
        <f aca="false">IF(K8=0,0,K17/K8)</f>
        <v>1</v>
      </c>
      <c r="L19" s="22" t="n">
        <f aca="false">IF(L8=0,0,L17/L8)</f>
        <v>1</v>
      </c>
      <c r="M19" s="22" t="n">
        <f aca="false">IF(M8=0,0,M17/M8)</f>
        <v>1</v>
      </c>
      <c r="N19" s="22" t="n">
        <f aca="false">IF(N8=0,0,N17/N8)</f>
        <v>1</v>
      </c>
      <c r="O19" s="22" t="n">
        <f aca="false">IF(O8=0,0,O17/O8)</f>
        <v>1</v>
      </c>
      <c r="P19" s="22" t="n">
        <f aca="false">IF(P8=0,0,P17/P8)</f>
        <v>1</v>
      </c>
      <c r="Q19" s="22" t="n">
        <f aca="false">IF(Q8=0,0,Q17/Q8)</f>
        <v>1</v>
      </c>
      <c r="R19" s="22" t="n">
        <f aca="false">IF(R8=0,0,R17/R8)</f>
        <v>1</v>
      </c>
      <c r="S19" s="22" t="n">
        <f aca="false">IF(S8=0,0,S17/S8)</f>
        <v>1</v>
      </c>
      <c r="T19" s="22" t="n">
        <f aca="false">IF(T8=0,0,T17/T8)</f>
        <v>1</v>
      </c>
      <c r="U19" s="22" t="n">
        <f aca="false">IF(U8=0,0,U17/U8)</f>
        <v>1</v>
      </c>
      <c r="V19" s="22" t="n">
        <f aca="false">IF(V8=0,0,V17/V8)</f>
        <v>1</v>
      </c>
      <c r="W19" s="22" t="n">
        <f aca="false">IF(W8=0,0,W17/W8)</f>
        <v>1</v>
      </c>
      <c r="X19" s="22" t="n">
        <f aca="false">IF(X8=0,0,X17/X8)</f>
        <v>1</v>
      </c>
      <c r="Y19" s="22" t="n">
        <f aca="false">IF(Y8=0,0,Y17/Y8)</f>
        <v>1</v>
      </c>
      <c r="Z19" s="2"/>
      <c r="AA19" s="2"/>
      <c r="AB19" s="2"/>
    </row>
    <row r="20" customFormat="false" ht="15" hidden="false" customHeight="false" outlineLevel="0" collapsed="false">
      <c r="A20" s="4" t="s">
        <v>206</v>
      </c>
      <c r="B20" s="5"/>
      <c r="C20" s="5"/>
      <c r="D20" s="5"/>
      <c r="E20" s="5"/>
      <c r="F20" s="5"/>
      <c r="G20" s="5"/>
      <c r="H20" s="5"/>
      <c r="I20" s="5"/>
      <c r="J20" s="5"/>
      <c r="K20" s="5"/>
      <c r="L20" s="5"/>
      <c r="M20" s="5"/>
      <c r="N20" s="5"/>
      <c r="O20" s="5"/>
      <c r="P20" s="5"/>
      <c r="Q20" s="5"/>
      <c r="R20" s="5"/>
      <c r="S20" s="5"/>
      <c r="T20" s="5"/>
      <c r="U20" s="5"/>
      <c r="V20" s="5"/>
      <c r="W20" s="5"/>
      <c r="X20" s="5"/>
      <c r="Y20" s="5"/>
      <c r="Z20" s="5"/>
      <c r="AA20" s="5"/>
      <c r="AB20" s="5"/>
    </row>
    <row r="21" customFormat="false" ht="15" hidden="false" customHeight="false" outlineLevel="0" collapsed="false">
      <c r="A21" s="19" t="s">
        <v>207</v>
      </c>
      <c r="B21" s="15" t="n">
        <f aca="false">B17/Assumptions!$B$9</f>
        <v>9.30232558139535</v>
      </c>
      <c r="C21" s="15" t="n">
        <f aca="false">C17/Assumptions!$B$9</f>
        <v>11.6279069767442</v>
      </c>
      <c r="D21" s="15" t="n">
        <f aca="false">D17/Assumptions!$B$9</f>
        <v>13.953488372093</v>
      </c>
      <c r="E21" s="15" t="n">
        <f aca="false">E17/Assumptions!$B$9</f>
        <v>16.2790697674419</v>
      </c>
      <c r="F21" s="15" t="n">
        <f aca="false">F17/Assumptions!$B$9</f>
        <v>18.6046511627907</v>
      </c>
      <c r="G21" s="15" t="n">
        <f aca="false">G17/Assumptions!$B$9</f>
        <v>20.9302325581395</v>
      </c>
      <c r="H21" s="15" t="n">
        <f aca="false">H17/Assumptions!$B$9</f>
        <v>32.5581395348837</v>
      </c>
      <c r="I21" s="15" t="n">
        <f aca="false">I17/Assumptions!$B$9</f>
        <v>35.6589147286822</v>
      </c>
      <c r="J21" s="15" t="n">
        <f aca="false">J17/Assumptions!$B$9</f>
        <v>38.7596899224806</v>
      </c>
      <c r="K21" s="15" t="n">
        <f aca="false">K17/Assumptions!$B$9</f>
        <v>41.8604651162791</v>
      </c>
      <c r="L21" s="15" t="n">
        <f aca="false">L17/Assumptions!$B$9</f>
        <v>41.8604651162791</v>
      </c>
      <c r="M21" s="15" t="n">
        <f aca="false">M17/Assumptions!$B$9</f>
        <v>41.8604651162791</v>
      </c>
      <c r="N21" s="15" t="n">
        <f aca="false">N17/Assumptions!$B$9</f>
        <v>41.8604651162791</v>
      </c>
      <c r="O21" s="15" t="n">
        <f aca="false">O17/Assumptions!$B$9</f>
        <v>41.8604651162791</v>
      </c>
      <c r="P21" s="15" t="n">
        <f aca="false">P17/Assumptions!$B$9</f>
        <v>41.8604651162791</v>
      </c>
      <c r="Q21" s="15" t="n">
        <f aca="false">Q17/Assumptions!$B$9</f>
        <v>41.8604651162791</v>
      </c>
      <c r="R21" s="15" t="n">
        <f aca="false">R17/Assumptions!$B$9</f>
        <v>41.8604651162791</v>
      </c>
      <c r="S21" s="15" t="n">
        <f aca="false">S17/Assumptions!$B$9</f>
        <v>41.8604651162791</v>
      </c>
      <c r="T21" s="15" t="n">
        <f aca="false">T17/Assumptions!$B$9</f>
        <v>41.8604651162791</v>
      </c>
      <c r="U21" s="15" t="n">
        <f aca="false">U17/Assumptions!$B$9</f>
        <v>41.8604651162791</v>
      </c>
      <c r="V21" s="15" t="n">
        <f aca="false">V17/Assumptions!$B$9</f>
        <v>41.8604651162791</v>
      </c>
      <c r="W21" s="15" t="n">
        <f aca="false">W17/Assumptions!$B$9</f>
        <v>41.8604651162791</v>
      </c>
      <c r="X21" s="15" t="n">
        <f aca="false">X17/Assumptions!$B$9</f>
        <v>41.8604651162791</v>
      </c>
      <c r="Y21" s="15" t="n">
        <f aca="false">Y17/Assumptions!$B$9</f>
        <v>41.8604651162791</v>
      </c>
      <c r="Z21" s="2"/>
      <c r="AA21" s="2"/>
      <c r="AB21" s="2"/>
    </row>
    <row r="22" customFormat="false" ht="15" hidden="false" customHeight="false" outlineLevel="0" collapsed="false">
      <c r="A22" s="19" t="s">
        <v>208</v>
      </c>
      <c r="B22" s="15" t="n">
        <f aca="false">MAX(0,(1+IF(B7&gt;0,1,0))*Assumptions!$B$8-B21)</f>
        <v>11.6976744186047</v>
      </c>
      <c r="C22" s="15" t="n">
        <f aca="false">MAX(0,(1+IF(C7&gt;0,1,0))*Assumptions!$B$8-C21)</f>
        <v>9.37209302325582</v>
      </c>
      <c r="D22" s="15" t="n">
        <f aca="false">MAX(0,(1+IF(D7&gt;0,1,0))*Assumptions!$B$8-D21)</f>
        <v>7.04651162790698</v>
      </c>
      <c r="E22" s="15" t="n">
        <f aca="false">MAX(0,(1+IF(E7&gt;0,1,0))*Assumptions!$B$8-E21)</f>
        <v>4.72093023255814</v>
      </c>
      <c r="F22" s="15" t="n">
        <f aca="false">MAX(0,(1+IF(F7&gt;0,1,0))*Assumptions!$B$8-F21)</f>
        <v>2.3953488372093</v>
      </c>
      <c r="G22" s="15" t="n">
        <f aca="false">MAX(0,(1+IF(G7&gt;0,1,0))*Assumptions!$B$8-G21)</f>
        <v>0.0697674418604635</v>
      </c>
      <c r="H22" s="15" t="n">
        <f aca="false">MAX(0,(1+IF(H7&gt;0,1,0))*Assumptions!$B$8-H21)</f>
        <v>9.44186046511628</v>
      </c>
      <c r="I22" s="15" t="n">
        <f aca="false">MAX(0,(1+IF(I7&gt;0,1,0))*Assumptions!$B$8-I21)</f>
        <v>6.34108527131782</v>
      </c>
      <c r="J22" s="15" t="n">
        <f aca="false">MAX(0,(1+IF(J7&gt;0,1,0))*Assumptions!$B$8-J21)</f>
        <v>3.24031007751938</v>
      </c>
      <c r="K22" s="15" t="n">
        <f aca="false">MAX(0,(1+IF(K7&gt;0,1,0))*Assumptions!$B$8-K21)</f>
        <v>0.139534883720927</v>
      </c>
      <c r="L22" s="15" t="n">
        <f aca="false">MAX(0,(1+IF(L7&gt;0,1,0))*Assumptions!$B$8-L21)</f>
        <v>0.139534883720927</v>
      </c>
      <c r="M22" s="15" t="n">
        <f aca="false">MAX(0,(1+IF(M7&gt;0,1,0))*Assumptions!$B$8-M21)</f>
        <v>0.139534883720927</v>
      </c>
      <c r="N22" s="15" t="n">
        <f aca="false">MAX(0,(1+IF(N7&gt;0,1,0))*Assumptions!$B$8-N21)</f>
        <v>0.139534883720927</v>
      </c>
      <c r="O22" s="15" t="n">
        <f aca="false">MAX(0,(1+IF(O7&gt;0,1,0))*Assumptions!$B$8-O21)</f>
        <v>0.139534883720927</v>
      </c>
      <c r="P22" s="15" t="n">
        <f aca="false">MAX(0,(1+IF(P7&gt;0,1,0))*Assumptions!$B$8-P21)</f>
        <v>0.139534883720927</v>
      </c>
      <c r="Q22" s="15" t="n">
        <f aca="false">MAX(0,(1+IF(Q7&gt;0,1,0))*Assumptions!$B$8-Q21)</f>
        <v>0.139534883720927</v>
      </c>
      <c r="R22" s="15" t="n">
        <f aca="false">MAX(0,(1+IF(R7&gt;0,1,0))*Assumptions!$B$8-R21)</f>
        <v>0.139534883720927</v>
      </c>
      <c r="S22" s="15" t="n">
        <f aca="false">MAX(0,(1+IF(S7&gt;0,1,0))*Assumptions!$B$8-S21)</f>
        <v>0.139534883720927</v>
      </c>
      <c r="T22" s="15" t="n">
        <f aca="false">MAX(0,(1+IF(T7&gt;0,1,0))*Assumptions!$B$8-T21)</f>
        <v>0.139534883720927</v>
      </c>
      <c r="U22" s="15" t="n">
        <f aca="false">MAX(0,(1+IF(U7&gt;0,1,0))*Assumptions!$B$8-U21)</f>
        <v>0.139534883720927</v>
      </c>
      <c r="V22" s="15" t="n">
        <f aca="false">MAX(0,(1+IF(V7&gt;0,1,0))*Assumptions!$B$8-V21)</f>
        <v>0.139534883720927</v>
      </c>
      <c r="W22" s="15" t="n">
        <f aca="false">MAX(0,(1+IF(W7&gt;0,1,0))*Assumptions!$B$8-W21)</f>
        <v>0.139534883720927</v>
      </c>
      <c r="X22" s="15" t="n">
        <f aca="false">MAX(0,(1+IF(X7&gt;0,1,0))*Assumptions!$B$8-X21)</f>
        <v>0.139534883720927</v>
      </c>
      <c r="Y22" s="15" t="n">
        <f aca="false">MAX(0,(1+IF(Y7&gt;0,1,0))*Assumptions!$B$8-Y21)</f>
        <v>0.139534883720927</v>
      </c>
      <c r="Z22" s="2"/>
      <c r="AA22" s="2"/>
      <c r="AB22" s="2"/>
    </row>
    <row r="23" customFormat="false" ht="15" hidden="false" customHeight="false" outlineLevel="0" collapsed="false">
      <c r="A23" s="19" t="s">
        <v>209</v>
      </c>
      <c r="B23" s="16" t="n">
        <f aca="false">B17*Assumptions!$B$5</f>
        <v>20000</v>
      </c>
      <c r="C23" s="16" t="n">
        <f aca="false">C17*Assumptions!$B$5</f>
        <v>25000</v>
      </c>
      <c r="D23" s="16" t="n">
        <f aca="false">D17*Assumptions!$B$5</f>
        <v>30000</v>
      </c>
      <c r="E23" s="16" t="n">
        <f aca="false">E17*Assumptions!$B$5</f>
        <v>35000</v>
      </c>
      <c r="F23" s="16" t="n">
        <f aca="false">F17*Assumptions!$B$5</f>
        <v>40000</v>
      </c>
      <c r="G23" s="16" t="n">
        <f aca="false">G17*Assumptions!$B$5</f>
        <v>45000</v>
      </c>
      <c r="H23" s="16" t="n">
        <f aca="false">H17*Assumptions!$B$5</f>
        <v>70000</v>
      </c>
      <c r="I23" s="16" t="n">
        <f aca="false">I17*Assumptions!$B$5</f>
        <v>76666.6666666667</v>
      </c>
      <c r="J23" s="16" t="n">
        <f aca="false">J17*Assumptions!$B$5</f>
        <v>83333.3333333333</v>
      </c>
      <c r="K23" s="16" t="n">
        <f aca="false">K17*Assumptions!$B$5</f>
        <v>90000</v>
      </c>
      <c r="L23" s="16" t="n">
        <f aca="false">L17*Assumptions!$B$5</f>
        <v>90000</v>
      </c>
      <c r="M23" s="16" t="n">
        <f aca="false">M17*Assumptions!$B$5</f>
        <v>90000</v>
      </c>
      <c r="N23" s="16" t="n">
        <f aca="false">N17*Assumptions!$B$5</f>
        <v>90000</v>
      </c>
      <c r="O23" s="16" t="n">
        <f aca="false">O17*Assumptions!$B$5</f>
        <v>90000</v>
      </c>
      <c r="P23" s="16" t="n">
        <f aca="false">P17*Assumptions!$B$5</f>
        <v>90000</v>
      </c>
      <c r="Q23" s="16" t="n">
        <f aca="false">Q17*Assumptions!$B$5</f>
        <v>90000</v>
      </c>
      <c r="R23" s="16" t="n">
        <f aca="false">R17*Assumptions!$B$5</f>
        <v>90000</v>
      </c>
      <c r="S23" s="16" t="n">
        <f aca="false">S17*Assumptions!$B$5</f>
        <v>90000</v>
      </c>
      <c r="T23" s="16" t="n">
        <f aca="false">T17*Assumptions!$B$5</f>
        <v>90000</v>
      </c>
      <c r="U23" s="16" t="n">
        <f aca="false">U17*Assumptions!$B$5</f>
        <v>90000</v>
      </c>
      <c r="V23" s="16" t="n">
        <f aca="false">V17*Assumptions!$B$5</f>
        <v>90000</v>
      </c>
      <c r="W23" s="16" t="n">
        <f aca="false">W17*Assumptions!$B$5</f>
        <v>90000</v>
      </c>
      <c r="X23" s="16" t="n">
        <f aca="false">X17*Assumptions!$B$5</f>
        <v>90000</v>
      </c>
      <c r="Y23" s="16" t="n">
        <f aca="false">Y17*Assumptions!$B$5</f>
        <v>90000</v>
      </c>
      <c r="Z23" s="16" t="n">
        <f aca="false">SUM(B23:M23)</f>
        <v>695000</v>
      </c>
      <c r="AA23" s="16" t="n">
        <f aca="false">SUM(N23:Y23)</f>
        <v>1080000</v>
      </c>
      <c r="AB23" s="16" t="n">
        <f aca="false">SUM(B23:Y23)</f>
        <v>1775000</v>
      </c>
    </row>
    <row r="24" customFormat="false" ht="15" hidden="false" customHeight="false" outlineLevel="0" collapsed="false">
      <c r="A24" s="19" t="s">
        <v>210</v>
      </c>
      <c r="B24" s="16" t="n">
        <f aca="false">B22*Assumptions!$B$10</f>
        <v>11697.6744186047</v>
      </c>
      <c r="C24" s="16" t="n">
        <f aca="false">C22*Assumptions!$B$10</f>
        <v>9372.09302325582</v>
      </c>
      <c r="D24" s="16" t="n">
        <f aca="false">D22*Assumptions!$B$10</f>
        <v>7046.51162790698</v>
      </c>
      <c r="E24" s="16" t="n">
        <f aca="false">E22*Assumptions!$B$10</f>
        <v>4720.93023255814</v>
      </c>
      <c r="F24" s="16" t="n">
        <f aca="false">F22*Assumptions!$B$10</f>
        <v>2395.3488372093</v>
      </c>
      <c r="G24" s="16" t="n">
        <f aca="false">G22*Assumptions!$B$10</f>
        <v>69.7674418604635</v>
      </c>
      <c r="H24" s="16" t="n">
        <f aca="false">H22*Assumptions!$B$10</f>
        <v>9441.86046511628</v>
      </c>
      <c r="I24" s="16" t="n">
        <f aca="false">I22*Assumptions!$B$10</f>
        <v>6341.08527131782</v>
      </c>
      <c r="J24" s="16" t="n">
        <f aca="false">J22*Assumptions!$B$10</f>
        <v>3240.31007751937</v>
      </c>
      <c r="K24" s="16" t="n">
        <f aca="false">K22*Assumptions!$B$10</f>
        <v>139.534883720927</v>
      </c>
      <c r="L24" s="16" t="n">
        <f aca="false">L22*Assumptions!$B$10</f>
        <v>139.534883720927</v>
      </c>
      <c r="M24" s="16" t="n">
        <f aca="false">M22*Assumptions!$B$10</f>
        <v>139.534883720927</v>
      </c>
      <c r="N24" s="16" t="n">
        <f aca="false">N22*Assumptions!$B$10</f>
        <v>139.534883720927</v>
      </c>
      <c r="O24" s="16" t="n">
        <f aca="false">O22*Assumptions!$B$10</f>
        <v>139.534883720927</v>
      </c>
      <c r="P24" s="16" t="n">
        <f aca="false">P22*Assumptions!$B$10</f>
        <v>139.534883720927</v>
      </c>
      <c r="Q24" s="16" t="n">
        <f aca="false">Q22*Assumptions!$B$10</f>
        <v>139.534883720927</v>
      </c>
      <c r="R24" s="16" t="n">
        <f aca="false">R22*Assumptions!$B$10</f>
        <v>139.534883720927</v>
      </c>
      <c r="S24" s="16" t="n">
        <f aca="false">S22*Assumptions!$B$10</f>
        <v>139.534883720927</v>
      </c>
      <c r="T24" s="16" t="n">
        <f aca="false">T22*Assumptions!$B$10</f>
        <v>139.534883720927</v>
      </c>
      <c r="U24" s="16" t="n">
        <f aca="false">U22*Assumptions!$B$10</f>
        <v>139.534883720927</v>
      </c>
      <c r="V24" s="16" t="n">
        <f aca="false">V22*Assumptions!$B$10</f>
        <v>139.534883720927</v>
      </c>
      <c r="W24" s="16" t="n">
        <f aca="false">W22*Assumptions!$B$10</f>
        <v>139.534883720927</v>
      </c>
      <c r="X24" s="16" t="n">
        <f aca="false">X22*Assumptions!$B$10</f>
        <v>139.534883720927</v>
      </c>
      <c r="Y24" s="16" t="n">
        <f aca="false">Y22*Assumptions!$B$10</f>
        <v>139.534883720927</v>
      </c>
      <c r="Z24" s="16" t="n">
        <f aca="false">SUM(B24:M24)</f>
        <v>54744.1860465116</v>
      </c>
      <c r="AA24" s="16" t="n">
        <f aca="false">SUM(N24:Y24)</f>
        <v>1674.41860465112</v>
      </c>
      <c r="AB24" s="16" t="n">
        <f aca="false">SUM(B24:Y24)</f>
        <v>56418.6046511627</v>
      </c>
    </row>
    <row r="25" customFormat="false" ht="15" hidden="false" customHeight="false" outlineLevel="0" collapsed="false">
      <c r="A25" s="17" t="s">
        <v>211</v>
      </c>
      <c r="B25" s="23" t="n">
        <f aca="false">B23+B24</f>
        <v>31697.6744186047</v>
      </c>
      <c r="C25" s="23" t="n">
        <f aca="false">C23+C24</f>
        <v>34372.0930232558</v>
      </c>
      <c r="D25" s="23" t="n">
        <f aca="false">D23+D24</f>
        <v>37046.511627907</v>
      </c>
      <c r="E25" s="23" t="n">
        <f aca="false">E23+E24</f>
        <v>39720.9302325581</v>
      </c>
      <c r="F25" s="23" t="n">
        <f aca="false">F23+F24</f>
        <v>42395.3488372093</v>
      </c>
      <c r="G25" s="23" t="n">
        <f aca="false">G23+G24</f>
        <v>45069.7674418605</v>
      </c>
      <c r="H25" s="23" t="n">
        <f aca="false">H23+H24</f>
        <v>79441.8604651163</v>
      </c>
      <c r="I25" s="23" t="n">
        <f aca="false">I23+I24</f>
        <v>83007.7519379845</v>
      </c>
      <c r="J25" s="23" t="n">
        <f aca="false">J23+J24</f>
        <v>86573.6434108527</v>
      </c>
      <c r="K25" s="23" t="n">
        <f aca="false">K23+K24</f>
        <v>90139.5348837209</v>
      </c>
      <c r="L25" s="23" t="n">
        <f aca="false">L23+L24</f>
        <v>90139.5348837209</v>
      </c>
      <c r="M25" s="23" t="n">
        <f aca="false">M23+M24</f>
        <v>90139.5348837209</v>
      </c>
      <c r="N25" s="23" t="n">
        <f aca="false">N23+N24</f>
        <v>90139.5348837209</v>
      </c>
      <c r="O25" s="23" t="n">
        <f aca="false">O23+O24</f>
        <v>90139.5348837209</v>
      </c>
      <c r="P25" s="23" t="n">
        <f aca="false">P23+P24</f>
        <v>90139.5348837209</v>
      </c>
      <c r="Q25" s="23" t="n">
        <f aca="false">Q23+Q24</f>
        <v>90139.5348837209</v>
      </c>
      <c r="R25" s="23" t="n">
        <f aca="false">R23+R24</f>
        <v>90139.5348837209</v>
      </c>
      <c r="S25" s="23" t="n">
        <f aca="false">S23+S24</f>
        <v>90139.5348837209</v>
      </c>
      <c r="T25" s="23" t="n">
        <f aca="false">T23+T24</f>
        <v>90139.5348837209</v>
      </c>
      <c r="U25" s="23" t="n">
        <f aca="false">U23+U24</f>
        <v>90139.5348837209</v>
      </c>
      <c r="V25" s="23" t="n">
        <f aca="false">V23+V24</f>
        <v>90139.5348837209</v>
      </c>
      <c r="W25" s="23" t="n">
        <f aca="false">W23+W24</f>
        <v>90139.5348837209</v>
      </c>
      <c r="X25" s="23" t="n">
        <f aca="false">X23+X24</f>
        <v>90139.5348837209</v>
      </c>
      <c r="Y25" s="23" t="n">
        <f aca="false">Y23+Y24</f>
        <v>90139.5348837209</v>
      </c>
      <c r="Z25" s="23" t="n">
        <f aca="false">SUM(B25:M25)</f>
        <v>749744.186046512</v>
      </c>
      <c r="AA25" s="23" t="n">
        <f aca="false">SUM(N25:Y25)</f>
        <v>1081674.41860465</v>
      </c>
      <c r="AB25" s="23" t="n">
        <f aca="false">SUM(B25:Y25)</f>
        <v>1831418.60465116</v>
      </c>
    </row>
    <row r="26" customFormat="false" ht="15" hidden="false" customHeight="false" outlineLevel="0" collapsed="false">
      <c r="A26" s="19" t="s">
        <v>212</v>
      </c>
      <c r="B26" s="20" t="n">
        <f aca="false">IF(1&lt;Assumptions!$B$34,0,B17/Assumptions!$B$15*Assumptions!$B$29+IF(1&lt;=Assumptions!$B$34+11,Assumptions!$B$32*Assumptions!$B$33/12,0))</f>
        <v>0</v>
      </c>
      <c r="C26" s="20" t="n">
        <f aca="false">IF(2&lt;Assumptions!$B$34,0,C17/Assumptions!$B$15*Assumptions!$B$29+IF(2&lt;=Assumptions!$B$34+11,Assumptions!$B$32*Assumptions!$B$33/12,0))</f>
        <v>0</v>
      </c>
      <c r="D26" s="20" t="n">
        <f aca="false">IF(3&lt;Assumptions!$B$34,0,D17/Assumptions!$B$15*Assumptions!$B$29+IF(3&lt;=Assumptions!$B$34+11,Assumptions!$B$32*Assumptions!$B$33/12,0))</f>
        <v>5.475</v>
      </c>
      <c r="E26" s="20" t="n">
        <f aca="false">IF(4&lt;Assumptions!$B$34,0,E17/Assumptions!$B$15*Assumptions!$B$29+IF(4&lt;=Assumptions!$B$34+11,Assumptions!$B$32*Assumptions!$B$33/12,0))</f>
        <v>6.075</v>
      </c>
      <c r="F26" s="20" t="n">
        <f aca="false">IF(5&lt;Assumptions!$B$34,0,F17/Assumptions!$B$15*Assumptions!$B$29+IF(5&lt;=Assumptions!$B$34+11,Assumptions!$B$32*Assumptions!$B$33/12,0))</f>
        <v>6.675</v>
      </c>
      <c r="G26" s="20" t="n">
        <f aca="false">IF(6&lt;Assumptions!$B$34,0,G17/Assumptions!$B$15*Assumptions!$B$29+IF(6&lt;=Assumptions!$B$34+11,Assumptions!$B$32*Assumptions!$B$33/12,0))</f>
        <v>7.275</v>
      </c>
      <c r="H26" s="20" t="n">
        <f aca="false">IF(7&lt;Assumptions!$B$34,0,H17/Assumptions!$B$15*Assumptions!$B$29+IF(7&lt;=Assumptions!$B$34+11,Assumptions!$B$32*Assumptions!$B$33/12,0))</f>
        <v>10.275</v>
      </c>
      <c r="I26" s="20" t="n">
        <f aca="false">IF(8&lt;Assumptions!$B$34,0,I17/Assumptions!$B$15*Assumptions!$B$29+IF(8&lt;=Assumptions!$B$34+11,Assumptions!$B$32*Assumptions!$B$33/12,0))</f>
        <v>11.075</v>
      </c>
      <c r="J26" s="20" t="n">
        <f aca="false">IF(9&lt;Assumptions!$B$34,0,J17/Assumptions!$B$15*Assumptions!$B$29+IF(9&lt;=Assumptions!$B$34+11,Assumptions!$B$32*Assumptions!$B$33/12,0))</f>
        <v>11.875</v>
      </c>
      <c r="K26" s="20" t="n">
        <f aca="false">IF(10&lt;Assumptions!$B$34,0,K17/Assumptions!$B$15*Assumptions!$B$29+IF(10&lt;=Assumptions!$B$34+11,Assumptions!$B$32*Assumptions!$B$33/12,0))</f>
        <v>12.675</v>
      </c>
      <c r="L26" s="20" t="n">
        <f aca="false">IF(11&lt;Assumptions!$B$34,0,L17/Assumptions!$B$15*Assumptions!$B$29+IF(11&lt;=Assumptions!$B$34+11,Assumptions!$B$32*Assumptions!$B$33/12,0))</f>
        <v>12.675</v>
      </c>
      <c r="M26" s="20" t="n">
        <f aca="false">IF(12&lt;Assumptions!$B$34,0,M17/Assumptions!$B$15*Assumptions!$B$29+IF(12&lt;=Assumptions!$B$34+11,Assumptions!$B$32*Assumptions!$B$33/12,0))</f>
        <v>12.675</v>
      </c>
      <c r="N26" s="20" t="n">
        <f aca="false">IF(13&lt;Assumptions!$B$34,0,N17/Assumptions!$B$15*Assumptions!$B$29+IF(13&lt;=Assumptions!$B$34+11,Assumptions!$B$32*Assumptions!$B$33/12,0))</f>
        <v>12.675</v>
      </c>
      <c r="O26" s="20" t="n">
        <f aca="false">IF(14&lt;Assumptions!$B$34,0,O17/Assumptions!$B$15*Assumptions!$B$29+IF(14&lt;=Assumptions!$B$34+11,Assumptions!$B$32*Assumptions!$B$33/12,0))</f>
        <v>12.675</v>
      </c>
      <c r="P26" s="20" t="n">
        <f aca="false">IF(15&lt;Assumptions!$B$34,0,P17/Assumptions!$B$15*Assumptions!$B$29+IF(15&lt;=Assumptions!$B$34+11,Assumptions!$B$32*Assumptions!$B$33/12,0))</f>
        <v>10.8</v>
      </c>
      <c r="Q26" s="20" t="n">
        <f aca="false">IF(16&lt;Assumptions!$B$34,0,Q17/Assumptions!$B$15*Assumptions!$B$29+IF(16&lt;=Assumptions!$B$34+11,Assumptions!$B$32*Assumptions!$B$33/12,0))</f>
        <v>10.8</v>
      </c>
      <c r="R26" s="20" t="n">
        <f aca="false">IF(17&lt;Assumptions!$B$34,0,R17/Assumptions!$B$15*Assumptions!$B$29+IF(17&lt;=Assumptions!$B$34+11,Assumptions!$B$32*Assumptions!$B$33/12,0))</f>
        <v>10.8</v>
      </c>
      <c r="S26" s="20" t="n">
        <f aca="false">IF(18&lt;Assumptions!$B$34,0,S17/Assumptions!$B$15*Assumptions!$B$29+IF(18&lt;=Assumptions!$B$34+11,Assumptions!$B$32*Assumptions!$B$33/12,0))</f>
        <v>10.8</v>
      </c>
      <c r="T26" s="20" t="n">
        <f aca="false">IF(19&lt;Assumptions!$B$34,0,T17/Assumptions!$B$15*Assumptions!$B$29+IF(19&lt;=Assumptions!$B$34+11,Assumptions!$B$32*Assumptions!$B$33/12,0))</f>
        <v>10.8</v>
      </c>
      <c r="U26" s="20" t="n">
        <f aca="false">IF(20&lt;Assumptions!$B$34,0,U17/Assumptions!$B$15*Assumptions!$B$29+IF(20&lt;=Assumptions!$B$34+11,Assumptions!$B$32*Assumptions!$B$33/12,0))</f>
        <v>10.8</v>
      </c>
      <c r="V26" s="20" t="n">
        <f aca="false">IF(21&lt;Assumptions!$B$34,0,V17/Assumptions!$B$15*Assumptions!$B$29+IF(21&lt;=Assumptions!$B$34+11,Assumptions!$B$32*Assumptions!$B$33/12,0))</f>
        <v>10.8</v>
      </c>
      <c r="W26" s="20" t="n">
        <f aca="false">IF(22&lt;Assumptions!$B$34,0,W17/Assumptions!$B$15*Assumptions!$B$29+IF(22&lt;=Assumptions!$B$34+11,Assumptions!$B$32*Assumptions!$B$33/12,0))</f>
        <v>10.8</v>
      </c>
      <c r="X26" s="20" t="n">
        <f aca="false">IF(23&lt;Assumptions!$B$34,0,X17/Assumptions!$B$15*Assumptions!$B$29+IF(23&lt;=Assumptions!$B$34+11,Assumptions!$B$32*Assumptions!$B$33/12,0))</f>
        <v>10.8</v>
      </c>
      <c r="Y26" s="20" t="n">
        <f aca="false">IF(24&lt;Assumptions!$B$34,0,Y17/Assumptions!$B$15*Assumptions!$B$29+IF(24&lt;=Assumptions!$B$34+11,Assumptions!$B$32*Assumptions!$B$33/12,0))</f>
        <v>10.8</v>
      </c>
      <c r="Z26" s="20" t="n">
        <f aca="false">SUM(B26:M26)</f>
        <v>96.75</v>
      </c>
      <c r="AA26" s="20" t="n">
        <f aca="false">SUM(N26:Y26)</f>
        <v>133.35</v>
      </c>
      <c r="AB26" s="20" t="n">
        <f aca="false">SUM(B26:Y26)</f>
        <v>230.1</v>
      </c>
    </row>
    <row r="27" customFormat="false" ht="15" hidden="false" customHeight="false" outlineLevel="0" collapsed="false">
      <c r="A27" s="19" t="s">
        <v>213</v>
      </c>
      <c r="B27" s="20" t="n">
        <f aca="false">0+B26</f>
        <v>0</v>
      </c>
      <c r="C27" s="20" t="n">
        <f aca="false">B27*(1-0.08/12)+C26</f>
        <v>0</v>
      </c>
      <c r="D27" s="20" t="n">
        <f aca="false">C27*(1-0.08/12)+D26</f>
        <v>5.475</v>
      </c>
      <c r="E27" s="20" t="n">
        <f aca="false">D27*(1-0.08/12)+E26</f>
        <v>11.5135</v>
      </c>
      <c r="F27" s="20" t="n">
        <f aca="false">E27*(1-0.08/12)+F26</f>
        <v>18.1117433333333</v>
      </c>
      <c r="G27" s="20" t="n">
        <f aca="false">F27*(1-0.08/12)+G26</f>
        <v>25.2659983777778</v>
      </c>
      <c r="H27" s="20" t="n">
        <f aca="false">G27*(1-0.08/12)+H26</f>
        <v>35.3725583885926</v>
      </c>
      <c r="I27" s="20" t="n">
        <f aca="false">H27*(1-0.08/12)+I26</f>
        <v>46.2117413326686</v>
      </c>
      <c r="J27" s="20" t="n">
        <f aca="false">I27*(1-0.08/12)+J26</f>
        <v>57.7786630571175</v>
      </c>
      <c r="K27" s="20" t="n">
        <f aca="false">J27*(1-0.08/12)+K26</f>
        <v>70.0684719700701</v>
      </c>
      <c r="L27" s="20" t="n">
        <f aca="false">K27*(1-0.08/12)+L26</f>
        <v>82.2763488236029</v>
      </c>
      <c r="M27" s="20" t="n">
        <f aca="false">L27*(1-0.08/12)+M26</f>
        <v>94.4028398314456</v>
      </c>
      <c r="N27" s="20" t="n">
        <f aca="false">M27*(1-0.08/12)+N26</f>
        <v>106.448487565903</v>
      </c>
      <c r="O27" s="20" t="n">
        <f aca="false">N27*(1-0.08/12)+O26</f>
        <v>118.41383098213</v>
      </c>
      <c r="P27" s="20" t="n">
        <f aca="false">O27*(1-0.08/12)+P26</f>
        <v>128.424405442249</v>
      </c>
      <c r="Q27" s="20" t="n">
        <f aca="false">P27*(1-0.08/12)+Q26</f>
        <v>138.368242739301</v>
      </c>
      <c r="R27" s="20" t="n">
        <f aca="false">Q27*(1-0.08/12)+R26</f>
        <v>148.245787787705</v>
      </c>
      <c r="S27" s="20" t="n">
        <f aca="false">R27*(1-0.08/12)+S26</f>
        <v>158.057482535787</v>
      </c>
      <c r="T27" s="20" t="n">
        <f aca="false">S27*(1-0.08/12)+T26</f>
        <v>167.803765985549</v>
      </c>
      <c r="U27" s="20" t="n">
        <f aca="false">T27*(1-0.08/12)+U26</f>
        <v>177.485074212312</v>
      </c>
      <c r="V27" s="20" t="n">
        <f aca="false">U27*(1-0.08/12)+V26</f>
        <v>187.10184038423</v>
      </c>
      <c r="W27" s="20" t="n">
        <f aca="false">V27*(1-0.08/12)+W26</f>
        <v>196.654494781668</v>
      </c>
      <c r="X27" s="20" t="n">
        <f aca="false">W27*(1-0.08/12)+X26</f>
        <v>206.143464816457</v>
      </c>
      <c r="Y27" s="20" t="n">
        <f aca="false">X27*(1-0.08/12)+Y26</f>
        <v>215.569175051014</v>
      </c>
      <c r="Z27" s="2"/>
      <c r="AA27" s="2"/>
      <c r="AB27" s="2"/>
    </row>
    <row r="28" customFormat="false" ht="15" hidden="false" customHeight="false" outlineLevel="0" collapsed="false">
      <c r="A28" s="19" t="s">
        <v>214</v>
      </c>
      <c r="B28" s="16" t="n">
        <f aca="false">B27/12*Assumptions!$B$31*Assumptions!$B$28</f>
        <v>0</v>
      </c>
      <c r="C28" s="16" t="n">
        <f aca="false">C27/12*Assumptions!$B$31*Assumptions!$B$28</f>
        <v>0</v>
      </c>
      <c r="D28" s="16" t="n">
        <f aca="false">D27/12*Assumptions!$B$31*Assumptions!$B$28</f>
        <v>85.2046875</v>
      </c>
      <c r="E28" s="16" t="n">
        <f aca="false">E27/12*Assumptions!$B$31*Assumptions!$B$28</f>
        <v>179.17884375</v>
      </c>
      <c r="F28" s="16" t="n">
        <f aca="false">F27/12*Assumptions!$B$31*Assumptions!$B$28</f>
        <v>281.864005625</v>
      </c>
      <c r="G28" s="16" t="n">
        <f aca="false">G27/12*Assumptions!$B$31*Assumptions!$B$28</f>
        <v>393.202099754167</v>
      </c>
      <c r="H28" s="16" t="n">
        <f aca="false">H27/12*Assumptions!$B$31*Assumptions!$B$28</f>
        <v>550.485439922472</v>
      </c>
      <c r="I28" s="16" t="n">
        <f aca="false">I27/12*Assumptions!$B$31*Assumptions!$B$28</f>
        <v>719.170224489656</v>
      </c>
      <c r="J28" s="16" t="n">
        <f aca="false">J27/12*Assumptions!$B$31*Assumptions!$B$28</f>
        <v>899.180443826392</v>
      </c>
      <c r="K28" s="16" t="n">
        <f aca="false">K27/12*Assumptions!$B$31*Assumptions!$B$28</f>
        <v>1090.44059503422</v>
      </c>
      <c r="L28" s="16" t="n">
        <f aca="false">L27/12*Assumptions!$B$31*Assumptions!$B$28</f>
        <v>1280.42567856732</v>
      </c>
      <c r="M28" s="16" t="n">
        <f aca="false">M27/12*Assumptions!$B$31*Assumptions!$B$28</f>
        <v>1469.14419487687</v>
      </c>
      <c r="N28" s="16" t="n">
        <f aca="false">N27/12*Assumptions!$B$31*Assumptions!$B$28</f>
        <v>1656.60458774436</v>
      </c>
      <c r="O28" s="16" t="n">
        <f aca="false">O27/12*Assumptions!$B$31*Assumptions!$B$28</f>
        <v>1842.8152446594</v>
      </c>
      <c r="P28" s="16" t="n">
        <f aca="false">P27/12*Assumptions!$B$31*Assumptions!$B$28</f>
        <v>1998.604809695</v>
      </c>
      <c r="Q28" s="16" t="n">
        <f aca="false">Q27/12*Assumptions!$B$31*Assumptions!$B$28</f>
        <v>2153.35577763037</v>
      </c>
      <c r="R28" s="16" t="n">
        <f aca="false">R27/12*Assumptions!$B$31*Assumptions!$B$28</f>
        <v>2307.07507244617</v>
      </c>
      <c r="S28" s="16" t="n">
        <f aca="false">S27/12*Assumptions!$B$31*Assumptions!$B$28</f>
        <v>2459.76957196319</v>
      </c>
      <c r="T28" s="16" t="n">
        <f aca="false">T27/12*Assumptions!$B$31*Assumptions!$B$28</f>
        <v>2611.4461081501</v>
      </c>
      <c r="U28" s="16" t="n">
        <f aca="false">U27/12*Assumptions!$B$31*Assumptions!$B$28</f>
        <v>2762.1114674291</v>
      </c>
      <c r="V28" s="16" t="n">
        <f aca="false">V27/12*Assumptions!$B$31*Assumptions!$B$28</f>
        <v>2911.77239097958</v>
      </c>
      <c r="W28" s="16" t="n">
        <f aca="false">W27/12*Assumptions!$B$31*Assumptions!$B$28</f>
        <v>3060.43557503971</v>
      </c>
      <c r="X28" s="16" t="n">
        <f aca="false">X27/12*Assumptions!$B$31*Assumptions!$B$28</f>
        <v>3208.10767120611</v>
      </c>
      <c r="Y28" s="16" t="n">
        <f aca="false">Y27/12*Assumptions!$B$31*Assumptions!$B$28</f>
        <v>3354.79528673141</v>
      </c>
      <c r="Z28" s="16" t="n">
        <f aca="false">SUM(B28:M28)</f>
        <v>6948.29621334609</v>
      </c>
      <c r="AA28" s="16" t="n">
        <f aca="false">SUM(N28:Y28)</f>
        <v>30326.8935636745</v>
      </c>
      <c r="AB28" s="16" t="n">
        <f aca="false">SUM(B28:Y28)</f>
        <v>37275.1897770206</v>
      </c>
    </row>
    <row r="29" customFormat="false" ht="15" hidden="false" customHeight="false" outlineLevel="0" collapsed="false">
      <c r="A29" s="17" t="s">
        <v>215</v>
      </c>
      <c r="B29" s="24" t="n">
        <f aca="false">B25+B28</f>
        <v>31697.6744186047</v>
      </c>
      <c r="C29" s="24" t="n">
        <f aca="false">C25+C28</f>
        <v>34372.0930232558</v>
      </c>
      <c r="D29" s="24" t="n">
        <f aca="false">D25+D28</f>
        <v>37131.716315407</v>
      </c>
      <c r="E29" s="24" t="n">
        <f aca="false">E25+E28</f>
        <v>39900.1090763081</v>
      </c>
      <c r="F29" s="24" t="n">
        <f aca="false">F25+F28</f>
        <v>42677.2128428343</v>
      </c>
      <c r="G29" s="24" t="n">
        <f aca="false">G25+G28</f>
        <v>45462.9695416146</v>
      </c>
      <c r="H29" s="24" t="n">
        <f aca="false">H25+H28</f>
        <v>79992.3459050388</v>
      </c>
      <c r="I29" s="24" t="n">
        <f aca="false">I25+I28</f>
        <v>83726.9221624742</v>
      </c>
      <c r="J29" s="24" t="n">
        <f aca="false">J25+J28</f>
        <v>87472.8238546791</v>
      </c>
      <c r="K29" s="24" t="n">
        <f aca="false">K25+K28</f>
        <v>91229.9754787552</v>
      </c>
      <c r="L29" s="24" t="n">
        <f aca="false">L25+L28</f>
        <v>91419.9605622883</v>
      </c>
      <c r="M29" s="24" t="n">
        <f aca="false">M25+M28</f>
        <v>91608.6790785978</v>
      </c>
      <c r="N29" s="24" t="n">
        <f aca="false">N25+N28</f>
        <v>91796.1394714653</v>
      </c>
      <c r="O29" s="24" t="n">
        <f aca="false">O25+O28</f>
        <v>91982.3501283803</v>
      </c>
      <c r="P29" s="24" t="n">
        <f aca="false">P25+P28</f>
        <v>92138.1396934159</v>
      </c>
      <c r="Q29" s="24" t="n">
        <f aca="false">Q25+Q28</f>
        <v>92292.8906613513</v>
      </c>
      <c r="R29" s="24" t="n">
        <f aca="false">R25+R28</f>
        <v>92446.6099561671</v>
      </c>
      <c r="S29" s="24" t="n">
        <f aca="false">S25+S28</f>
        <v>92599.3044556841</v>
      </c>
      <c r="T29" s="24" t="n">
        <f aca="false">T25+T28</f>
        <v>92750.980991871</v>
      </c>
      <c r="U29" s="24" t="n">
        <f aca="false">U25+U28</f>
        <v>92901.64635115</v>
      </c>
      <c r="V29" s="24" t="n">
        <f aca="false">V25+V28</f>
        <v>93051.3072747005</v>
      </c>
      <c r="W29" s="24" t="n">
        <f aca="false">W25+W28</f>
        <v>93199.9704587606</v>
      </c>
      <c r="X29" s="24" t="n">
        <f aca="false">X25+X28</f>
        <v>93347.6425549271</v>
      </c>
      <c r="Y29" s="24" t="n">
        <f aca="false">Y25+Y28</f>
        <v>93494.3301704523</v>
      </c>
      <c r="Z29" s="23" t="n">
        <f aca="false">SUM(B29:M29)</f>
        <v>756692.482259858</v>
      </c>
      <c r="AA29" s="23" t="n">
        <f aca="false">SUM(N29:Y29)</f>
        <v>1112001.31216833</v>
      </c>
      <c r="AB29" s="23" t="n">
        <f aca="false">SUM(B29:Y29)</f>
        <v>1868693.79442818</v>
      </c>
    </row>
    <row r="30" customFormat="false" ht="15" hidden="false" customHeight="false" outlineLevel="0" collapsed="false">
      <c r="A30" s="4" t="s">
        <v>216</v>
      </c>
      <c r="B30" s="5"/>
      <c r="C30" s="5"/>
      <c r="D30" s="5"/>
      <c r="E30" s="5"/>
      <c r="F30" s="5"/>
      <c r="G30" s="5"/>
      <c r="H30" s="5"/>
      <c r="I30" s="5"/>
      <c r="J30" s="5"/>
      <c r="K30" s="5"/>
      <c r="L30" s="5"/>
      <c r="M30" s="5"/>
      <c r="N30" s="5"/>
      <c r="O30" s="5"/>
      <c r="P30" s="5"/>
      <c r="Q30" s="5"/>
      <c r="R30" s="5"/>
      <c r="S30" s="5"/>
      <c r="T30" s="5"/>
      <c r="U30" s="5"/>
      <c r="V30" s="5"/>
      <c r="W30" s="5"/>
      <c r="X30" s="5"/>
      <c r="Y30" s="5"/>
      <c r="Z30" s="5"/>
      <c r="AA30" s="5"/>
      <c r="AB30" s="5"/>
    </row>
    <row r="31" customFormat="false" ht="15" hidden="false" customHeight="false" outlineLevel="0" collapsed="false">
      <c r="A31" s="19" t="s">
        <v>217</v>
      </c>
      <c r="B31" s="20" t="n">
        <f aca="false">1+IF(B7&gt;0,1,0)</f>
        <v>1</v>
      </c>
      <c r="C31" s="20" t="n">
        <f aca="false">1+IF(C7&gt;0,1,0)</f>
        <v>1</v>
      </c>
      <c r="D31" s="20" t="n">
        <f aca="false">1+IF(D7&gt;0,1,0)</f>
        <v>1</v>
      </c>
      <c r="E31" s="20" t="n">
        <f aca="false">1+IF(E7&gt;0,1,0)</f>
        <v>1</v>
      </c>
      <c r="F31" s="20" t="n">
        <f aca="false">1+IF(F7&gt;0,1,0)</f>
        <v>1</v>
      </c>
      <c r="G31" s="20" t="n">
        <f aca="false">1+IF(G7&gt;0,1,0)</f>
        <v>1</v>
      </c>
      <c r="H31" s="20" t="n">
        <f aca="false">1+IF(H7&gt;0,1,0)</f>
        <v>2</v>
      </c>
      <c r="I31" s="20" t="n">
        <f aca="false">1+IF(I7&gt;0,1,0)</f>
        <v>2</v>
      </c>
      <c r="J31" s="20" t="n">
        <f aca="false">1+IF(J7&gt;0,1,0)</f>
        <v>2</v>
      </c>
      <c r="K31" s="20" t="n">
        <f aca="false">1+IF(K7&gt;0,1,0)</f>
        <v>2</v>
      </c>
      <c r="L31" s="20" t="n">
        <f aca="false">1+IF(L7&gt;0,1,0)</f>
        <v>2</v>
      </c>
      <c r="M31" s="20" t="n">
        <f aca="false">1+IF(M7&gt;0,1,0)</f>
        <v>2</v>
      </c>
      <c r="N31" s="20" t="n">
        <f aca="false">1+IF(N7&gt;0,1,0)</f>
        <v>2</v>
      </c>
      <c r="O31" s="20" t="n">
        <f aca="false">1+IF(O7&gt;0,1,0)</f>
        <v>2</v>
      </c>
      <c r="P31" s="20" t="n">
        <f aca="false">1+IF(P7&gt;0,1,0)</f>
        <v>2</v>
      </c>
      <c r="Q31" s="20" t="n">
        <f aca="false">1+IF(Q7&gt;0,1,0)</f>
        <v>2</v>
      </c>
      <c r="R31" s="20" t="n">
        <f aca="false">1+IF(R7&gt;0,1,0)</f>
        <v>2</v>
      </c>
      <c r="S31" s="20" t="n">
        <f aca="false">1+IF(S7&gt;0,1,0)</f>
        <v>2</v>
      </c>
      <c r="T31" s="20" t="n">
        <f aca="false">1+IF(T7&gt;0,1,0)</f>
        <v>2</v>
      </c>
      <c r="U31" s="20" t="n">
        <f aca="false">1+IF(U7&gt;0,1,0)</f>
        <v>2</v>
      </c>
      <c r="V31" s="20" t="n">
        <f aca="false">1+IF(V7&gt;0,1,0)</f>
        <v>2</v>
      </c>
      <c r="W31" s="20" t="n">
        <f aca="false">1+IF(W7&gt;0,1,0)</f>
        <v>2</v>
      </c>
      <c r="X31" s="20" t="n">
        <f aca="false">1+IF(X7&gt;0,1,0)</f>
        <v>2</v>
      </c>
      <c r="Y31" s="20" t="n">
        <f aca="false">1+IF(Y7&gt;0,1,0)</f>
        <v>2</v>
      </c>
      <c r="Z31" s="2"/>
      <c r="AA31" s="2"/>
      <c r="AB31" s="2"/>
    </row>
    <row r="32" customFormat="false" ht="15" hidden="false" customHeight="false" outlineLevel="0" collapsed="false">
      <c r="A32" s="19" t="s">
        <v>218</v>
      </c>
      <c r="B32" s="16" t="n">
        <f aca="false">IF(Assumptions!$B$18=1,B25*Assumptions!$B$19,B31*(Assumptions!$B$24*Assumptions!$B$25*Assumptions!$B$21+Assumptions!$B$25*Assumptions!$B$22+Assumptions!$B$24*Assumptions!$B$26*Assumptions!$B$21*1.5)*(1+Assumptions!$B$23))</f>
        <v>13904.01</v>
      </c>
      <c r="C32" s="16" t="n">
        <f aca="false">IF(Assumptions!$B$18=1,C25*Assumptions!$B$19,C31*(Assumptions!$B$24*Assumptions!$B$25*Assumptions!$B$21+Assumptions!$B$25*Assumptions!$B$22+Assumptions!$B$24*Assumptions!$B$26*Assumptions!$B$21*1.5)*(1+Assumptions!$B$23))</f>
        <v>13904.01</v>
      </c>
      <c r="D32" s="16" t="n">
        <f aca="false">IF(Assumptions!$B$18=1,D25*Assumptions!$B$19,D31*(Assumptions!$B$24*Assumptions!$B$25*Assumptions!$B$21+Assumptions!$B$25*Assumptions!$B$22+Assumptions!$B$24*Assumptions!$B$26*Assumptions!$B$21*1.5)*(1+Assumptions!$B$23))</f>
        <v>13904.01</v>
      </c>
      <c r="E32" s="16" t="n">
        <f aca="false">IF(Assumptions!$B$18=1,E25*Assumptions!$B$19,E31*(Assumptions!$B$24*Assumptions!$B$25*Assumptions!$B$21+Assumptions!$B$25*Assumptions!$B$22+Assumptions!$B$24*Assumptions!$B$26*Assumptions!$B$21*1.5)*(1+Assumptions!$B$23))</f>
        <v>13904.01</v>
      </c>
      <c r="F32" s="16" t="n">
        <f aca="false">IF(Assumptions!$B$18=1,F25*Assumptions!$B$19,F31*(Assumptions!$B$24*Assumptions!$B$25*Assumptions!$B$21+Assumptions!$B$25*Assumptions!$B$22+Assumptions!$B$24*Assumptions!$B$26*Assumptions!$B$21*1.5)*(1+Assumptions!$B$23))</f>
        <v>13904.01</v>
      </c>
      <c r="G32" s="16" t="n">
        <f aca="false">IF(Assumptions!$B$18=1,G25*Assumptions!$B$19,G31*(Assumptions!$B$24*Assumptions!$B$25*Assumptions!$B$21+Assumptions!$B$25*Assumptions!$B$22+Assumptions!$B$24*Assumptions!$B$26*Assumptions!$B$21*1.5)*(1+Assumptions!$B$23))</f>
        <v>13904.01</v>
      </c>
      <c r="H32" s="16" t="n">
        <f aca="false">IF(Assumptions!$B$18=1,H25*Assumptions!$B$19,H31*(Assumptions!$B$24*Assumptions!$B$25*Assumptions!$B$21+Assumptions!$B$25*Assumptions!$B$22+Assumptions!$B$24*Assumptions!$B$26*Assumptions!$B$21*1.5)*(1+Assumptions!$B$23))</f>
        <v>27808.02</v>
      </c>
      <c r="I32" s="16" t="n">
        <f aca="false">IF(Assumptions!$B$18=1,I25*Assumptions!$B$19,I31*(Assumptions!$B$24*Assumptions!$B$25*Assumptions!$B$21+Assumptions!$B$25*Assumptions!$B$22+Assumptions!$B$24*Assumptions!$B$26*Assumptions!$B$21*1.5)*(1+Assumptions!$B$23))</f>
        <v>27808.02</v>
      </c>
      <c r="J32" s="16" t="n">
        <f aca="false">IF(Assumptions!$B$18=1,J25*Assumptions!$B$19,J31*(Assumptions!$B$24*Assumptions!$B$25*Assumptions!$B$21+Assumptions!$B$25*Assumptions!$B$22+Assumptions!$B$24*Assumptions!$B$26*Assumptions!$B$21*1.5)*(1+Assumptions!$B$23))</f>
        <v>27808.02</v>
      </c>
      <c r="K32" s="16" t="n">
        <f aca="false">IF(Assumptions!$B$18=1,K25*Assumptions!$B$19,K31*(Assumptions!$B$24*Assumptions!$B$25*Assumptions!$B$21+Assumptions!$B$25*Assumptions!$B$22+Assumptions!$B$24*Assumptions!$B$26*Assumptions!$B$21*1.5)*(1+Assumptions!$B$23))</f>
        <v>27808.02</v>
      </c>
      <c r="L32" s="16" t="n">
        <f aca="false">IF(Assumptions!$B$18=1,L25*Assumptions!$B$19,L31*(Assumptions!$B$24*Assumptions!$B$25*Assumptions!$B$21+Assumptions!$B$25*Assumptions!$B$22+Assumptions!$B$24*Assumptions!$B$26*Assumptions!$B$21*1.5)*(1+Assumptions!$B$23))</f>
        <v>27808.02</v>
      </c>
      <c r="M32" s="16" t="n">
        <f aca="false">IF(Assumptions!$B$18=1,M25*Assumptions!$B$19,M31*(Assumptions!$B$24*Assumptions!$B$25*Assumptions!$B$21+Assumptions!$B$25*Assumptions!$B$22+Assumptions!$B$24*Assumptions!$B$26*Assumptions!$B$21*1.5)*(1+Assumptions!$B$23))</f>
        <v>27808.02</v>
      </c>
      <c r="N32" s="16" t="n">
        <f aca="false">IF(Assumptions!$B$18=1,N25*Assumptions!$B$19,N31*(Assumptions!$B$24*Assumptions!$B$25*Assumptions!$B$21+Assumptions!$B$25*Assumptions!$B$22+Assumptions!$B$24*Assumptions!$B$26*Assumptions!$B$21*1.5)*(1+Assumptions!$B$23))</f>
        <v>27808.02</v>
      </c>
      <c r="O32" s="16" t="n">
        <f aca="false">IF(Assumptions!$B$18=1,O25*Assumptions!$B$19,O31*(Assumptions!$B$24*Assumptions!$B$25*Assumptions!$B$21+Assumptions!$B$25*Assumptions!$B$22+Assumptions!$B$24*Assumptions!$B$26*Assumptions!$B$21*1.5)*(1+Assumptions!$B$23))</f>
        <v>27808.02</v>
      </c>
      <c r="P32" s="16" t="n">
        <f aca="false">IF(Assumptions!$B$18=1,P25*Assumptions!$B$19,P31*(Assumptions!$B$24*Assumptions!$B$25*Assumptions!$B$21+Assumptions!$B$25*Assumptions!$B$22+Assumptions!$B$24*Assumptions!$B$26*Assumptions!$B$21*1.5)*(1+Assumptions!$B$23))</f>
        <v>27808.02</v>
      </c>
      <c r="Q32" s="16" t="n">
        <f aca="false">IF(Assumptions!$B$18=1,Q25*Assumptions!$B$19,Q31*(Assumptions!$B$24*Assumptions!$B$25*Assumptions!$B$21+Assumptions!$B$25*Assumptions!$B$22+Assumptions!$B$24*Assumptions!$B$26*Assumptions!$B$21*1.5)*(1+Assumptions!$B$23))</f>
        <v>27808.02</v>
      </c>
      <c r="R32" s="16" t="n">
        <f aca="false">IF(Assumptions!$B$18=1,R25*Assumptions!$B$19,R31*(Assumptions!$B$24*Assumptions!$B$25*Assumptions!$B$21+Assumptions!$B$25*Assumptions!$B$22+Assumptions!$B$24*Assumptions!$B$26*Assumptions!$B$21*1.5)*(1+Assumptions!$B$23))</f>
        <v>27808.02</v>
      </c>
      <c r="S32" s="16" t="n">
        <f aca="false">IF(Assumptions!$B$18=1,S25*Assumptions!$B$19,S31*(Assumptions!$B$24*Assumptions!$B$25*Assumptions!$B$21+Assumptions!$B$25*Assumptions!$B$22+Assumptions!$B$24*Assumptions!$B$26*Assumptions!$B$21*1.5)*(1+Assumptions!$B$23))</f>
        <v>27808.02</v>
      </c>
      <c r="T32" s="16" t="n">
        <f aca="false">IF(Assumptions!$B$18=1,T25*Assumptions!$B$19,T31*(Assumptions!$B$24*Assumptions!$B$25*Assumptions!$B$21+Assumptions!$B$25*Assumptions!$B$22+Assumptions!$B$24*Assumptions!$B$26*Assumptions!$B$21*1.5)*(1+Assumptions!$B$23))</f>
        <v>27808.02</v>
      </c>
      <c r="U32" s="16" t="n">
        <f aca="false">IF(Assumptions!$B$18=1,U25*Assumptions!$B$19,U31*(Assumptions!$B$24*Assumptions!$B$25*Assumptions!$B$21+Assumptions!$B$25*Assumptions!$B$22+Assumptions!$B$24*Assumptions!$B$26*Assumptions!$B$21*1.5)*(1+Assumptions!$B$23))</f>
        <v>27808.02</v>
      </c>
      <c r="V32" s="16" t="n">
        <f aca="false">IF(Assumptions!$B$18=1,V25*Assumptions!$B$19,V31*(Assumptions!$B$24*Assumptions!$B$25*Assumptions!$B$21+Assumptions!$B$25*Assumptions!$B$22+Assumptions!$B$24*Assumptions!$B$26*Assumptions!$B$21*1.5)*(1+Assumptions!$B$23))</f>
        <v>27808.02</v>
      </c>
      <c r="W32" s="16" t="n">
        <f aca="false">IF(Assumptions!$B$18=1,W25*Assumptions!$B$19,W31*(Assumptions!$B$24*Assumptions!$B$25*Assumptions!$B$21+Assumptions!$B$25*Assumptions!$B$22+Assumptions!$B$24*Assumptions!$B$26*Assumptions!$B$21*1.5)*(1+Assumptions!$B$23))</f>
        <v>27808.02</v>
      </c>
      <c r="X32" s="16" t="n">
        <f aca="false">IF(Assumptions!$B$18=1,X25*Assumptions!$B$19,X31*(Assumptions!$B$24*Assumptions!$B$25*Assumptions!$B$21+Assumptions!$B$25*Assumptions!$B$22+Assumptions!$B$24*Assumptions!$B$26*Assumptions!$B$21*1.5)*(1+Assumptions!$B$23))</f>
        <v>27808.02</v>
      </c>
      <c r="Y32" s="16" t="n">
        <f aca="false">IF(Assumptions!$B$18=1,Y25*Assumptions!$B$19,Y31*(Assumptions!$B$24*Assumptions!$B$25*Assumptions!$B$21+Assumptions!$B$25*Assumptions!$B$22+Assumptions!$B$24*Assumptions!$B$26*Assumptions!$B$21*1.5)*(1+Assumptions!$B$23))</f>
        <v>27808.02</v>
      </c>
      <c r="Z32" s="16" t="n">
        <f aca="false">SUM(B32:M32)</f>
        <v>250272.18</v>
      </c>
      <c r="AA32" s="16" t="n">
        <f aca="false">SUM(N32:Y32)</f>
        <v>333696.24</v>
      </c>
      <c r="AB32" s="16" t="n">
        <f aca="false">SUM(B32:Y32)</f>
        <v>583968.42</v>
      </c>
    </row>
    <row r="33" customFormat="false" ht="15" hidden="false" customHeight="false" outlineLevel="0" collapsed="false">
      <c r="A33" s="19" t="s">
        <v>219</v>
      </c>
      <c r="B33" s="16" t="n">
        <f aca="false">B25*Assumptions!$B$20</f>
        <v>6339.53488372093</v>
      </c>
      <c r="C33" s="16" t="n">
        <f aca="false">C25*Assumptions!$B$20</f>
        <v>6874.41860465116</v>
      </c>
      <c r="D33" s="16" t="n">
        <f aca="false">D25*Assumptions!$B$20</f>
        <v>7409.3023255814</v>
      </c>
      <c r="E33" s="16" t="n">
        <f aca="false">E25*Assumptions!$B$20</f>
        <v>7944.18604651163</v>
      </c>
      <c r="F33" s="16" t="n">
        <f aca="false">F25*Assumptions!$B$20</f>
        <v>8479.06976744186</v>
      </c>
      <c r="G33" s="16" t="n">
        <f aca="false">G25*Assumptions!$B$20</f>
        <v>9013.95348837209</v>
      </c>
      <c r="H33" s="16" t="n">
        <f aca="false">H25*Assumptions!$B$20</f>
        <v>15888.3720930233</v>
      </c>
      <c r="I33" s="16" t="n">
        <f aca="false">I25*Assumptions!$B$20</f>
        <v>16601.5503875969</v>
      </c>
      <c r="J33" s="16" t="n">
        <f aca="false">J25*Assumptions!$B$20</f>
        <v>17314.7286821705</v>
      </c>
      <c r="K33" s="16" t="n">
        <f aca="false">K25*Assumptions!$B$20</f>
        <v>18027.9069767442</v>
      </c>
      <c r="L33" s="16" t="n">
        <f aca="false">L25*Assumptions!$B$20</f>
        <v>18027.9069767442</v>
      </c>
      <c r="M33" s="16" t="n">
        <f aca="false">M25*Assumptions!$B$20</f>
        <v>18027.9069767442</v>
      </c>
      <c r="N33" s="16" t="n">
        <f aca="false">N25*Assumptions!$B$20</f>
        <v>18027.9069767442</v>
      </c>
      <c r="O33" s="16" t="n">
        <f aca="false">O25*Assumptions!$B$20</f>
        <v>18027.9069767442</v>
      </c>
      <c r="P33" s="16" t="n">
        <f aca="false">P25*Assumptions!$B$20</f>
        <v>18027.9069767442</v>
      </c>
      <c r="Q33" s="16" t="n">
        <f aca="false">Q25*Assumptions!$B$20</f>
        <v>18027.9069767442</v>
      </c>
      <c r="R33" s="16" t="n">
        <f aca="false">R25*Assumptions!$B$20</f>
        <v>18027.9069767442</v>
      </c>
      <c r="S33" s="16" t="n">
        <f aca="false">S25*Assumptions!$B$20</f>
        <v>18027.9069767442</v>
      </c>
      <c r="T33" s="16" t="n">
        <f aca="false">T25*Assumptions!$B$20</f>
        <v>18027.9069767442</v>
      </c>
      <c r="U33" s="16" t="n">
        <f aca="false">U25*Assumptions!$B$20</f>
        <v>18027.9069767442</v>
      </c>
      <c r="V33" s="16" t="n">
        <f aca="false">V25*Assumptions!$B$20</f>
        <v>18027.9069767442</v>
      </c>
      <c r="W33" s="16" t="n">
        <f aca="false">W25*Assumptions!$B$20</f>
        <v>18027.9069767442</v>
      </c>
      <c r="X33" s="16" t="n">
        <f aca="false">X25*Assumptions!$B$20</f>
        <v>18027.9069767442</v>
      </c>
      <c r="Y33" s="16" t="n">
        <f aca="false">Y25*Assumptions!$B$20</f>
        <v>18027.9069767442</v>
      </c>
      <c r="Z33" s="16" t="n">
        <f aca="false">SUM(B33:M33)</f>
        <v>149948.837209302</v>
      </c>
      <c r="AA33" s="16" t="n">
        <f aca="false">SUM(N33:Y33)</f>
        <v>216334.88372093</v>
      </c>
      <c r="AB33" s="16" t="n">
        <f aca="false">SUM(B33:Y33)</f>
        <v>366283.720930233</v>
      </c>
    </row>
    <row r="34" customFormat="false" ht="15" hidden="false" customHeight="false" outlineLevel="0" collapsed="false">
      <c r="A34" s="19" t="s">
        <v>220</v>
      </c>
      <c r="B34" s="16" t="n">
        <f aca="false">B27/12*Assumptions!$B$31*Assumptions!$B$35</f>
        <v>0</v>
      </c>
      <c r="C34" s="16" t="n">
        <f aca="false">C27/12*Assumptions!$B$31*Assumptions!$B$35</f>
        <v>0</v>
      </c>
      <c r="D34" s="16" t="n">
        <f aca="false">D27/12*Assumptions!$B$31*Assumptions!$B$35</f>
        <v>23.953125</v>
      </c>
      <c r="E34" s="16" t="n">
        <f aca="false">E27/12*Assumptions!$B$31*Assumptions!$B$35</f>
        <v>50.3715625</v>
      </c>
      <c r="F34" s="16" t="n">
        <f aca="false">F27/12*Assumptions!$B$31*Assumptions!$B$35</f>
        <v>79.2388770833333</v>
      </c>
      <c r="G34" s="16" t="n">
        <f aca="false">G27/12*Assumptions!$B$31*Assumptions!$B$35</f>
        <v>110.538742902778</v>
      </c>
      <c r="H34" s="16" t="n">
        <f aca="false">H27/12*Assumptions!$B$31*Assumptions!$B$35</f>
        <v>154.754942950093</v>
      </c>
      <c r="I34" s="16" t="n">
        <f aca="false">I27/12*Assumptions!$B$31*Assumptions!$B$35</f>
        <v>202.176368330425</v>
      </c>
      <c r="J34" s="16" t="n">
        <f aca="false">J27/12*Assumptions!$B$31*Assumptions!$B$35</f>
        <v>252.781650874889</v>
      </c>
      <c r="K34" s="16" t="n">
        <f aca="false">K27/12*Assumptions!$B$31*Assumptions!$B$35</f>
        <v>306.549564869057</v>
      </c>
      <c r="L34" s="16" t="n">
        <f aca="false">L27/12*Assumptions!$B$31*Assumptions!$B$35</f>
        <v>359.959026103263</v>
      </c>
      <c r="M34" s="16" t="n">
        <f aca="false">M27/12*Assumptions!$B$31*Assumptions!$B$35</f>
        <v>413.012424262574</v>
      </c>
      <c r="N34" s="16" t="n">
        <f aca="false">N27/12*Assumptions!$B$31*Assumptions!$B$35</f>
        <v>465.712133100824</v>
      </c>
      <c r="O34" s="16" t="n">
        <f aca="false">O27/12*Assumptions!$B$31*Assumptions!$B$35</f>
        <v>518.060510546818</v>
      </c>
      <c r="P34" s="16" t="n">
        <f aca="false">P27/12*Assumptions!$B$31*Assumptions!$B$35</f>
        <v>561.85677380984</v>
      </c>
      <c r="Q34" s="16" t="n">
        <f aca="false">Q27/12*Assumptions!$B$31*Assumptions!$B$35</f>
        <v>605.361061984441</v>
      </c>
      <c r="R34" s="16" t="n">
        <f aca="false">R27/12*Assumptions!$B$31*Assumptions!$B$35</f>
        <v>648.575321571211</v>
      </c>
      <c r="S34" s="16" t="n">
        <f aca="false">S27/12*Assumptions!$B$31*Assumptions!$B$35</f>
        <v>691.50148609407</v>
      </c>
      <c r="T34" s="16" t="n">
        <f aca="false">T27/12*Assumptions!$B$31*Assumptions!$B$35</f>
        <v>734.141476186776</v>
      </c>
      <c r="U34" s="16" t="n">
        <f aca="false">U27/12*Assumptions!$B$31*Assumptions!$B$35</f>
        <v>776.497199678864</v>
      </c>
      <c r="V34" s="16" t="n">
        <f aca="false">V27/12*Assumptions!$B$31*Assumptions!$B$35</f>
        <v>818.570551681005</v>
      </c>
      <c r="W34" s="16" t="n">
        <f aca="false">W27/12*Assumptions!$B$31*Assumptions!$B$35</f>
        <v>860.363414669798</v>
      </c>
      <c r="X34" s="16" t="n">
        <f aca="false">X27/12*Assumptions!$B$31*Assumptions!$B$35</f>
        <v>901.877658572</v>
      </c>
      <c r="Y34" s="16" t="n">
        <f aca="false">Y27/12*Assumptions!$B$31*Assumptions!$B$35</f>
        <v>943.115140848186</v>
      </c>
      <c r="Z34" s="16" t="n">
        <f aca="false">SUM(B34:M34)</f>
        <v>1953.33628487641</v>
      </c>
      <c r="AA34" s="16" t="n">
        <f aca="false">SUM(N34:Y34)</f>
        <v>8525.63272874383</v>
      </c>
      <c r="AB34" s="16" t="n">
        <f aca="false">SUM(B34:Y34)</f>
        <v>10478.9690136202</v>
      </c>
    </row>
    <row r="35" customFormat="false" ht="15" hidden="false" customHeight="false" outlineLevel="0" collapsed="false">
      <c r="A35" s="17" t="s">
        <v>221</v>
      </c>
      <c r="B35" s="24" t="n">
        <f aca="false">B32+B33+B34</f>
        <v>20243.5448837209</v>
      </c>
      <c r="C35" s="24" t="n">
        <f aca="false">C32+C33+C34</f>
        <v>20778.4286046512</v>
      </c>
      <c r="D35" s="24" t="n">
        <f aca="false">D32+D33+D34</f>
        <v>21337.2654505814</v>
      </c>
      <c r="E35" s="24" t="n">
        <f aca="false">E32+E33+E34</f>
        <v>21898.5676090116</v>
      </c>
      <c r="F35" s="24" t="n">
        <f aca="false">F32+F33+F34</f>
        <v>22462.3186445252</v>
      </c>
      <c r="G35" s="24" t="n">
        <f aca="false">G32+G33+G34</f>
        <v>23028.5022312749</v>
      </c>
      <c r="H35" s="24" t="n">
        <f aca="false">H32+H33+H34</f>
        <v>43851.1470359734</v>
      </c>
      <c r="I35" s="24" t="n">
        <f aca="false">I32+I33+I34</f>
        <v>44611.7467559273</v>
      </c>
      <c r="J35" s="24" t="n">
        <f aca="false">J32+J33+J34</f>
        <v>45375.5303330454</v>
      </c>
      <c r="K35" s="24" t="n">
        <f aca="false">K32+K33+K34</f>
        <v>46142.4765416132</v>
      </c>
      <c r="L35" s="24" t="n">
        <f aca="false">L32+L33+L34</f>
        <v>46195.8860028475</v>
      </c>
      <c r="M35" s="24" t="n">
        <f aca="false">M32+M33+M34</f>
        <v>46248.9394010068</v>
      </c>
      <c r="N35" s="24" t="n">
        <f aca="false">N32+N33+N34</f>
        <v>46301.639109845</v>
      </c>
      <c r="O35" s="24" t="n">
        <f aca="false">O32+O33+O34</f>
        <v>46353.987487291</v>
      </c>
      <c r="P35" s="24" t="n">
        <f aca="false">P32+P33+P34</f>
        <v>46397.783750554</v>
      </c>
      <c r="Q35" s="24" t="n">
        <f aca="false">Q32+Q33+Q34</f>
        <v>46441.2880387286</v>
      </c>
      <c r="R35" s="24" t="n">
        <f aca="false">R32+R33+R34</f>
        <v>46484.5022983154</v>
      </c>
      <c r="S35" s="24" t="n">
        <f aca="false">S32+S33+S34</f>
        <v>46527.4284628383</v>
      </c>
      <c r="T35" s="24" t="n">
        <f aca="false">T32+T33+T34</f>
        <v>46570.068452931</v>
      </c>
      <c r="U35" s="24" t="n">
        <f aca="false">U32+U33+U34</f>
        <v>46612.4241764231</v>
      </c>
      <c r="V35" s="24" t="n">
        <f aca="false">V32+V33+V34</f>
        <v>46654.4975284252</v>
      </c>
      <c r="W35" s="24" t="n">
        <f aca="false">W32+W33+W34</f>
        <v>46696.290391414</v>
      </c>
      <c r="X35" s="24" t="n">
        <f aca="false">X32+X33+X34</f>
        <v>46737.8046353162</v>
      </c>
      <c r="Y35" s="24" t="n">
        <f aca="false">Y32+Y33+Y34</f>
        <v>46779.0421175924</v>
      </c>
      <c r="Z35" s="23" t="n">
        <f aca="false">SUM(B35:M35)</f>
        <v>402174.353494179</v>
      </c>
      <c r="AA35" s="23" t="n">
        <f aca="false">SUM(N35:Y35)</f>
        <v>558556.756449674</v>
      </c>
      <c r="AB35" s="23" t="n">
        <f aca="false">SUM(B35:Y35)</f>
        <v>960731.109943853</v>
      </c>
    </row>
    <row r="36" customFormat="false" ht="15" hidden="false" customHeight="false" outlineLevel="0" collapsed="false">
      <c r="A36" s="17" t="s">
        <v>222</v>
      </c>
      <c r="B36" s="23" t="n">
        <f aca="false">B29-B35</f>
        <v>11454.1295348837</v>
      </c>
      <c r="C36" s="23" t="n">
        <f aca="false">C29-C35</f>
        <v>13593.6644186047</v>
      </c>
      <c r="D36" s="23" t="n">
        <f aca="false">D29-D35</f>
        <v>15794.4508648256</v>
      </c>
      <c r="E36" s="23" t="n">
        <f aca="false">E29-E35</f>
        <v>18001.5414672965</v>
      </c>
      <c r="F36" s="23" t="n">
        <f aca="false">F29-F35</f>
        <v>20214.8941983091</v>
      </c>
      <c r="G36" s="23" t="n">
        <f aca="false">G29-G35</f>
        <v>22434.4673103398</v>
      </c>
      <c r="H36" s="23" t="n">
        <f aca="false">H29-H35</f>
        <v>36141.1988690654</v>
      </c>
      <c r="I36" s="23" t="n">
        <f aca="false">I29-I35</f>
        <v>39115.1754065468</v>
      </c>
      <c r="J36" s="23" t="n">
        <f aca="false">J29-J35</f>
        <v>42097.2935216337</v>
      </c>
      <c r="K36" s="23" t="n">
        <f aca="false">K29-K35</f>
        <v>45087.4989371419</v>
      </c>
      <c r="L36" s="23" t="n">
        <f aca="false">L29-L35</f>
        <v>45224.0745594408</v>
      </c>
      <c r="M36" s="23" t="n">
        <f aca="false">M29-M35</f>
        <v>45359.739677591</v>
      </c>
      <c r="N36" s="23" t="n">
        <f aca="false">N29-N35</f>
        <v>45494.5003616203</v>
      </c>
      <c r="O36" s="23" t="n">
        <f aca="false">O29-O35</f>
        <v>45628.3626410893</v>
      </c>
      <c r="P36" s="23" t="n">
        <f aca="false">P29-P35</f>
        <v>45740.3559428619</v>
      </c>
      <c r="Q36" s="23" t="n">
        <f aca="false">Q29-Q35</f>
        <v>45851.6026226227</v>
      </c>
      <c r="R36" s="23" t="n">
        <f aca="false">R29-R35</f>
        <v>45962.1076578517</v>
      </c>
      <c r="S36" s="23" t="n">
        <f aca="false">S29-S35</f>
        <v>46071.8759928459</v>
      </c>
      <c r="T36" s="23" t="n">
        <f aca="false">T29-T35</f>
        <v>46180.9125389401</v>
      </c>
      <c r="U36" s="23" t="n">
        <f aca="false">U29-U35</f>
        <v>46289.222174727</v>
      </c>
      <c r="V36" s="23" t="n">
        <f aca="false">V29-V35</f>
        <v>46396.8097462753</v>
      </c>
      <c r="W36" s="23" t="n">
        <f aca="false">W29-W35</f>
        <v>46503.6800673467</v>
      </c>
      <c r="X36" s="23" t="n">
        <f aca="false">X29-X35</f>
        <v>46609.8379196109</v>
      </c>
      <c r="Y36" s="23" t="n">
        <f aca="false">Y29-Y35</f>
        <v>46715.28805286</v>
      </c>
      <c r="Z36" s="23" t="n">
        <f aca="false">SUM(B36:M36)</f>
        <v>354518.128765679</v>
      </c>
      <c r="AA36" s="23" t="n">
        <f aca="false">SUM(N36:Y36)</f>
        <v>553444.555718652</v>
      </c>
      <c r="AB36" s="23" t="n">
        <f aca="false">SUM(B36:Y36)</f>
        <v>907962.684484331</v>
      </c>
    </row>
    <row r="37" customFormat="false" ht="15" hidden="false" customHeight="false" outlineLevel="0" collapsed="false">
      <c r="A37" s="19" t="s">
        <v>223</v>
      </c>
      <c r="B37" s="22" t="n">
        <f aca="false">IF(B29=0,0,B36/B29)</f>
        <v>0.361355517241379</v>
      </c>
      <c r="C37" s="22" t="n">
        <f aca="false">IF(C29=0,0,C36/C29)</f>
        <v>0.39548550067659</v>
      </c>
      <c r="D37" s="22" t="n">
        <f aca="false">IF(D29=0,0,D36/D29)</f>
        <v>0.42536280118762</v>
      </c>
      <c r="E37" s="22" t="n">
        <f aca="false">IF(E29=0,0,E36/E29)</f>
        <v>0.451165219445113</v>
      </c>
      <c r="F37" s="22" t="n">
        <f aca="false">IF(F29=0,0,F36/F29)</f>
        <v>0.473669503037926</v>
      </c>
      <c r="G37" s="22" t="n">
        <f aca="false">IF(G29=0,0,G36/G29)</f>
        <v>0.493466826662177</v>
      </c>
      <c r="H37" s="22" t="n">
        <f aca="false">IF(H29=0,0,H36/H29)</f>
        <v>0.451808213150414</v>
      </c>
      <c r="I37" s="22" t="n">
        <f aca="false">IF(I29=0,0,I36/I29)</f>
        <v>0.467175603692237</v>
      </c>
      <c r="J37" s="22" t="n">
        <f aca="false">IF(J29=0,0,J36/J29)</f>
        <v>0.481261398300928</v>
      </c>
      <c r="K37" s="22" t="n">
        <f aca="false">IF(K29=0,0,K36/K29)</f>
        <v>0.494218031962987</v>
      </c>
      <c r="L37" s="22" t="n">
        <f aca="false">IF(L29=0,0,L36/L29)</f>
        <v>0.494684905586103</v>
      </c>
      <c r="M37" s="22" t="n">
        <f aca="false">IF(M29=0,0,M36/M29)</f>
        <v>0.495146749563691</v>
      </c>
      <c r="N37" s="22" t="n">
        <f aca="false">IF(N29=0,0,N36/N29)</f>
        <v>0.495603634570735</v>
      </c>
      <c r="O37" s="22" t="n">
        <f aca="false">IF(O29=0,0,O36/O29)</f>
        <v>0.496055629992119</v>
      </c>
      <c r="P37" s="22" t="n">
        <f aca="false">IF(P29=0,0,P36/P29)</f>
        <v>0.496432379631933</v>
      </c>
      <c r="Q37" s="22" t="n">
        <f aca="false">IF(Q29=0,0,Q36/Q29)</f>
        <v>0.496805358398245</v>
      </c>
      <c r="R37" s="22" t="n">
        <f aca="false">IF(R29=0,0,R36/R29)</f>
        <v>0.497174614403322</v>
      </c>
      <c r="S37" s="22" t="n">
        <f aca="false">IF(S29=0,0,S36/S29)</f>
        <v>0.497540194968687</v>
      </c>
      <c r="T37" s="22" t="n">
        <f aca="false">IF(T29=0,0,T36/T29)</f>
        <v>0.497902146641312</v>
      </c>
      <c r="U37" s="22" t="n">
        <f aca="false">IF(U29=0,0,U36/U29)</f>
        <v>0.498260515209416</v>
      </c>
      <c r="V37" s="22" t="n">
        <f aca="false">IF(V29=0,0,V36/V29)</f>
        <v>0.498615345717878</v>
      </c>
      <c r="W37" s="22" t="n">
        <f aca="false">IF(W29=0,0,W36/W29)</f>
        <v>0.498966682483271</v>
      </c>
      <c r="X37" s="22" t="n">
        <f aca="false">IF(X29=0,0,X36/X29)</f>
        <v>0.499314569108534</v>
      </c>
      <c r="Y37" s="22" t="n">
        <f aca="false">IF(Y29=0,0,Y36/Y29)</f>
        <v>0.499659048497293</v>
      </c>
      <c r="Z37" s="2"/>
      <c r="AA37" s="2"/>
      <c r="AB37" s="2"/>
    </row>
    <row r="38" customFormat="false" ht="15" hidden="false" customHeight="false" outlineLevel="0" collapsed="false">
      <c r="A38" s="4" t="s">
        <v>224</v>
      </c>
      <c r="B38" s="5"/>
      <c r="C38" s="5"/>
      <c r="D38" s="5"/>
      <c r="E38" s="5"/>
      <c r="F38" s="5"/>
      <c r="G38" s="5"/>
      <c r="H38" s="5"/>
      <c r="I38" s="5"/>
      <c r="J38" s="5"/>
      <c r="K38" s="5"/>
      <c r="L38" s="5"/>
      <c r="M38" s="5"/>
      <c r="N38" s="5"/>
      <c r="O38" s="5"/>
      <c r="P38" s="5"/>
      <c r="Q38" s="5"/>
      <c r="R38" s="5"/>
      <c r="S38" s="5"/>
      <c r="T38" s="5"/>
      <c r="U38" s="5"/>
      <c r="V38" s="5"/>
      <c r="W38" s="5"/>
      <c r="X38" s="5"/>
      <c r="Y38" s="5"/>
      <c r="Z38" s="5"/>
      <c r="AA38" s="5"/>
      <c r="AB38" s="5"/>
    </row>
    <row r="39" customFormat="false" ht="15" hidden="false" customHeight="false" outlineLevel="0" collapsed="false">
      <c r="A39" s="19" t="s">
        <v>225</v>
      </c>
      <c r="B39" s="16" t="n">
        <f aca="false">Assumptions!$B$76</f>
        <v>6000</v>
      </c>
      <c r="C39" s="16" t="n">
        <f aca="false">Assumptions!$B$76</f>
        <v>6000</v>
      </c>
      <c r="D39" s="16" t="n">
        <f aca="false">Assumptions!$B$76</f>
        <v>6000</v>
      </c>
      <c r="E39" s="16" t="n">
        <f aca="false">Assumptions!$B$76</f>
        <v>6000</v>
      </c>
      <c r="F39" s="16" t="n">
        <f aca="false">Assumptions!$B$76</f>
        <v>6000</v>
      </c>
      <c r="G39" s="16" t="n">
        <f aca="false">Assumptions!$B$76</f>
        <v>6000</v>
      </c>
      <c r="H39" s="16" t="n">
        <f aca="false">Assumptions!$B$76</f>
        <v>6000</v>
      </c>
      <c r="I39" s="16" t="n">
        <f aca="false">Assumptions!$B$76</f>
        <v>6000</v>
      </c>
      <c r="J39" s="16" t="n">
        <f aca="false">Assumptions!$B$76</f>
        <v>6000</v>
      </c>
      <c r="K39" s="16" t="n">
        <f aca="false">Assumptions!$B$76</f>
        <v>6000</v>
      </c>
      <c r="L39" s="16" t="n">
        <f aca="false">Assumptions!$B$76</f>
        <v>6000</v>
      </c>
      <c r="M39" s="16" t="n">
        <f aca="false">Assumptions!$B$76</f>
        <v>6000</v>
      </c>
      <c r="N39" s="16" t="n">
        <f aca="false">Assumptions!$B$76</f>
        <v>6000</v>
      </c>
      <c r="O39" s="16" t="n">
        <f aca="false">Assumptions!$B$76</f>
        <v>6000</v>
      </c>
      <c r="P39" s="16" t="n">
        <f aca="false">Assumptions!$B$76</f>
        <v>6000</v>
      </c>
      <c r="Q39" s="16" t="n">
        <f aca="false">Assumptions!$B$76</f>
        <v>6000</v>
      </c>
      <c r="R39" s="16" t="n">
        <f aca="false">Assumptions!$B$76</f>
        <v>6000</v>
      </c>
      <c r="S39" s="16" t="n">
        <f aca="false">Assumptions!$B$76</f>
        <v>6000</v>
      </c>
      <c r="T39" s="16" t="n">
        <f aca="false">Assumptions!$B$76</f>
        <v>6000</v>
      </c>
      <c r="U39" s="16" t="n">
        <f aca="false">Assumptions!$B$76</f>
        <v>6000</v>
      </c>
      <c r="V39" s="16" t="n">
        <f aca="false">Assumptions!$B$76</f>
        <v>6000</v>
      </c>
      <c r="W39" s="16" t="n">
        <f aca="false">Assumptions!$B$76</f>
        <v>6000</v>
      </c>
      <c r="X39" s="16" t="n">
        <f aca="false">Assumptions!$B$76</f>
        <v>6000</v>
      </c>
      <c r="Y39" s="16" t="n">
        <f aca="false">Assumptions!$B$76</f>
        <v>6000</v>
      </c>
      <c r="Z39" s="16" t="n">
        <f aca="false">SUM(B39:M39)</f>
        <v>72000</v>
      </c>
      <c r="AA39" s="16" t="n">
        <f aca="false">SUM(N39:Y39)</f>
        <v>72000</v>
      </c>
      <c r="AB39" s="16" t="n">
        <f aca="false">SUM(B39:Y39)</f>
        <v>144000</v>
      </c>
    </row>
    <row r="40" customFormat="false" ht="15" hidden="false" customHeight="false" outlineLevel="0" collapsed="false">
      <c r="A40" s="19" t="s">
        <v>226</v>
      </c>
      <c r="B40" s="16" t="n">
        <f aca="false">Assumptions!$B$77</f>
        <v>900</v>
      </c>
      <c r="C40" s="16" t="n">
        <f aca="false">Assumptions!$B$77</f>
        <v>900</v>
      </c>
      <c r="D40" s="16" t="n">
        <f aca="false">Assumptions!$B$77</f>
        <v>900</v>
      </c>
      <c r="E40" s="16" t="n">
        <f aca="false">Assumptions!$B$77</f>
        <v>900</v>
      </c>
      <c r="F40" s="16" t="n">
        <f aca="false">Assumptions!$B$77</f>
        <v>900</v>
      </c>
      <c r="G40" s="16" t="n">
        <f aca="false">Assumptions!$B$77</f>
        <v>900</v>
      </c>
      <c r="H40" s="16" t="n">
        <f aca="false">Assumptions!$B$77</f>
        <v>900</v>
      </c>
      <c r="I40" s="16" t="n">
        <f aca="false">Assumptions!$B$77</f>
        <v>900</v>
      </c>
      <c r="J40" s="16" t="n">
        <f aca="false">Assumptions!$B$77</f>
        <v>900</v>
      </c>
      <c r="K40" s="16" t="n">
        <f aca="false">Assumptions!$B$77</f>
        <v>900</v>
      </c>
      <c r="L40" s="16" t="n">
        <f aca="false">Assumptions!$B$77</f>
        <v>900</v>
      </c>
      <c r="M40" s="16" t="n">
        <f aca="false">Assumptions!$B$77</f>
        <v>900</v>
      </c>
      <c r="N40" s="16" t="n">
        <f aca="false">Assumptions!$B$77</f>
        <v>900</v>
      </c>
      <c r="O40" s="16" t="n">
        <f aca="false">Assumptions!$B$77</f>
        <v>900</v>
      </c>
      <c r="P40" s="16" t="n">
        <f aca="false">Assumptions!$B$77</f>
        <v>900</v>
      </c>
      <c r="Q40" s="16" t="n">
        <f aca="false">Assumptions!$B$77</f>
        <v>900</v>
      </c>
      <c r="R40" s="16" t="n">
        <f aca="false">Assumptions!$B$77</f>
        <v>900</v>
      </c>
      <c r="S40" s="16" t="n">
        <f aca="false">Assumptions!$B$77</f>
        <v>900</v>
      </c>
      <c r="T40" s="16" t="n">
        <f aca="false">Assumptions!$B$77</f>
        <v>900</v>
      </c>
      <c r="U40" s="16" t="n">
        <f aca="false">Assumptions!$B$77</f>
        <v>900</v>
      </c>
      <c r="V40" s="16" t="n">
        <f aca="false">Assumptions!$B$77</f>
        <v>900</v>
      </c>
      <c r="W40" s="16" t="n">
        <f aca="false">Assumptions!$B$77</f>
        <v>900</v>
      </c>
      <c r="X40" s="16" t="n">
        <f aca="false">Assumptions!$B$77</f>
        <v>900</v>
      </c>
      <c r="Y40" s="16" t="n">
        <f aca="false">Assumptions!$B$77</f>
        <v>900</v>
      </c>
      <c r="Z40" s="16" t="n">
        <f aca="false">SUM(B40:M40)</f>
        <v>10800</v>
      </c>
      <c r="AA40" s="16" t="n">
        <f aca="false">SUM(N40:Y40)</f>
        <v>10800</v>
      </c>
      <c r="AB40" s="16" t="n">
        <f aca="false">SUM(B40:Y40)</f>
        <v>21600</v>
      </c>
    </row>
    <row r="41" customFormat="false" ht="15" hidden="false" customHeight="false" outlineLevel="0" collapsed="false">
      <c r="A41" s="19" t="s">
        <v>227</v>
      </c>
      <c r="B41" s="16" t="n">
        <f aca="false">Assumptions!$B$78</f>
        <v>1800</v>
      </c>
      <c r="C41" s="16" t="n">
        <f aca="false">Assumptions!$B$78</f>
        <v>1800</v>
      </c>
      <c r="D41" s="16" t="n">
        <f aca="false">Assumptions!$B$78</f>
        <v>1800</v>
      </c>
      <c r="E41" s="16" t="n">
        <f aca="false">Assumptions!$B$78</f>
        <v>1800</v>
      </c>
      <c r="F41" s="16" t="n">
        <f aca="false">Assumptions!$B$78</f>
        <v>1800</v>
      </c>
      <c r="G41" s="16" t="n">
        <f aca="false">Assumptions!$B$78</f>
        <v>1800</v>
      </c>
      <c r="H41" s="16" t="n">
        <f aca="false">Assumptions!$B$78</f>
        <v>1800</v>
      </c>
      <c r="I41" s="16" t="n">
        <f aca="false">Assumptions!$B$78</f>
        <v>1800</v>
      </c>
      <c r="J41" s="16" t="n">
        <f aca="false">Assumptions!$B$78</f>
        <v>1800</v>
      </c>
      <c r="K41" s="16" t="n">
        <f aca="false">Assumptions!$B$78</f>
        <v>1800</v>
      </c>
      <c r="L41" s="16" t="n">
        <f aca="false">Assumptions!$B$78</f>
        <v>1800</v>
      </c>
      <c r="M41" s="16" t="n">
        <f aca="false">Assumptions!$B$78</f>
        <v>1800</v>
      </c>
      <c r="N41" s="16" t="n">
        <f aca="false">Assumptions!$B$78</f>
        <v>1800</v>
      </c>
      <c r="O41" s="16" t="n">
        <f aca="false">Assumptions!$B$78</f>
        <v>1800</v>
      </c>
      <c r="P41" s="16" t="n">
        <f aca="false">Assumptions!$B$78</f>
        <v>1800</v>
      </c>
      <c r="Q41" s="16" t="n">
        <f aca="false">Assumptions!$B$78</f>
        <v>1800</v>
      </c>
      <c r="R41" s="16" t="n">
        <f aca="false">Assumptions!$B$78</f>
        <v>1800</v>
      </c>
      <c r="S41" s="16" t="n">
        <f aca="false">Assumptions!$B$78</f>
        <v>1800</v>
      </c>
      <c r="T41" s="16" t="n">
        <f aca="false">Assumptions!$B$78</f>
        <v>1800</v>
      </c>
      <c r="U41" s="16" t="n">
        <f aca="false">Assumptions!$B$78</f>
        <v>1800</v>
      </c>
      <c r="V41" s="16" t="n">
        <f aca="false">Assumptions!$B$78</f>
        <v>1800</v>
      </c>
      <c r="W41" s="16" t="n">
        <f aca="false">Assumptions!$B$78</f>
        <v>1800</v>
      </c>
      <c r="X41" s="16" t="n">
        <f aca="false">Assumptions!$B$78</f>
        <v>1800</v>
      </c>
      <c r="Y41" s="16" t="n">
        <f aca="false">Assumptions!$B$78</f>
        <v>1800</v>
      </c>
      <c r="Z41" s="16" t="n">
        <f aca="false">SUM(B41:M41)</f>
        <v>21600</v>
      </c>
      <c r="AA41" s="16" t="n">
        <f aca="false">SUM(N41:Y41)</f>
        <v>21600</v>
      </c>
      <c r="AB41" s="16" t="n">
        <f aca="false">SUM(B41:Y41)</f>
        <v>43200</v>
      </c>
    </row>
    <row r="42" customFormat="false" ht="15" hidden="false" customHeight="false" outlineLevel="0" collapsed="false">
      <c r="A42" s="19" t="s">
        <v>228</v>
      </c>
      <c r="B42" s="16" t="n">
        <f aca="false">Assumptions!$B$79</f>
        <v>350</v>
      </c>
      <c r="C42" s="16" t="n">
        <f aca="false">Assumptions!$B$79</f>
        <v>350</v>
      </c>
      <c r="D42" s="16" t="n">
        <f aca="false">Assumptions!$B$79</f>
        <v>350</v>
      </c>
      <c r="E42" s="16" t="n">
        <f aca="false">Assumptions!$B$79</f>
        <v>350</v>
      </c>
      <c r="F42" s="16" t="n">
        <f aca="false">Assumptions!$B$79</f>
        <v>350</v>
      </c>
      <c r="G42" s="16" t="n">
        <f aca="false">Assumptions!$B$79</f>
        <v>350</v>
      </c>
      <c r="H42" s="16" t="n">
        <f aca="false">Assumptions!$B$79</f>
        <v>350</v>
      </c>
      <c r="I42" s="16" t="n">
        <f aca="false">Assumptions!$B$79</f>
        <v>350</v>
      </c>
      <c r="J42" s="16" t="n">
        <f aca="false">Assumptions!$B$79</f>
        <v>350</v>
      </c>
      <c r="K42" s="16" t="n">
        <f aca="false">Assumptions!$B$79</f>
        <v>350</v>
      </c>
      <c r="L42" s="16" t="n">
        <f aca="false">Assumptions!$B$79</f>
        <v>350</v>
      </c>
      <c r="M42" s="16" t="n">
        <f aca="false">Assumptions!$B$79</f>
        <v>350</v>
      </c>
      <c r="N42" s="16" t="n">
        <f aca="false">Assumptions!$B$79</f>
        <v>350</v>
      </c>
      <c r="O42" s="16" t="n">
        <f aca="false">Assumptions!$B$79</f>
        <v>350</v>
      </c>
      <c r="P42" s="16" t="n">
        <f aca="false">Assumptions!$B$79</f>
        <v>350</v>
      </c>
      <c r="Q42" s="16" t="n">
        <f aca="false">Assumptions!$B$79</f>
        <v>350</v>
      </c>
      <c r="R42" s="16" t="n">
        <f aca="false">Assumptions!$B$79</f>
        <v>350</v>
      </c>
      <c r="S42" s="16" t="n">
        <f aca="false">Assumptions!$B$79</f>
        <v>350</v>
      </c>
      <c r="T42" s="16" t="n">
        <f aca="false">Assumptions!$B$79</f>
        <v>350</v>
      </c>
      <c r="U42" s="16" t="n">
        <f aca="false">Assumptions!$B$79</f>
        <v>350</v>
      </c>
      <c r="V42" s="16" t="n">
        <f aca="false">Assumptions!$B$79</f>
        <v>350</v>
      </c>
      <c r="W42" s="16" t="n">
        <f aca="false">Assumptions!$B$79</f>
        <v>350</v>
      </c>
      <c r="X42" s="16" t="n">
        <f aca="false">Assumptions!$B$79</f>
        <v>350</v>
      </c>
      <c r="Y42" s="16" t="n">
        <f aca="false">Assumptions!$B$79</f>
        <v>350</v>
      </c>
      <c r="Z42" s="16" t="n">
        <f aca="false">SUM(B42:M42)</f>
        <v>4200</v>
      </c>
      <c r="AA42" s="16" t="n">
        <f aca="false">SUM(N42:Y42)</f>
        <v>4200</v>
      </c>
      <c r="AB42" s="16" t="n">
        <f aca="false">SUM(B42:Y42)</f>
        <v>8400</v>
      </c>
    </row>
    <row r="43" customFormat="false" ht="15" hidden="false" customHeight="false" outlineLevel="0" collapsed="false">
      <c r="A43" s="19" t="s">
        <v>229</v>
      </c>
      <c r="B43" s="16" t="n">
        <f aca="false">Assumptions!$B$80</f>
        <v>250</v>
      </c>
      <c r="C43" s="16" t="n">
        <f aca="false">Assumptions!$B$80</f>
        <v>250</v>
      </c>
      <c r="D43" s="16" t="n">
        <f aca="false">Assumptions!$B$80</f>
        <v>250</v>
      </c>
      <c r="E43" s="16" t="n">
        <f aca="false">Assumptions!$B$80</f>
        <v>250</v>
      </c>
      <c r="F43" s="16" t="n">
        <f aca="false">Assumptions!$B$80</f>
        <v>250</v>
      </c>
      <c r="G43" s="16" t="n">
        <f aca="false">Assumptions!$B$80</f>
        <v>250</v>
      </c>
      <c r="H43" s="16" t="n">
        <f aca="false">Assumptions!$B$80</f>
        <v>250</v>
      </c>
      <c r="I43" s="16" t="n">
        <f aca="false">Assumptions!$B$80</f>
        <v>250</v>
      </c>
      <c r="J43" s="16" t="n">
        <f aca="false">Assumptions!$B$80</f>
        <v>250</v>
      </c>
      <c r="K43" s="16" t="n">
        <f aca="false">Assumptions!$B$80</f>
        <v>250</v>
      </c>
      <c r="L43" s="16" t="n">
        <f aca="false">Assumptions!$B$80</f>
        <v>250</v>
      </c>
      <c r="M43" s="16" t="n">
        <f aca="false">Assumptions!$B$80</f>
        <v>250</v>
      </c>
      <c r="N43" s="16" t="n">
        <f aca="false">Assumptions!$B$80</f>
        <v>250</v>
      </c>
      <c r="O43" s="16" t="n">
        <f aca="false">Assumptions!$B$80</f>
        <v>250</v>
      </c>
      <c r="P43" s="16" t="n">
        <f aca="false">Assumptions!$B$80</f>
        <v>250</v>
      </c>
      <c r="Q43" s="16" t="n">
        <f aca="false">Assumptions!$B$80</f>
        <v>250</v>
      </c>
      <c r="R43" s="16" t="n">
        <f aca="false">Assumptions!$B$80</f>
        <v>250</v>
      </c>
      <c r="S43" s="16" t="n">
        <f aca="false">Assumptions!$B$80</f>
        <v>250</v>
      </c>
      <c r="T43" s="16" t="n">
        <f aca="false">Assumptions!$B$80</f>
        <v>250</v>
      </c>
      <c r="U43" s="16" t="n">
        <f aca="false">Assumptions!$B$80</f>
        <v>250</v>
      </c>
      <c r="V43" s="16" t="n">
        <f aca="false">Assumptions!$B$80</f>
        <v>250</v>
      </c>
      <c r="W43" s="16" t="n">
        <f aca="false">Assumptions!$B$80</f>
        <v>250</v>
      </c>
      <c r="X43" s="16" t="n">
        <f aca="false">Assumptions!$B$80</f>
        <v>250</v>
      </c>
      <c r="Y43" s="16" t="n">
        <f aca="false">Assumptions!$B$80</f>
        <v>250</v>
      </c>
      <c r="Z43" s="16" t="n">
        <f aca="false">SUM(B43:M43)</f>
        <v>3000</v>
      </c>
      <c r="AA43" s="16" t="n">
        <f aca="false">SUM(N43:Y43)</f>
        <v>3000</v>
      </c>
      <c r="AB43" s="16" t="n">
        <f aca="false">SUM(B43:Y43)</f>
        <v>6000</v>
      </c>
    </row>
    <row r="44" customFormat="false" ht="15" hidden="false" customHeight="false" outlineLevel="0" collapsed="false">
      <c r="A44" s="19" t="s">
        <v>230</v>
      </c>
      <c r="B44" s="16" t="n">
        <f aca="false">Assumptions!$B$81</f>
        <v>600</v>
      </c>
      <c r="C44" s="16" t="n">
        <f aca="false">Assumptions!$B$81</f>
        <v>600</v>
      </c>
      <c r="D44" s="16" t="n">
        <f aca="false">Assumptions!$B$81</f>
        <v>600</v>
      </c>
      <c r="E44" s="16" t="n">
        <f aca="false">Assumptions!$B$81</f>
        <v>600</v>
      </c>
      <c r="F44" s="16" t="n">
        <f aca="false">Assumptions!$B$81</f>
        <v>600</v>
      </c>
      <c r="G44" s="16" t="n">
        <f aca="false">Assumptions!$B$81</f>
        <v>600</v>
      </c>
      <c r="H44" s="16" t="n">
        <f aca="false">Assumptions!$B$81</f>
        <v>600</v>
      </c>
      <c r="I44" s="16" t="n">
        <f aca="false">Assumptions!$B$81</f>
        <v>600</v>
      </c>
      <c r="J44" s="16" t="n">
        <f aca="false">Assumptions!$B$81</f>
        <v>600</v>
      </c>
      <c r="K44" s="16" t="n">
        <f aca="false">Assumptions!$B$81</f>
        <v>600</v>
      </c>
      <c r="L44" s="16" t="n">
        <f aca="false">Assumptions!$B$81</f>
        <v>600</v>
      </c>
      <c r="M44" s="16" t="n">
        <f aca="false">Assumptions!$B$81</f>
        <v>600</v>
      </c>
      <c r="N44" s="16" t="n">
        <f aca="false">Assumptions!$B$81</f>
        <v>600</v>
      </c>
      <c r="O44" s="16" t="n">
        <f aca="false">Assumptions!$B$81</f>
        <v>600</v>
      </c>
      <c r="P44" s="16" t="n">
        <f aca="false">Assumptions!$B$81</f>
        <v>600</v>
      </c>
      <c r="Q44" s="16" t="n">
        <f aca="false">Assumptions!$B$81</f>
        <v>600</v>
      </c>
      <c r="R44" s="16" t="n">
        <f aca="false">Assumptions!$B$81</f>
        <v>600</v>
      </c>
      <c r="S44" s="16" t="n">
        <f aca="false">Assumptions!$B$81</f>
        <v>600</v>
      </c>
      <c r="T44" s="16" t="n">
        <f aca="false">Assumptions!$B$81</f>
        <v>600</v>
      </c>
      <c r="U44" s="16" t="n">
        <f aca="false">Assumptions!$B$81</f>
        <v>600</v>
      </c>
      <c r="V44" s="16" t="n">
        <f aca="false">Assumptions!$B$81</f>
        <v>600</v>
      </c>
      <c r="W44" s="16" t="n">
        <f aca="false">Assumptions!$B$81</f>
        <v>600</v>
      </c>
      <c r="X44" s="16" t="n">
        <f aca="false">Assumptions!$B$81</f>
        <v>600</v>
      </c>
      <c r="Y44" s="16" t="n">
        <f aca="false">Assumptions!$B$81</f>
        <v>600</v>
      </c>
      <c r="Z44" s="16" t="n">
        <f aca="false">SUM(B44:M44)</f>
        <v>7200</v>
      </c>
      <c r="AA44" s="16" t="n">
        <f aca="false">SUM(N44:Y44)</f>
        <v>7200</v>
      </c>
      <c r="AB44" s="16" t="n">
        <f aca="false">SUM(B44:Y44)</f>
        <v>14400</v>
      </c>
    </row>
    <row r="45" customFormat="false" ht="15" hidden="false" customHeight="false" outlineLevel="0" collapsed="false">
      <c r="A45" s="19" t="s">
        <v>231</v>
      </c>
      <c r="B45" s="16" t="n">
        <f aca="false">IF(1&gt;=Assumptions!$B$84,Assumptions!$B$85,0)</f>
        <v>2125</v>
      </c>
      <c r="C45" s="16" t="n">
        <f aca="false">IF(2&gt;=Assumptions!$B$84,Assumptions!$B$85,0)</f>
        <v>2125</v>
      </c>
      <c r="D45" s="16" t="n">
        <f aca="false">IF(3&gt;=Assumptions!$B$84,Assumptions!$B$85,0)</f>
        <v>2125</v>
      </c>
      <c r="E45" s="16" t="n">
        <f aca="false">IF(4&gt;=Assumptions!$B$84,Assumptions!$B$85,0)</f>
        <v>2125</v>
      </c>
      <c r="F45" s="16" t="n">
        <f aca="false">IF(5&gt;=Assumptions!$B$84,Assumptions!$B$85,0)</f>
        <v>2125</v>
      </c>
      <c r="G45" s="16" t="n">
        <f aca="false">IF(6&gt;=Assumptions!$B$84,Assumptions!$B$85,0)</f>
        <v>2125</v>
      </c>
      <c r="H45" s="16" t="n">
        <f aca="false">IF(7&gt;=Assumptions!$B$84,Assumptions!$B$85,0)</f>
        <v>2125</v>
      </c>
      <c r="I45" s="16" t="n">
        <f aca="false">IF(8&gt;=Assumptions!$B$84,Assumptions!$B$85,0)</f>
        <v>2125</v>
      </c>
      <c r="J45" s="16" t="n">
        <f aca="false">IF(9&gt;=Assumptions!$B$84,Assumptions!$B$85,0)</f>
        <v>2125</v>
      </c>
      <c r="K45" s="16" t="n">
        <f aca="false">IF(10&gt;=Assumptions!$B$84,Assumptions!$B$85,0)</f>
        <v>2125</v>
      </c>
      <c r="L45" s="16" t="n">
        <f aca="false">IF(11&gt;=Assumptions!$B$84,Assumptions!$B$85,0)</f>
        <v>2125</v>
      </c>
      <c r="M45" s="16" t="n">
        <f aca="false">IF(12&gt;=Assumptions!$B$84,Assumptions!$B$85,0)</f>
        <v>2125</v>
      </c>
      <c r="N45" s="16" t="n">
        <f aca="false">IF(13&gt;=Assumptions!$B$84,Assumptions!$B$85,0)</f>
        <v>2125</v>
      </c>
      <c r="O45" s="16" t="n">
        <f aca="false">IF(14&gt;=Assumptions!$B$84,Assumptions!$B$85,0)</f>
        <v>2125</v>
      </c>
      <c r="P45" s="16" t="n">
        <f aca="false">IF(15&gt;=Assumptions!$B$84,Assumptions!$B$85,0)</f>
        <v>2125</v>
      </c>
      <c r="Q45" s="16" t="n">
        <f aca="false">IF(16&gt;=Assumptions!$B$84,Assumptions!$B$85,0)</f>
        <v>2125</v>
      </c>
      <c r="R45" s="16" t="n">
        <f aca="false">IF(17&gt;=Assumptions!$B$84,Assumptions!$B$85,0)</f>
        <v>2125</v>
      </c>
      <c r="S45" s="16" t="n">
        <f aca="false">IF(18&gt;=Assumptions!$B$84,Assumptions!$B$85,0)</f>
        <v>2125</v>
      </c>
      <c r="T45" s="16" t="n">
        <f aca="false">IF(19&gt;=Assumptions!$B$84,Assumptions!$B$85,0)</f>
        <v>2125</v>
      </c>
      <c r="U45" s="16" t="n">
        <f aca="false">IF(20&gt;=Assumptions!$B$84,Assumptions!$B$85,0)</f>
        <v>2125</v>
      </c>
      <c r="V45" s="16" t="n">
        <f aca="false">IF(21&gt;=Assumptions!$B$84,Assumptions!$B$85,0)</f>
        <v>2125</v>
      </c>
      <c r="W45" s="16" t="n">
        <f aca="false">IF(22&gt;=Assumptions!$B$84,Assumptions!$B$85,0)</f>
        <v>2125</v>
      </c>
      <c r="X45" s="16" t="n">
        <f aca="false">IF(23&gt;=Assumptions!$B$84,Assumptions!$B$85,0)</f>
        <v>2125</v>
      </c>
      <c r="Y45" s="16" t="n">
        <f aca="false">IF(24&gt;=Assumptions!$B$84,Assumptions!$B$85,0)</f>
        <v>2125</v>
      </c>
      <c r="Z45" s="16" t="n">
        <f aca="false">SUM(B45:M45)</f>
        <v>25500</v>
      </c>
      <c r="AA45" s="16" t="n">
        <f aca="false">SUM(N45:Y45)</f>
        <v>25500</v>
      </c>
      <c r="AB45" s="16" t="n">
        <f aca="false">SUM(B45:Y45)</f>
        <v>51000</v>
      </c>
    </row>
    <row r="46" customFormat="false" ht="15" hidden="false" customHeight="false" outlineLevel="0" collapsed="false">
      <c r="A46" s="19" t="s">
        <v>232</v>
      </c>
      <c r="B46" s="16" t="n">
        <f aca="false">Assumptions!$B$86</f>
        <v>0</v>
      </c>
      <c r="C46" s="16" t="n">
        <f aca="false">Assumptions!$B$86</f>
        <v>0</v>
      </c>
      <c r="D46" s="16" t="n">
        <f aca="false">Assumptions!$B$86</f>
        <v>0</v>
      </c>
      <c r="E46" s="16" t="n">
        <f aca="false">Assumptions!$B$86</f>
        <v>0</v>
      </c>
      <c r="F46" s="16" t="n">
        <f aca="false">Assumptions!$B$86</f>
        <v>0</v>
      </c>
      <c r="G46" s="16" t="n">
        <f aca="false">Assumptions!$B$86</f>
        <v>0</v>
      </c>
      <c r="H46" s="16" t="n">
        <f aca="false">Assumptions!$B$86</f>
        <v>0</v>
      </c>
      <c r="I46" s="16" t="n">
        <f aca="false">Assumptions!$B$86</f>
        <v>0</v>
      </c>
      <c r="J46" s="16" t="n">
        <f aca="false">Assumptions!$B$86</f>
        <v>0</v>
      </c>
      <c r="K46" s="16" t="n">
        <f aca="false">Assumptions!$B$86</f>
        <v>0</v>
      </c>
      <c r="L46" s="16" t="n">
        <f aca="false">Assumptions!$B$86</f>
        <v>0</v>
      </c>
      <c r="M46" s="16" t="n">
        <f aca="false">Assumptions!$B$86</f>
        <v>0</v>
      </c>
      <c r="N46" s="16" t="n">
        <f aca="false">Assumptions!$B$86</f>
        <v>0</v>
      </c>
      <c r="O46" s="16" t="n">
        <f aca="false">Assumptions!$B$86</f>
        <v>0</v>
      </c>
      <c r="P46" s="16" t="n">
        <f aca="false">Assumptions!$B$86</f>
        <v>0</v>
      </c>
      <c r="Q46" s="16" t="n">
        <f aca="false">Assumptions!$B$86</f>
        <v>0</v>
      </c>
      <c r="R46" s="16" t="n">
        <f aca="false">Assumptions!$B$86</f>
        <v>0</v>
      </c>
      <c r="S46" s="16" t="n">
        <f aca="false">Assumptions!$B$86</f>
        <v>0</v>
      </c>
      <c r="T46" s="16" t="n">
        <f aca="false">Assumptions!$B$86</f>
        <v>0</v>
      </c>
      <c r="U46" s="16" t="n">
        <f aca="false">Assumptions!$B$86</f>
        <v>0</v>
      </c>
      <c r="V46" s="16" t="n">
        <f aca="false">Assumptions!$B$86</f>
        <v>0</v>
      </c>
      <c r="W46" s="16" t="n">
        <f aca="false">Assumptions!$B$86</f>
        <v>0</v>
      </c>
      <c r="X46" s="16" t="n">
        <f aca="false">Assumptions!$B$86</f>
        <v>0</v>
      </c>
      <c r="Y46" s="16" t="n">
        <f aca="false">Assumptions!$B$86</f>
        <v>0</v>
      </c>
      <c r="Z46" s="16" t="n">
        <f aca="false">SUM(B46:M46)</f>
        <v>0</v>
      </c>
      <c r="AA46" s="16" t="n">
        <f aca="false">SUM(N46:Y46)</f>
        <v>0</v>
      </c>
      <c r="AB46" s="16" t="n">
        <f aca="false">SUM(B46:Y46)</f>
        <v>0</v>
      </c>
    </row>
    <row r="47" customFormat="false" ht="15" hidden="false" customHeight="false" outlineLevel="0" collapsed="false">
      <c r="A47" s="19" t="s">
        <v>233</v>
      </c>
      <c r="B47" s="16" t="n">
        <f aca="false">Assumptions!$B$62*IF(1&gt;=Assumptions!$B$12,Assumptions!$B$73,1)</f>
        <v>900</v>
      </c>
      <c r="C47" s="16" t="n">
        <f aca="false">Assumptions!$B$62*IF(2&gt;=Assumptions!$B$12,Assumptions!$B$73,1)</f>
        <v>900</v>
      </c>
      <c r="D47" s="16" t="n">
        <f aca="false">Assumptions!$B$62*IF(3&gt;=Assumptions!$B$12,Assumptions!$B$73,1)</f>
        <v>900</v>
      </c>
      <c r="E47" s="16" t="n">
        <f aca="false">Assumptions!$B$62*IF(4&gt;=Assumptions!$B$12,Assumptions!$B$73,1)</f>
        <v>900</v>
      </c>
      <c r="F47" s="16" t="n">
        <f aca="false">Assumptions!$B$62*IF(5&gt;=Assumptions!$B$12,Assumptions!$B$73,1)</f>
        <v>900</v>
      </c>
      <c r="G47" s="16" t="n">
        <f aca="false">Assumptions!$B$62*IF(6&gt;=Assumptions!$B$12,Assumptions!$B$73,1)</f>
        <v>900</v>
      </c>
      <c r="H47" s="16" t="n">
        <f aca="false">Assumptions!$B$62*IF(7&gt;=Assumptions!$B$12,Assumptions!$B$73,1)</f>
        <v>1440</v>
      </c>
      <c r="I47" s="16" t="n">
        <f aca="false">Assumptions!$B$62*IF(8&gt;=Assumptions!$B$12,Assumptions!$B$73,1)</f>
        <v>1440</v>
      </c>
      <c r="J47" s="16" t="n">
        <f aca="false">Assumptions!$B$62*IF(9&gt;=Assumptions!$B$12,Assumptions!$B$73,1)</f>
        <v>1440</v>
      </c>
      <c r="K47" s="16" t="n">
        <f aca="false">Assumptions!$B$62*IF(10&gt;=Assumptions!$B$12,Assumptions!$B$73,1)</f>
        <v>1440</v>
      </c>
      <c r="L47" s="16" t="n">
        <f aca="false">Assumptions!$B$62*IF(11&gt;=Assumptions!$B$12,Assumptions!$B$73,1)</f>
        <v>1440</v>
      </c>
      <c r="M47" s="16" t="n">
        <f aca="false">Assumptions!$B$62*IF(12&gt;=Assumptions!$B$12,Assumptions!$B$73,1)</f>
        <v>1440</v>
      </c>
      <c r="N47" s="16" t="n">
        <f aca="false">Assumptions!$B$62*IF(13&gt;=Assumptions!$B$12,Assumptions!$B$73,1)</f>
        <v>1440</v>
      </c>
      <c r="O47" s="16" t="n">
        <f aca="false">Assumptions!$B$62*IF(14&gt;=Assumptions!$B$12,Assumptions!$B$73,1)</f>
        <v>1440</v>
      </c>
      <c r="P47" s="16" t="n">
        <f aca="false">Assumptions!$B$62*IF(15&gt;=Assumptions!$B$12,Assumptions!$B$73,1)</f>
        <v>1440</v>
      </c>
      <c r="Q47" s="16" t="n">
        <f aca="false">Assumptions!$B$62*IF(16&gt;=Assumptions!$B$12,Assumptions!$B$73,1)</f>
        <v>1440</v>
      </c>
      <c r="R47" s="16" t="n">
        <f aca="false">Assumptions!$B$62*IF(17&gt;=Assumptions!$B$12,Assumptions!$B$73,1)</f>
        <v>1440</v>
      </c>
      <c r="S47" s="16" t="n">
        <f aca="false">Assumptions!$B$62*IF(18&gt;=Assumptions!$B$12,Assumptions!$B$73,1)</f>
        <v>1440</v>
      </c>
      <c r="T47" s="16" t="n">
        <f aca="false">Assumptions!$B$62*IF(19&gt;=Assumptions!$B$12,Assumptions!$B$73,1)</f>
        <v>1440</v>
      </c>
      <c r="U47" s="16" t="n">
        <f aca="false">Assumptions!$B$62*IF(20&gt;=Assumptions!$B$12,Assumptions!$B$73,1)</f>
        <v>1440</v>
      </c>
      <c r="V47" s="16" t="n">
        <f aca="false">Assumptions!$B$62*IF(21&gt;=Assumptions!$B$12,Assumptions!$B$73,1)</f>
        <v>1440</v>
      </c>
      <c r="W47" s="16" t="n">
        <f aca="false">Assumptions!$B$62*IF(22&gt;=Assumptions!$B$12,Assumptions!$B$73,1)</f>
        <v>1440</v>
      </c>
      <c r="X47" s="16" t="n">
        <f aca="false">Assumptions!$B$62*IF(23&gt;=Assumptions!$B$12,Assumptions!$B$73,1)</f>
        <v>1440</v>
      </c>
      <c r="Y47" s="16" t="n">
        <f aca="false">Assumptions!$B$62*IF(24&gt;=Assumptions!$B$12,Assumptions!$B$73,1)</f>
        <v>1440</v>
      </c>
      <c r="Z47" s="16" t="n">
        <f aca="false">SUM(B47:M47)</f>
        <v>14040</v>
      </c>
      <c r="AA47" s="16" t="n">
        <f aca="false">SUM(N47:Y47)</f>
        <v>17280</v>
      </c>
      <c r="AB47" s="16" t="n">
        <f aca="false">SUM(B47:Y47)</f>
        <v>31320</v>
      </c>
    </row>
    <row r="48" customFormat="false" ht="15" hidden="false" customHeight="false" outlineLevel="0" collapsed="false">
      <c r="A48" s="19" t="s">
        <v>234</v>
      </c>
      <c r="B48" s="16" t="n">
        <f aca="false">IF(1&gt;=2,Assumptions!$B$65*IF(1&gt;=Assumptions!$B$12,Assumptions!$B$73,1),0)</f>
        <v>0</v>
      </c>
      <c r="C48" s="16" t="n">
        <f aca="false">IF(2&gt;=2,Assumptions!$B$65*IF(2&gt;=Assumptions!$B$12,Assumptions!$B$73,1),0)</f>
        <v>600</v>
      </c>
      <c r="D48" s="16" t="n">
        <f aca="false">IF(3&gt;=2,Assumptions!$B$65*IF(3&gt;=Assumptions!$B$12,Assumptions!$B$73,1),0)</f>
        <v>600</v>
      </c>
      <c r="E48" s="16" t="n">
        <f aca="false">IF(4&gt;=2,Assumptions!$B$65*IF(4&gt;=Assumptions!$B$12,Assumptions!$B$73,1),0)</f>
        <v>600</v>
      </c>
      <c r="F48" s="16" t="n">
        <f aca="false">IF(5&gt;=2,Assumptions!$B$65*IF(5&gt;=Assumptions!$B$12,Assumptions!$B$73,1),0)</f>
        <v>600</v>
      </c>
      <c r="G48" s="16" t="n">
        <f aca="false">IF(6&gt;=2,Assumptions!$B$65*IF(6&gt;=Assumptions!$B$12,Assumptions!$B$73,1),0)</f>
        <v>600</v>
      </c>
      <c r="H48" s="16" t="n">
        <f aca="false">IF(7&gt;=2,Assumptions!$B$65*IF(7&gt;=Assumptions!$B$12,Assumptions!$B$73,1),0)</f>
        <v>960</v>
      </c>
      <c r="I48" s="16" t="n">
        <f aca="false">IF(8&gt;=2,Assumptions!$B$65*IF(8&gt;=Assumptions!$B$12,Assumptions!$B$73,1),0)</f>
        <v>960</v>
      </c>
      <c r="J48" s="16" t="n">
        <f aca="false">IF(9&gt;=2,Assumptions!$B$65*IF(9&gt;=Assumptions!$B$12,Assumptions!$B$73,1),0)</f>
        <v>960</v>
      </c>
      <c r="K48" s="16" t="n">
        <f aca="false">IF(10&gt;=2,Assumptions!$B$65*IF(10&gt;=Assumptions!$B$12,Assumptions!$B$73,1),0)</f>
        <v>960</v>
      </c>
      <c r="L48" s="16" t="n">
        <f aca="false">IF(11&gt;=2,Assumptions!$B$65*IF(11&gt;=Assumptions!$B$12,Assumptions!$B$73,1),0)</f>
        <v>960</v>
      </c>
      <c r="M48" s="16" t="n">
        <f aca="false">IF(12&gt;=2,Assumptions!$B$65*IF(12&gt;=Assumptions!$B$12,Assumptions!$B$73,1),0)</f>
        <v>960</v>
      </c>
      <c r="N48" s="16" t="n">
        <f aca="false">IF(13&gt;=2,Assumptions!$B$65*IF(13&gt;=Assumptions!$B$12,Assumptions!$B$73,1),0)</f>
        <v>960</v>
      </c>
      <c r="O48" s="16" t="n">
        <f aca="false">IF(14&gt;=2,Assumptions!$B$65*IF(14&gt;=Assumptions!$B$12,Assumptions!$B$73,1),0)</f>
        <v>960</v>
      </c>
      <c r="P48" s="16" t="n">
        <f aca="false">IF(15&gt;=2,Assumptions!$B$65*IF(15&gt;=Assumptions!$B$12,Assumptions!$B$73,1),0)</f>
        <v>960</v>
      </c>
      <c r="Q48" s="16" t="n">
        <f aca="false">IF(16&gt;=2,Assumptions!$B$65*IF(16&gt;=Assumptions!$B$12,Assumptions!$B$73,1),0)</f>
        <v>960</v>
      </c>
      <c r="R48" s="16" t="n">
        <f aca="false">IF(17&gt;=2,Assumptions!$B$65*IF(17&gt;=Assumptions!$B$12,Assumptions!$B$73,1),0)</f>
        <v>960</v>
      </c>
      <c r="S48" s="16" t="n">
        <f aca="false">IF(18&gt;=2,Assumptions!$B$65*IF(18&gt;=Assumptions!$B$12,Assumptions!$B$73,1),0)</f>
        <v>960</v>
      </c>
      <c r="T48" s="16" t="n">
        <f aca="false">IF(19&gt;=2,Assumptions!$B$65*IF(19&gt;=Assumptions!$B$12,Assumptions!$B$73,1),0)</f>
        <v>960</v>
      </c>
      <c r="U48" s="16" t="n">
        <f aca="false">IF(20&gt;=2,Assumptions!$B$65*IF(20&gt;=Assumptions!$B$12,Assumptions!$B$73,1),0)</f>
        <v>960</v>
      </c>
      <c r="V48" s="16" t="n">
        <f aca="false">IF(21&gt;=2,Assumptions!$B$65*IF(21&gt;=Assumptions!$B$12,Assumptions!$B$73,1),0)</f>
        <v>960</v>
      </c>
      <c r="W48" s="16" t="n">
        <f aca="false">IF(22&gt;=2,Assumptions!$B$65*IF(22&gt;=Assumptions!$B$12,Assumptions!$B$73,1),0)</f>
        <v>960</v>
      </c>
      <c r="X48" s="16" t="n">
        <f aca="false">IF(23&gt;=2,Assumptions!$B$65*IF(23&gt;=Assumptions!$B$12,Assumptions!$B$73,1),0)</f>
        <v>960</v>
      </c>
      <c r="Y48" s="16" t="n">
        <f aca="false">IF(24&gt;=2,Assumptions!$B$65*IF(24&gt;=Assumptions!$B$12,Assumptions!$B$73,1),0)</f>
        <v>960</v>
      </c>
      <c r="Z48" s="16" t="n">
        <f aca="false">SUM(B48:M48)</f>
        <v>8760</v>
      </c>
      <c r="AA48" s="16" t="n">
        <f aca="false">SUM(N48:Y48)</f>
        <v>11520</v>
      </c>
      <c r="AB48" s="16" t="n">
        <f aca="false">SUM(B48:Y48)</f>
        <v>20280</v>
      </c>
    </row>
    <row r="49" customFormat="false" ht="15" hidden="false" customHeight="false" outlineLevel="0" collapsed="false">
      <c r="A49" s="19" t="s">
        <v>235</v>
      </c>
      <c r="B49" s="16" t="n">
        <f aca="false">Assumptions!$B$74</f>
        <v>300</v>
      </c>
      <c r="C49" s="16" t="n">
        <f aca="false">Assumptions!$B$74</f>
        <v>300</v>
      </c>
      <c r="D49" s="16" t="n">
        <f aca="false">Assumptions!$B$74</f>
        <v>300</v>
      </c>
      <c r="E49" s="16" t="n">
        <f aca="false">Assumptions!$B$74</f>
        <v>300</v>
      </c>
      <c r="F49" s="16" t="n">
        <f aca="false">Assumptions!$B$74</f>
        <v>300</v>
      </c>
      <c r="G49" s="16" t="n">
        <f aca="false">Assumptions!$B$74</f>
        <v>300</v>
      </c>
      <c r="H49" s="16" t="n">
        <f aca="false">Assumptions!$B$74</f>
        <v>300</v>
      </c>
      <c r="I49" s="16" t="n">
        <f aca="false">Assumptions!$B$74</f>
        <v>300</v>
      </c>
      <c r="J49" s="16" t="n">
        <f aca="false">Assumptions!$B$74</f>
        <v>300</v>
      </c>
      <c r="K49" s="16" t="n">
        <f aca="false">Assumptions!$B$74</f>
        <v>300</v>
      </c>
      <c r="L49" s="16" t="n">
        <f aca="false">Assumptions!$B$74</f>
        <v>300</v>
      </c>
      <c r="M49" s="16" t="n">
        <f aca="false">Assumptions!$B$74</f>
        <v>300</v>
      </c>
      <c r="N49" s="16" t="n">
        <f aca="false">Assumptions!$B$74</f>
        <v>300</v>
      </c>
      <c r="O49" s="16" t="n">
        <f aca="false">Assumptions!$B$74</f>
        <v>300</v>
      </c>
      <c r="P49" s="16" t="n">
        <f aca="false">Assumptions!$B$74</f>
        <v>300</v>
      </c>
      <c r="Q49" s="16" t="n">
        <f aca="false">Assumptions!$B$74</f>
        <v>300</v>
      </c>
      <c r="R49" s="16" t="n">
        <f aca="false">Assumptions!$B$74</f>
        <v>300</v>
      </c>
      <c r="S49" s="16" t="n">
        <f aca="false">Assumptions!$B$74</f>
        <v>300</v>
      </c>
      <c r="T49" s="16" t="n">
        <f aca="false">Assumptions!$B$74</f>
        <v>300</v>
      </c>
      <c r="U49" s="16" t="n">
        <f aca="false">Assumptions!$B$74</f>
        <v>300</v>
      </c>
      <c r="V49" s="16" t="n">
        <f aca="false">Assumptions!$B$74</f>
        <v>300</v>
      </c>
      <c r="W49" s="16" t="n">
        <f aca="false">Assumptions!$B$74</f>
        <v>300</v>
      </c>
      <c r="X49" s="16" t="n">
        <f aca="false">Assumptions!$B$74</f>
        <v>300</v>
      </c>
      <c r="Y49" s="16" t="n">
        <f aca="false">Assumptions!$B$74</f>
        <v>300</v>
      </c>
      <c r="Z49" s="16" t="n">
        <f aca="false">SUM(B49:M49)</f>
        <v>3600</v>
      </c>
      <c r="AA49" s="16" t="n">
        <f aca="false">SUM(N49:Y49)</f>
        <v>3600</v>
      </c>
      <c r="AB49" s="16" t="n">
        <f aca="false">SUM(B49:Y49)</f>
        <v>7200</v>
      </c>
    </row>
    <row r="50" customFormat="false" ht="15" hidden="false" customHeight="false" outlineLevel="0" collapsed="false">
      <c r="A50" s="19" t="s">
        <v>236</v>
      </c>
      <c r="B50" s="16" t="n">
        <f aca="false">IF(AND(1&gt;=Assumptions!$B$12,1&lt;Assumptions!$B$12+Assumptions!$B$90),Assumptions!$B$89,0)+IF(AND(1&gt;=Assumptions!$B$12,1&lt;Assumptions!$B$12+Assumptions!$B$93),Assumptions!$B$92,0)+IF(AND(1&gt;=Assumptions!$B$12,1&lt;Assumptions!$B$12+Assumptions!$B$96),Assumptions!$B$95,0)+IF(AND(1&gt;=Assumptions!$B$12,1&lt;Assumptions!$B$12+Assumptions!$B$99),Assumptions!$B$98,0)+IF(AND(1&gt;=Assumptions!$B$12,1&lt;Assumptions!$B$12+Assumptions!$B$102),Assumptions!$B$101,0)+IF(1=Assumptions!$B$12,Assumptions!$B$106,0)</f>
        <v>0</v>
      </c>
      <c r="C50" s="16" t="n">
        <f aca="false">IF(AND(2&gt;=Assumptions!$B$12,2&lt;Assumptions!$B$12+Assumptions!$B$90),Assumptions!$B$89,0)+IF(AND(2&gt;=Assumptions!$B$12,2&lt;Assumptions!$B$12+Assumptions!$B$93),Assumptions!$B$92,0)+IF(AND(2&gt;=Assumptions!$B$12,2&lt;Assumptions!$B$12+Assumptions!$B$96),Assumptions!$B$95,0)+IF(AND(2&gt;=Assumptions!$B$12,2&lt;Assumptions!$B$12+Assumptions!$B$99),Assumptions!$B$98,0)+IF(AND(2&gt;=Assumptions!$B$12,2&lt;Assumptions!$B$12+Assumptions!$B$102),Assumptions!$B$101,0)+IF(2=Assumptions!$B$12,Assumptions!$B$106,0)</f>
        <v>0</v>
      </c>
      <c r="D50" s="16" t="n">
        <f aca="false">IF(AND(3&gt;=Assumptions!$B$12,3&lt;Assumptions!$B$12+Assumptions!$B$90),Assumptions!$B$89,0)+IF(AND(3&gt;=Assumptions!$B$12,3&lt;Assumptions!$B$12+Assumptions!$B$93),Assumptions!$B$92,0)+IF(AND(3&gt;=Assumptions!$B$12,3&lt;Assumptions!$B$12+Assumptions!$B$96),Assumptions!$B$95,0)+IF(AND(3&gt;=Assumptions!$B$12,3&lt;Assumptions!$B$12+Assumptions!$B$99),Assumptions!$B$98,0)+IF(AND(3&gt;=Assumptions!$B$12,3&lt;Assumptions!$B$12+Assumptions!$B$102),Assumptions!$B$101,0)+IF(3=Assumptions!$B$12,Assumptions!$B$106,0)</f>
        <v>0</v>
      </c>
      <c r="E50" s="16" t="n">
        <f aca="false">IF(AND(4&gt;=Assumptions!$B$12,4&lt;Assumptions!$B$12+Assumptions!$B$90),Assumptions!$B$89,0)+IF(AND(4&gt;=Assumptions!$B$12,4&lt;Assumptions!$B$12+Assumptions!$B$93),Assumptions!$B$92,0)+IF(AND(4&gt;=Assumptions!$B$12,4&lt;Assumptions!$B$12+Assumptions!$B$96),Assumptions!$B$95,0)+IF(AND(4&gt;=Assumptions!$B$12,4&lt;Assumptions!$B$12+Assumptions!$B$99),Assumptions!$B$98,0)+IF(AND(4&gt;=Assumptions!$B$12,4&lt;Assumptions!$B$12+Assumptions!$B$102),Assumptions!$B$101,0)+IF(4=Assumptions!$B$12,Assumptions!$B$106,0)</f>
        <v>0</v>
      </c>
      <c r="F50" s="16" t="n">
        <f aca="false">IF(AND(5&gt;=Assumptions!$B$12,5&lt;Assumptions!$B$12+Assumptions!$B$90),Assumptions!$B$89,0)+IF(AND(5&gt;=Assumptions!$B$12,5&lt;Assumptions!$B$12+Assumptions!$B$93),Assumptions!$B$92,0)+IF(AND(5&gt;=Assumptions!$B$12,5&lt;Assumptions!$B$12+Assumptions!$B$96),Assumptions!$B$95,0)+IF(AND(5&gt;=Assumptions!$B$12,5&lt;Assumptions!$B$12+Assumptions!$B$99),Assumptions!$B$98,0)+IF(AND(5&gt;=Assumptions!$B$12,5&lt;Assumptions!$B$12+Assumptions!$B$102),Assumptions!$B$101,0)+IF(5=Assumptions!$B$12,Assumptions!$B$106,0)</f>
        <v>0</v>
      </c>
      <c r="G50" s="16" t="n">
        <f aca="false">IF(AND(6&gt;=Assumptions!$B$12,6&lt;Assumptions!$B$12+Assumptions!$B$90),Assumptions!$B$89,0)+IF(AND(6&gt;=Assumptions!$B$12,6&lt;Assumptions!$B$12+Assumptions!$B$93),Assumptions!$B$92,0)+IF(AND(6&gt;=Assumptions!$B$12,6&lt;Assumptions!$B$12+Assumptions!$B$96),Assumptions!$B$95,0)+IF(AND(6&gt;=Assumptions!$B$12,6&lt;Assumptions!$B$12+Assumptions!$B$99),Assumptions!$B$98,0)+IF(AND(6&gt;=Assumptions!$B$12,6&lt;Assumptions!$B$12+Assumptions!$B$102),Assumptions!$B$101,0)+IF(6=Assumptions!$B$12,Assumptions!$B$106,0)</f>
        <v>0</v>
      </c>
      <c r="H50" s="16" t="n">
        <f aca="false">IF(AND(7&gt;=Assumptions!$B$12,7&lt;Assumptions!$B$12+Assumptions!$B$90),Assumptions!$B$89,0)+IF(AND(7&gt;=Assumptions!$B$12,7&lt;Assumptions!$B$12+Assumptions!$B$93),Assumptions!$B$92,0)+IF(AND(7&gt;=Assumptions!$B$12,7&lt;Assumptions!$B$12+Assumptions!$B$96),Assumptions!$B$95,0)+IF(AND(7&gt;=Assumptions!$B$12,7&lt;Assumptions!$B$12+Assumptions!$B$99),Assumptions!$B$98,0)+IF(AND(7&gt;=Assumptions!$B$12,7&lt;Assumptions!$B$12+Assumptions!$B$102),Assumptions!$B$101,0)+IF(7=Assumptions!$B$12,Assumptions!$B$106,0)</f>
        <v>8200</v>
      </c>
      <c r="I50" s="16" t="n">
        <f aca="false">IF(AND(8&gt;=Assumptions!$B$12,8&lt;Assumptions!$B$12+Assumptions!$B$90),Assumptions!$B$89,0)+IF(AND(8&gt;=Assumptions!$B$12,8&lt;Assumptions!$B$12+Assumptions!$B$93),Assumptions!$B$92,0)+IF(AND(8&gt;=Assumptions!$B$12,8&lt;Assumptions!$B$12+Assumptions!$B$96),Assumptions!$B$95,0)+IF(AND(8&gt;=Assumptions!$B$12,8&lt;Assumptions!$B$12+Assumptions!$B$99),Assumptions!$B$98,0)+IF(AND(8&gt;=Assumptions!$B$12,8&lt;Assumptions!$B$12+Assumptions!$B$102),Assumptions!$B$101,0)+IF(8=Assumptions!$B$12,Assumptions!$B$106,0)</f>
        <v>3700</v>
      </c>
      <c r="J50" s="16" t="n">
        <f aca="false">IF(AND(9&gt;=Assumptions!$B$12,9&lt;Assumptions!$B$12+Assumptions!$B$90),Assumptions!$B$89,0)+IF(AND(9&gt;=Assumptions!$B$12,9&lt;Assumptions!$B$12+Assumptions!$B$93),Assumptions!$B$92,0)+IF(AND(9&gt;=Assumptions!$B$12,9&lt;Assumptions!$B$12+Assumptions!$B$96),Assumptions!$B$95,0)+IF(AND(9&gt;=Assumptions!$B$12,9&lt;Assumptions!$B$12+Assumptions!$B$99),Assumptions!$B$98,0)+IF(AND(9&gt;=Assumptions!$B$12,9&lt;Assumptions!$B$12+Assumptions!$B$102),Assumptions!$B$101,0)+IF(9=Assumptions!$B$12,Assumptions!$B$106,0)</f>
        <v>3700</v>
      </c>
      <c r="K50" s="16" t="n">
        <f aca="false">IF(AND(10&gt;=Assumptions!$B$12,10&lt;Assumptions!$B$12+Assumptions!$B$90),Assumptions!$B$89,0)+IF(AND(10&gt;=Assumptions!$B$12,10&lt;Assumptions!$B$12+Assumptions!$B$93),Assumptions!$B$92,0)+IF(AND(10&gt;=Assumptions!$B$12,10&lt;Assumptions!$B$12+Assumptions!$B$96),Assumptions!$B$95,0)+IF(AND(10&gt;=Assumptions!$B$12,10&lt;Assumptions!$B$12+Assumptions!$B$99),Assumptions!$B$98,0)+IF(AND(10&gt;=Assumptions!$B$12,10&lt;Assumptions!$B$12+Assumptions!$B$102),Assumptions!$B$101,0)+IF(10=Assumptions!$B$12,Assumptions!$B$106,0)</f>
        <v>0</v>
      </c>
      <c r="L50" s="16" t="n">
        <f aca="false">IF(AND(11&gt;=Assumptions!$B$12,11&lt;Assumptions!$B$12+Assumptions!$B$90),Assumptions!$B$89,0)+IF(AND(11&gt;=Assumptions!$B$12,11&lt;Assumptions!$B$12+Assumptions!$B$93),Assumptions!$B$92,0)+IF(AND(11&gt;=Assumptions!$B$12,11&lt;Assumptions!$B$12+Assumptions!$B$96),Assumptions!$B$95,0)+IF(AND(11&gt;=Assumptions!$B$12,11&lt;Assumptions!$B$12+Assumptions!$B$99),Assumptions!$B$98,0)+IF(AND(11&gt;=Assumptions!$B$12,11&lt;Assumptions!$B$12+Assumptions!$B$102),Assumptions!$B$101,0)+IF(11=Assumptions!$B$12,Assumptions!$B$106,0)</f>
        <v>0</v>
      </c>
      <c r="M50" s="16" t="n">
        <f aca="false">IF(AND(12&gt;=Assumptions!$B$12,12&lt;Assumptions!$B$12+Assumptions!$B$90),Assumptions!$B$89,0)+IF(AND(12&gt;=Assumptions!$B$12,12&lt;Assumptions!$B$12+Assumptions!$B$93),Assumptions!$B$92,0)+IF(AND(12&gt;=Assumptions!$B$12,12&lt;Assumptions!$B$12+Assumptions!$B$96),Assumptions!$B$95,0)+IF(AND(12&gt;=Assumptions!$B$12,12&lt;Assumptions!$B$12+Assumptions!$B$99),Assumptions!$B$98,0)+IF(AND(12&gt;=Assumptions!$B$12,12&lt;Assumptions!$B$12+Assumptions!$B$102),Assumptions!$B$101,0)+IF(12=Assumptions!$B$12,Assumptions!$B$106,0)</f>
        <v>0</v>
      </c>
      <c r="N50" s="16" t="n">
        <f aca="false">IF(AND(13&gt;=Assumptions!$B$12,13&lt;Assumptions!$B$12+Assumptions!$B$90),Assumptions!$B$89,0)+IF(AND(13&gt;=Assumptions!$B$12,13&lt;Assumptions!$B$12+Assumptions!$B$93),Assumptions!$B$92,0)+IF(AND(13&gt;=Assumptions!$B$12,13&lt;Assumptions!$B$12+Assumptions!$B$96),Assumptions!$B$95,0)+IF(AND(13&gt;=Assumptions!$B$12,13&lt;Assumptions!$B$12+Assumptions!$B$99),Assumptions!$B$98,0)+IF(AND(13&gt;=Assumptions!$B$12,13&lt;Assumptions!$B$12+Assumptions!$B$102),Assumptions!$B$101,0)+IF(13=Assumptions!$B$12,Assumptions!$B$106,0)</f>
        <v>0</v>
      </c>
      <c r="O50" s="16" t="n">
        <f aca="false">IF(AND(14&gt;=Assumptions!$B$12,14&lt;Assumptions!$B$12+Assumptions!$B$90),Assumptions!$B$89,0)+IF(AND(14&gt;=Assumptions!$B$12,14&lt;Assumptions!$B$12+Assumptions!$B$93),Assumptions!$B$92,0)+IF(AND(14&gt;=Assumptions!$B$12,14&lt;Assumptions!$B$12+Assumptions!$B$96),Assumptions!$B$95,0)+IF(AND(14&gt;=Assumptions!$B$12,14&lt;Assumptions!$B$12+Assumptions!$B$99),Assumptions!$B$98,0)+IF(AND(14&gt;=Assumptions!$B$12,14&lt;Assumptions!$B$12+Assumptions!$B$102),Assumptions!$B$101,0)+IF(14=Assumptions!$B$12,Assumptions!$B$106,0)</f>
        <v>0</v>
      </c>
      <c r="P50" s="16" t="n">
        <f aca="false">IF(AND(15&gt;=Assumptions!$B$12,15&lt;Assumptions!$B$12+Assumptions!$B$90),Assumptions!$B$89,0)+IF(AND(15&gt;=Assumptions!$B$12,15&lt;Assumptions!$B$12+Assumptions!$B$93),Assumptions!$B$92,0)+IF(AND(15&gt;=Assumptions!$B$12,15&lt;Assumptions!$B$12+Assumptions!$B$96),Assumptions!$B$95,0)+IF(AND(15&gt;=Assumptions!$B$12,15&lt;Assumptions!$B$12+Assumptions!$B$99),Assumptions!$B$98,0)+IF(AND(15&gt;=Assumptions!$B$12,15&lt;Assumptions!$B$12+Assumptions!$B$102),Assumptions!$B$101,0)+IF(15=Assumptions!$B$12,Assumptions!$B$106,0)</f>
        <v>0</v>
      </c>
      <c r="Q50" s="16" t="n">
        <f aca="false">IF(AND(16&gt;=Assumptions!$B$12,16&lt;Assumptions!$B$12+Assumptions!$B$90),Assumptions!$B$89,0)+IF(AND(16&gt;=Assumptions!$B$12,16&lt;Assumptions!$B$12+Assumptions!$B$93),Assumptions!$B$92,0)+IF(AND(16&gt;=Assumptions!$B$12,16&lt;Assumptions!$B$12+Assumptions!$B$96),Assumptions!$B$95,0)+IF(AND(16&gt;=Assumptions!$B$12,16&lt;Assumptions!$B$12+Assumptions!$B$99),Assumptions!$B$98,0)+IF(AND(16&gt;=Assumptions!$B$12,16&lt;Assumptions!$B$12+Assumptions!$B$102),Assumptions!$B$101,0)+IF(16=Assumptions!$B$12,Assumptions!$B$106,0)</f>
        <v>0</v>
      </c>
      <c r="R50" s="16" t="n">
        <f aca="false">IF(AND(17&gt;=Assumptions!$B$12,17&lt;Assumptions!$B$12+Assumptions!$B$90),Assumptions!$B$89,0)+IF(AND(17&gt;=Assumptions!$B$12,17&lt;Assumptions!$B$12+Assumptions!$B$93),Assumptions!$B$92,0)+IF(AND(17&gt;=Assumptions!$B$12,17&lt;Assumptions!$B$12+Assumptions!$B$96),Assumptions!$B$95,0)+IF(AND(17&gt;=Assumptions!$B$12,17&lt;Assumptions!$B$12+Assumptions!$B$99),Assumptions!$B$98,0)+IF(AND(17&gt;=Assumptions!$B$12,17&lt;Assumptions!$B$12+Assumptions!$B$102),Assumptions!$B$101,0)+IF(17=Assumptions!$B$12,Assumptions!$B$106,0)</f>
        <v>0</v>
      </c>
      <c r="S50" s="16" t="n">
        <f aca="false">IF(AND(18&gt;=Assumptions!$B$12,18&lt;Assumptions!$B$12+Assumptions!$B$90),Assumptions!$B$89,0)+IF(AND(18&gt;=Assumptions!$B$12,18&lt;Assumptions!$B$12+Assumptions!$B$93),Assumptions!$B$92,0)+IF(AND(18&gt;=Assumptions!$B$12,18&lt;Assumptions!$B$12+Assumptions!$B$96),Assumptions!$B$95,0)+IF(AND(18&gt;=Assumptions!$B$12,18&lt;Assumptions!$B$12+Assumptions!$B$99),Assumptions!$B$98,0)+IF(AND(18&gt;=Assumptions!$B$12,18&lt;Assumptions!$B$12+Assumptions!$B$102),Assumptions!$B$101,0)+IF(18=Assumptions!$B$12,Assumptions!$B$106,0)</f>
        <v>0</v>
      </c>
      <c r="T50" s="16" t="n">
        <f aca="false">IF(AND(19&gt;=Assumptions!$B$12,19&lt;Assumptions!$B$12+Assumptions!$B$90),Assumptions!$B$89,0)+IF(AND(19&gt;=Assumptions!$B$12,19&lt;Assumptions!$B$12+Assumptions!$B$93),Assumptions!$B$92,0)+IF(AND(19&gt;=Assumptions!$B$12,19&lt;Assumptions!$B$12+Assumptions!$B$96),Assumptions!$B$95,0)+IF(AND(19&gt;=Assumptions!$B$12,19&lt;Assumptions!$B$12+Assumptions!$B$99),Assumptions!$B$98,0)+IF(AND(19&gt;=Assumptions!$B$12,19&lt;Assumptions!$B$12+Assumptions!$B$102),Assumptions!$B$101,0)+IF(19=Assumptions!$B$12,Assumptions!$B$106,0)</f>
        <v>0</v>
      </c>
      <c r="U50" s="16" t="n">
        <f aca="false">IF(AND(20&gt;=Assumptions!$B$12,20&lt;Assumptions!$B$12+Assumptions!$B$90),Assumptions!$B$89,0)+IF(AND(20&gt;=Assumptions!$B$12,20&lt;Assumptions!$B$12+Assumptions!$B$93),Assumptions!$B$92,0)+IF(AND(20&gt;=Assumptions!$B$12,20&lt;Assumptions!$B$12+Assumptions!$B$96),Assumptions!$B$95,0)+IF(AND(20&gt;=Assumptions!$B$12,20&lt;Assumptions!$B$12+Assumptions!$B$99),Assumptions!$B$98,0)+IF(AND(20&gt;=Assumptions!$B$12,20&lt;Assumptions!$B$12+Assumptions!$B$102),Assumptions!$B$101,0)+IF(20=Assumptions!$B$12,Assumptions!$B$106,0)</f>
        <v>0</v>
      </c>
      <c r="V50" s="16" t="n">
        <f aca="false">IF(AND(21&gt;=Assumptions!$B$12,21&lt;Assumptions!$B$12+Assumptions!$B$90),Assumptions!$B$89,0)+IF(AND(21&gt;=Assumptions!$B$12,21&lt;Assumptions!$B$12+Assumptions!$B$93),Assumptions!$B$92,0)+IF(AND(21&gt;=Assumptions!$B$12,21&lt;Assumptions!$B$12+Assumptions!$B$96),Assumptions!$B$95,0)+IF(AND(21&gt;=Assumptions!$B$12,21&lt;Assumptions!$B$12+Assumptions!$B$99),Assumptions!$B$98,0)+IF(AND(21&gt;=Assumptions!$B$12,21&lt;Assumptions!$B$12+Assumptions!$B$102),Assumptions!$B$101,0)+IF(21=Assumptions!$B$12,Assumptions!$B$106,0)</f>
        <v>0</v>
      </c>
      <c r="W50" s="16" t="n">
        <f aca="false">IF(AND(22&gt;=Assumptions!$B$12,22&lt;Assumptions!$B$12+Assumptions!$B$90),Assumptions!$B$89,0)+IF(AND(22&gt;=Assumptions!$B$12,22&lt;Assumptions!$B$12+Assumptions!$B$93),Assumptions!$B$92,0)+IF(AND(22&gt;=Assumptions!$B$12,22&lt;Assumptions!$B$12+Assumptions!$B$96),Assumptions!$B$95,0)+IF(AND(22&gt;=Assumptions!$B$12,22&lt;Assumptions!$B$12+Assumptions!$B$99),Assumptions!$B$98,0)+IF(AND(22&gt;=Assumptions!$B$12,22&lt;Assumptions!$B$12+Assumptions!$B$102),Assumptions!$B$101,0)+IF(22=Assumptions!$B$12,Assumptions!$B$106,0)</f>
        <v>0</v>
      </c>
      <c r="X50" s="16" t="n">
        <f aca="false">IF(AND(23&gt;=Assumptions!$B$12,23&lt;Assumptions!$B$12+Assumptions!$B$90),Assumptions!$B$89,0)+IF(AND(23&gt;=Assumptions!$B$12,23&lt;Assumptions!$B$12+Assumptions!$B$93),Assumptions!$B$92,0)+IF(AND(23&gt;=Assumptions!$B$12,23&lt;Assumptions!$B$12+Assumptions!$B$96),Assumptions!$B$95,0)+IF(AND(23&gt;=Assumptions!$B$12,23&lt;Assumptions!$B$12+Assumptions!$B$99),Assumptions!$B$98,0)+IF(AND(23&gt;=Assumptions!$B$12,23&lt;Assumptions!$B$12+Assumptions!$B$102),Assumptions!$B$101,0)+IF(23=Assumptions!$B$12,Assumptions!$B$106,0)</f>
        <v>0</v>
      </c>
      <c r="Y50" s="16" t="n">
        <f aca="false">IF(AND(24&gt;=Assumptions!$B$12,24&lt;Assumptions!$B$12+Assumptions!$B$90),Assumptions!$B$89,0)+IF(AND(24&gt;=Assumptions!$B$12,24&lt;Assumptions!$B$12+Assumptions!$B$93),Assumptions!$B$92,0)+IF(AND(24&gt;=Assumptions!$B$12,24&lt;Assumptions!$B$12+Assumptions!$B$96),Assumptions!$B$95,0)+IF(AND(24&gt;=Assumptions!$B$12,24&lt;Assumptions!$B$12+Assumptions!$B$99),Assumptions!$B$98,0)+IF(AND(24&gt;=Assumptions!$B$12,24&lt;Assumptions!$B$12+Assumptions!$B$102),Assumptions!$B$101,0)+IF(24=Assumptions!$B$12,Assumptions!$B$106,0)</f>
        <v>0</v>
      </c>
      <c r="Z50" s="16" t="n">
        <f aca="false">SUM(B50:M50)</f>
        <v>15600</v>
      </c>
      <c r="AA50" s="16" t="n">
        <f aca="false">SUM(N50:Y50)</f>
        <v>0</v>
      </c>
      <c r="AB50" s="16" t="n">
        <f aca="false">SUM(B50:Y50)</f>
        <v>15600</v>
      </c>
    </row>
    <row r="51" customFormat="false" ht="15" hidden="false" customHeight="false" outlineLevel="0" collapsed="false">
      <c r="A51" s="19" t="s">
        <v>237</v>
      </c>
      <c r="B51" s="16" t="n">
        <f aca="false">IF(1&gt;=Assumptions!$B$12+Assumptions!$B$90,-PMT(Assumptions!$B$104/12,Assumptions!$B$105,Assumptions!$B$88*Assumptions!$B$103),0)+IF(1&gt;=Assumptions!$B$12+Assumptions!$B$93,-PMT(Assumptions!$B$104/12,Assumptions!$B$105,Assumptions!$B$91*Assumptions!$B$103),0)+IF(1&gt;=Assumptions!$B$12+Assumptions!$B$96,-PMT(Assumptions!$B$104/12,Assumptions!$B$105,Assumptions!$B$94*Assumptions!$B$103),0)+IF(1&gt;=Assumptions!$B$12+Assumptions!$B$99,-PMT(Assumptions!$B$104/12,Assumptions!$B$105,Assumptions!$B$97*Assumptions!$B$103),0)+IF(1&gt;=Assumptions!$B$12+Assumptions!$B$102,-PMT(Assumptions!$B$104/12,Assumptions!$B$105,Assumptions!$B$100*Assumptions!$B$103),0)</f>
        <v>0</v>
      </c>
      <c r="C51" s="16" t="n">
        <f aca="false">IF(2&gt;=Assumptions!$B$12+Assumptions!$B$90,-PMT(Assumptions!$B$104/12,Assumptions!$B$105,Assumptions!$B$88*Assumptions!$B$103),0)+IF(2&gt;=Assumptions!$B$12+Assumptions!$B$93,-PMT(Assumptions!$B$104/12,Assumptions!$B$105,Assumptions!$B$91*Assumptions!$B$103),0)+IF(2&gt;=Assumptions!$B$12+Assumptions!$B$96,-PMT(Assumptions!$B$104/12,Assumptions!$B$105,Assumptions!$B$94*Assumptions!$B$103),0)+IF(2&gt;=Assumptions!$B$12+Assumptions!$B$99,-PMT(Assumptions!$B$104/12,Assumptions!$B$105,Assumptions!$B$97*Assumptions!$B$103),0)+IF(2&gt;=Assumptions!$B$12+Assumptions!$B$102,-PMT(Assumptions!$B$104/12,Assumptions!$B$105,Assumptions!$B$100*Assumptions!$B$103),0)</f>
        <v>0</v>
      </c>
      <c r="D51" s="16" t="n">
        <f aca="false">IF(3&gt;=Assumptions!$B$12+Assumptions!$B$90,-PMT(Assumptions!$B$104/12,Assumptions!$B$105,Assumptions!$B$88*Assumptions!$B$103),0)+IF(3&gt;=Assumptions!$B$12+Assumptions!$B$93,-PMT(Assumptions!$B$104/12,Assumptions!$B$105,Assumptions!$B$91*Assumptions!$B$103),0)+IF(3&gt;=Assumptions!$B$12+Assumptions!$B$96,-PMT(Assumptions!$B$104/12,Assumptions!$B$105,Assumptions!$B$94*Assumptions!$B$103),0)+IF(3&gt;=Assumptions!$B$12+Assumptions!$B$99,-PMT(Assumptions!$B$104/12,Assumptions!$B$105,Assumptions!$B$97*Assumptions!$B$103),0)+IF(3&gt;=Assumptions!$B$12+Assumptions!$B$102,-PMT(Assumptions!$B$104/12,Assumptions!$B$105,Assumptions!$B$100*Assumptions!$B$103),0)</f>
        <v>0</v>
      </c>
      <c r="E51" s="16" t="n">
        <f aca="false">IF(4&gt;=Assumptions!$B$12+Assumptions!$B$90,-PMT(Assumptions!$B$104/12,Assumptions!$B$105,Assumptions!$B$88*Assumptions!$B$103),0)+IF(4&gt;=Assumptions!$B$12+Assumptions!$B$93,-PMT(Assumptions!$B$104/12,Assumptions!$B$105,Assumptions!$B$91*Assumptions!$B$103),0)+IF(4&gt;=Assumptions!$B$12+Assumptions!$B$96,-PMT(Assumptions!$B$104/12,Assumptions!$B$105,Assumptions!$B$94*Assumptions!$B$103),0)+IF(4&gt;=Assumptions!$B$12+Assumptions!$B$99,-PMT(Assumptions!$B$104/12,Assumptions!$B$105,Assumptions!$B$97*Assumptions!$B$103),0)+IF(4&gt;=Assumptions!$B$12+Assumptions!$B$102,-PMT(Assumptions!$B$104/12,Assumptions!$B$105,Assumptions!$B$100*Assumptions!$B$103),0)</f>
        <v>0</v>
      </c>
      <c r="F51" s="16" t="n">
        <f aca="false">IF(5&gt;=Assumptions!$B$12+Assumptions!$B$90,-PMT(Assumptions!$B$104/12,Assumptions!$B$105,Assumptions!$B$88*Assumptions!$B$103),0)+IF(5&gt;=Assumptions!$B$12+Assumptions!$B$93,-PMT(Assumptions!$B$104/12,Assumptions!$B$105,Assumptions!$B$91*Assumptions!$B$103),0)+IF(5&gt;=Assumptions!$B$12+Assumptions!$B$96,-PMT(Assumptions!$B$104/12,Assumptions!$B$105,Assumptions!$B$94*Assumptions!$B$103),0)+IF(5&gt;=Assumptions!$B$12+Assumptions!$B$99,-PMT(Assumptions!$B$104/12,Assumptions!$B$105,Assumptions!$B$97*Assumptions!$B$103),0)+IF(5&gt;=Assumptions!$B$12+Assumptions!$B$102,-PMT(Assumptions!$B$104/12,Assumptions!$B$105,Assumptions!$B$100*Assumptions!$B$103),0)</f>
        <v>0</v>
      </c>
      <c r="G51" s="16" t="n">
        <f aca="false">IF(6&gt;=Assumptions!$B$12+Assumptions!$B$90,-PMT(Assumptions!$B$104/12,Assumptions!$B$105,Assumptions!$B$88*Assumptions!$B$103),0)+IF(6&gt;=Assumptions!$B$12+Assumptions!$B$93,-PMT(Assumptions!$B$104/12,Assumptions!$B$105,Assumptions!$B$91*Assumptions!$B$103),0)+IF(6&gt;=Assumptions!$B$12+Assumptions!$B$96,-PMT(Assumptions!$B$104/12,Assumptions!$B$105,Assumptions!$B$94*Assumptions!$B$103),0)+IF(6&gt;=Assumptions!$B$12+Assumptions!$B$99,-PMT(Assumptions!$B$104/12,Assumptions!$B$105,Assumptions!$B$97*Assumptions!$B$103),0)+IF(6&gt;=Assumptions!$B$12+Assumptions!$B$102,-PMT(Assumptions!$B$104/12,Assumptions!$B$105,Assumptions!$B$100*Assumptions!$B$103),0)</f>
        <v>0</v>
      </c>
      <c r="H51" s="16" t="n">
        <f aca="false">IF(7&gt;=Assumptions!$B$12+Assumptions!$B$90,-PMT(Assumptions!$B$104/12,Assumptions!$B$105,Assumptions!$B$88*Assumptions!$B$103),0)+IF(7&gt;=Assumptions!$B$12+Assumptions!$B$93,-PMT(Assumptions!$B$104/12,Assumptions!$B$105,Assumptions!$B$91*Assumptions!$B$103),0)+IF(7&gt;=Assumptions!$B$12+Assumptions!$B$96,-PMT(Assumptions!$B$104/12,Assumptions!$B$105,Assumptions!$B$94*Assumptions!$B$103),0)+IF(7&gt;=Assumptions!$B$12+Assumptions!$B$99,-PMT(Assumptions!$B$104/12,Assumptions!$B$105,Assumptions!$B$97*Assumptions!$B$103),0)+IF(7&gt;=Assumptions!$B$12+Assumptions!$B$102,-PMT(Assumptions!$B$104/12,Assumptions!$B$105,Assumptions!$B$100*Assumptions!$B$103),0)</f>
        <v>838.637551144702</v>
      </c>
      <c r="I51" s="16" t="n">
        <f aca="false">IF(8&gt;=Assumptions!$B$12+Assumptions!$B$90,-PMT(Assumptions!$B$104/12,Assumptions!$B$105,Assumptions!$B$88*Assumptions!$B$103),0)+IF(8&gt;=Assumptions!$B$12+Assumptions!$B$93,-PMT(Assumptions!$B$104/12,Assumptions!$B$105,Assumptions!$B$91*Assumptions!$B$103),0)+IF(8&gt;=Assumptions!$B$12+Assumptions!$B$96,-PMT(Assumptions!$B$104/12,Assumptions!$B$105,Assumptions!$B$94*Assumptions!$B$103),0)+IF(8&gt;=Assumptions!$B$12+Assumptions!$B$99,-PMT(Assumptions!$B$104/12,Assumptions!$B$105,Assumptions!$B$97*Assumptions!$B$103),0)+IF(8&gt;=Assumptions!$B$12+Assumptions!$B$102,-PMT(Assumptions!$B$104/12,Assumptions!$B$105,Assumptions!$B$100*Assumptions!$B$103),0)</f>
        <v>838.637551144702</v>
      </c>
      <c r="J51" s="16" t="n">
        <f aca="false">IF(9&gt;=Assumptions!$B$12+Assumptions!$B$90,-PMT(Assumptions!$B$104/12,Assumptions!$B$105,Assumptions!$B$88*Assumptions!$B$103),0)+IF(9&gt;=Assumptions!$B$12+Assumptions!$B$93,-PMT(Assumptions!$B$104/12,Assumptions!$B$105,Assumptions!$B$91*Assumptions!$B$103),0)+IF(9&gt;=Assumptions!$B$12+Assumptions!$B$96,-PMT(Assumptions!$B$104/12,Assumptions!$B$105,Assumptions!$B$94*Assumptions!$B$103),0)+IF(9&gt;=Assumptions!$B$12+Assumptions!$B$99,-PMT(Assumptions!$B$104/12,Assumptions!$B$105,Assumptions!$B$97*Assumptions!$B$103),0)+IF(9&gt;=Assumptions!$B$12+Assumptions!$B$102,-PMT(Assumptions!$B$104/12,Assumptions!$B$105,Assumptions!$B$100*Assumptions!$B$103),0)</f>
        <v>838.637551144702</v>
      </c>
      <c r="K51" s="16" t="n">
        <f aca="false">IF(10&gt;=Assumptions!$B$12+Assumptions!$B$90,-PMT(Assumptions!$B$104/12,Assumptions!$B$105,Assumptions!$B$88*Assumptions!$B$103),0)+IF(10&gt;=Assumptions!$B$12+Assumptions!$B$93,-PMT(Assumptions!$B$104/12,Assumptions!$B$105,Assumptions!$B$91*Assumptions!$B$103),0)+IF(10&gt;=Assumptions!$B$12+Assumptions!$B$96,-PMT(Assumptions!$B$104/12,Assumptions!$B$105,Assumptions!$B$94*Assumptions!$B$103),0)+IF(10&gt;=Assumptions!$B$12+Assumptions!$B$99,-PMT(Assumptions!$B$104/12,Assumptions!$B$105,Assumptions!$B$97*Assumptions!$B$103),0)+IF(10&gt;=Assumptions!$B$12+Assumptions!$B$102,-PMT(Assumptions!$B$104/12,Assumptions!$B$105,Assumptions!$B$100*Assumptions!$B$103),0)</f>
        <v>2300.02575908002</v>
      </c>
      <c r="L51" s="16" t="n">
        <f aca="false">IF(11&gt;=Assumptions!$B$12+Assumptions!$B$90,-PMT(Assumptions!$B$104/12,Assumptions!$B$105,Assumptions!$B$88*Assumptions!$B$103),0)+IF(11&gt;=Assumptions!$B$12+Assumptions!$B$93,-PMT(Assumptions!$B$104/12,Assumptions!$B$105,Assumptions!$B$91*Assumptions!$B$103),0)+IF(11&gt;=Assumptions!$B$12+Assumptions!$B$96,-PMT(Assumptions!$B$104/12,Assumptions!$B$105,Assumptions!$B$94*Assumptions!$B$103),0)+IF(11&gt;=Assumptions!$B$12+Assumptions!$B$99,-PMT(Assumptions!$B$104/12,Assumptions!$B$105,Assumptions!$B$97*Assumptions!$B$103),0)+IF(11&gt;=Assumptions!$B$12+Assumptions!$B$102,-PMT(Assumptions!$B$104/12,Assumptions!$B$105,Assumptions!$B$100*Assumptions!$B$103),0)</f>
        <v>2300.02575908002</v>
      </c>
      <c r="M51" s="16" t="n">
        <f aca="false">IF(12&gt;=Assumptions!$B$12+Assumptions!$B$90,-PMT(Assumptions!$B$104/12,Assumptions!$B$105,Assumptions!$B$88*Assumptions!$B$103),0)+IF(12&gt;=Assumptions!$B$12+Assumptions!$B$93,-PMT(Assumptions!$B$104/12,Assumptions!$B$105,Assumptions!$B$91*Assumptions!$B$103),0)+IF(12&gt;=Assumptions!$B$12+Assumptions!$B$96,-PMT(Assumptions!$B$104/12,Assumptions!$B$105,Assumptions!$B$94*Assumptions!$B$103),0)+IF(12&gt;=Assumptions!$B$12+Assumptions!$B$99,-PMT(Assumptions!$B$104/12,Assumptions!$B$105,Assumptions!$B$97*Assumptions!$B$103),0)+IF(12&gt;=Assumptions!$B$12+Assumptions!$B$102,-PMT(Assumptions!$B$104/12,Assumptions!$B$105,Assumptions!$B$100*Assumptions!$B$103),0)</f>
        <v>2300.02575908002</v>
      </c>
      <c r="N51" s="16" t="n">
        <f aca="false">IF(13&gt;=Assumptions!$B$12+Assumptions!$B$90,-PMT(Assumptions!$B$104/12,Assumptions!$B$105,Assumptions!$B$88*Assumptions!$B$103),0)+IF(13&gt;=Assumptions!$B$12+Assumptions!$B$93,-PMT(Assumptions!$B$104/12,Assumptions!$B$105,Assumptions!$B$91*Assumptions!$B$103),0)+IF(13&gt;=Assumptions!$B$12+Assumptions!$B$96,-PMT(Assumptions!$B$104/12,Assumptions!$B$105,Assumptions!$B$94*Assumptions!$B$103),0)+IF(13&gt;=Assumptions!$B$12+Assumptions!$B$99,-PMT(Assumptions!$B$104/12,Assumptions!$B$105,Assumptions!$B$97*Assumptions!$B$103),0)+IF(13&gt;=Assumptions!$B$12+Assumptions!$B$102,-PMT(Assumptions!$B$104/12,Assumptions!$B$105,Assumptions!$B$100*Assumptions!$B$103),0)</f>
        <v>2300.02575908002</v>
      </c>
      <c r="O51" s="16" t="n">
        <f aca="false">IF(14&gt;=Assumptions!$B$12+Assumptions!$B$90,-PMT(Assumptions!$B$104/12,Assumptions!$B$105,Assumptions!$B$88*Assumptions!$B$103),0)+IF(14&gt;=Assumptions!$B$12+Assumptions!$B$93,-PMT(Assumptions!$B$104/12,Assumptions!$B$105,Assumptions!$B$91*Assumptions!$B$103),0)+IF(14&gt;=Assumptions!$B$12+Assumptions!$B$96,-PMT(Assumptions!$B$104/12,Assumptions!$B$105,Assumptions!$B$94*Assumptions!$B$103),0)+IF(14&gt;=Assumptions!$B$12+Assumptions!$B$99,-PMT(Assumptions!$B$104/12,Assumptions!$B$105,Assumptions!$B$97*Assumptions!$B$103),0)+IF(14&gt;=Assumptions!$B$12+Assumptions!$B$102,-PMT(Assumptions!$B$104/12,Assumptions!$B$105,Assumptions!$B$100*Assumptions!$B$103),0)</f>
        <v>2300.02575908002</v>
      </c>
      <c r="P51" s="16" t="n">
        <f aca="false">IF(15&gt;=Assumptions!$B$12+Assumptions!$B$90,-PMT(Assumptions!$B$104/12,Assumptions!$B$105,Assumptions!$B$88*Assumptions!$B$103),0)+IF(15&gt;=Assumptions!$B$12+Assumptions!$B$93,-PMT(Assumptions!$B$104/12,Assumptions!$B$105,Assumptions!$B$91*Assumptions!$B$103),0)+IF(15&gt;=Assumptions!$B$12+Assumptions!$B$96,-PMT(Assumptions!$B$104/12,Assumptions!$B$105,Assumptions!$B$94*Assumptions!$B$103),0)+IF(15&gt;=Assumptions!$B$12+Assumptions!$B$99,-PMT(Assumptions!$B$104/12,Assumptions!$B$105,Assumptions!$B$97*Assumptions!$B$103),0)+IF(15&gt;=Assumptions!$B$12+Assumptions!$B$102,-PMT(Assumptions!$B$104/12,Assumptions!$B$105,Assumptions!$B$100*Assumptions!$B$103),0)</f>
        <v>2300.02575908002</v>
      </c>
      <c r="Q51" s="16" t="n">
        <f aca="false">IF(16&gt;=Assumptions!$B$12+Assumptions!$B$90,-PMT(Assumptions!$B$104/12,Assumptions!$B$105,Assumptions!$B$88*Assumptions!$B$103),0)+IF(16&gt;=Assumptions!$B$12+Assumptions!$B$93,-PMT(Assumptions!$B$104/12,Assumptions!$B$105,Assumptions!$B$91*Assumptions!$B$103),0)+IF(16&gt;=Assumptions!$B$12+Assumptions!$B$96,-PMT(Assumptions!$B$104/12,Assumptions!$B$105,Assumptions!$B$94*Assumptions!$B$103),0)+IF(16&gt;=Assumptions!$B$12+Assumptions!$B$99,-PMT(Assumptions!$B$104/12,Assumptions!$B$105,Assumptions!$B$97*Assumptions!$B$103),0)+IF(16&gt;=Assumptions!$B$12+Assumptions!$B$102,-PMT(Assumptions!$B$104/12,Assumptions!$B$105,Assumptions!$B$100*Assumptions!$B$103),0)</f>
        <v>2300.02575908002</v>
      </c>
      <c r="R51" s="16" t="n">
        <f aca="false">IF(17&gt;=Assumptions!$B$12+Assumptions!$B$90,-PMT(Assumptions!$B$104/12,Assumptions!$B$105,Assumptions!$B$88*Assumptions!$B$103),0)+IF(17&gt;=Assumptions!$B$12+Assumptions!$B$93,-PMT(Assumptions!$B$104/12,Assumptions!$B$105,Assumptions!$B$91*Assumptions!$B$103),0)+IF(17&gt;=Assumptions!$B$12+Assumptions!$B$96,-PMT(Assumptions!$B$104/12,Assumptions!$B$105,Assumptions!$B$94*Assumptions!$B$103),0)+IF(17&gt;=Assumptions!$B$12+Assumptions!$B$99,-PMT(Assumptions!$B$104/12,Assumptions!$B$105,Assumptions!$B$97*Assumptions!$B$103),0)+IF(17&gt;=Assumptions!$B$12+Assumptions!$B$102,-PMT(Assumptions!$B$104/12,Assumptions!$B$105,Assumptions!$B$100*Assumptions!$B$103),0)</f>
        <v>2300.02575908002</v>
      </c>
      <c r="S51" s="16" t="n">
        <f aca="false">IF(18&gt;=Assumptions!$B$12+Assumptions!$B$90,-PMT(Assumptions!$B$104/12,Assumptions!$B$105,Assumptions!$B$88*Assumptions!$B$103),0)+IF(18&gt;=Assumptions!$B$12+Assumptions!$B$93,-PMT(Assumptions!$B$104/12,Assumptions!$B$105,Assumptions!$B$91*Assumptions!$B$103),0)+IF(18&gt;=Assumptions!$B$12+Assumptions!$B$96,-PMT(Assumptions!$B$104/12,Assumptions!$B$105,Assumptions!$B$94*Assumptions!$B$103),0)+IF(18&gt;=Assumptions!$B$12+Assumptions!$B$99,-PMT(Assumptions!$B$104/12,Assumptions!$B$105,Assumptions!$B$97*Assumptions!$B$103),0)+IF(18&gt;=Assumptions!$B$12+Assumptions!$B$102,-PMT(Assumptions!$B$104/12,Assumptions!$B$105,Assumptions!$B$100*Assumptions!$B$103),0)</f>
        <v>2300.02575908002</v>
      </c>
      <c r="T51" s="16" t="n">
        <f aca="false">IF(19&gt;=Assumptions!$B$12+Assumptions!$B$90,-PMT(Assumptions!$B$104/12,Assumptions!$B$105,Assumptions!$B$88*Assumptions!$B$103),0)+IF(19&gt;=Assumptions!$B$12+Assumptions!$B$93,-PMT(Assumptions!$B$104/12,Assumptions!$B$105,Assumptions!$B$91*Assumptions!$B$103),0)+IF(19&gt;=Assumptions!$B$12+Assumptions!$B$96,-PMT(Assumptions!$B$104/12,Assumptions!$B$105,Assumptions!$B$94*Assumptions!$B$103),0)+IF(19&gt;=Assumptions!$B$12+Assumptions!$B$99,-PMT(Assumptions!$B$104/12,Assumptions!$B$105,Assumptions!$B$97*Assumptions!$B$103),0)+IF(19&gt;=Assumptions!$B$12+Assumptions!$B$102,-PMT(Assumptions!$B$104/12,Assumptions!$B$105,Assumptions!$B$100*Assumptions!$B$103),0)</f>
        <v>2300.02575908002</v>
      </c>
      <c r="U51" s="16" t="n">
        <f aca="false">IF(20&gt;=Assumptions!$B$12+Assumptions!$B$90,-PMT(Assumptions!$B$104/12,Assumptions!$B$105,Assumptions!$B$88*Assumptions!$B$103),0)+IF(20&gt;=Assumptions!$B$12+Assumptions!$B$93,-PMT(Assumptions!$B$104/12,Assumptions!$B$105,Assumptions!$B$91*Assumptions!$B$103),0)+IF(20&gt;=Assumptions!$B$12+Assumptions!$B$96,-PMT(Assumptions!$B$104/12,Assumptions!$B$105,Assumptions!$B$94*Assumptions!$B$103),0)+IF(20&gt;=Assumptions!$B$12+Assumptions!$B$99,-PMT(Assumptions!$B$104/12,Assumptions!$B$105,Assumptions!$B$97*Assumptions!$B$103),0)+IF(20&gt;=Assumptions!$B$12+Assumptions!$B$102,-PMT(Assumptions!$B$104/12,Assumptions!$B$105,Assumptions!$B$100*Assumptions!$B$103),0)</f>
        <v>2300.02575908002</v>
      </c>
      <c r="V51" s="16" t="n">
        <f aca="false">IF(21&gt;=Assumptions!$B$12+Assumptions!$B$90,-PMT(Assumptions!$B$104/12,Assumptions!$B$105,Assumptions!$B$88*Assumptions!$B$103),0)+IF(21&gt;=Assumptions!$B$12+Assumptions!$B$93,-PMT(Assumptions!$B$104/12,Assumptions!$B$105,Assumptions!$B$91*Assumptions!$B$103),0)+IF(21&gt;=Assumptions!$B$12+Assumptions!$B$96,-PMT(Assumptions!$B$104/12,Assumptions!$B$105,Assumptions!$B$94*Assumptions!$B$103),0)+IF(21&gt;=Assumptions!$B$12+Assumptions!$B$99,-PMT(Assumptions!$B$104/12,Assumptions!$B$105,Assumptions!$B$97*Assumptions!$B$103),0)+IF(21&gt;=Assumptions!$B$12+Assumptions!$B$102,-PMT(Assumptions!$B$104/12,Assumptions!$B$105,Assumptions!$B$100*Assumptions!$B$103),0)</f>
        <v>2300.02575908002</v>
      </c>
      <c r="W51" s="16" t="n">
        <f aca="false">IF(22&gt;=Assumptions!$B$12+Assumptions!$B$90,-PMT(Assumptions!$B$104/12,Assumptions!$B$105,Assumptions!$B$88*Assumptions!$B$103),0)+IF(22&gt;=Assumptions!$B$12+Assumptions!$B$93,-PMT(Assumptions!$B$104/12,Assumptions!$B$105,Assumptions!$B$91*Assumptions!$B$103),0)+IF(22&gt;=Assumptions!$B$12+Assumptions!$B$96,-PMT(Assumptions!$B$104/12,Assumptions!$B$105,Assumptions!$B$94*Assumptions!$B$103),0)+IF(22&gt;=Assumptions!$B$12+Assumptions!$B$99,-PMT(Assumptions!$B$104/12,Assumptions!$B$105,Assumptions!$B$97*Assumptions!$B$103),0)+IF(22&gt;=Assumptions!$B$12+Assumptions!$B$102,-PMT(Assumptions!$B$104/12,Assumptions!$B$105,Assumptions!$B$100*Assumptions!$B$103),0)</f>
        <v>2300.02575908002</v>
      </c>
      <c r="X51" s="16" t="n">
        <f aca="false">IF(23&gt;=Assumptions!$B$12+Assumptions!$B$90,-PMT(Assumptions!$B$104/12,Assumptions!$B$105,Assumptions!$B$88*Assumptions!$B$103),0)+IF(23&gt;=Assumptions!$B$12+Assumptions!$B$93,-PMT(Assumptions!$B$104/12,Assumptions!$B$105,Assumptions!$B$91*Assumptions!$B$103),0)+IF(23&gt;=Assumptions!$B$12+Assumptions!$B$96,-PMT(Assumptions!$B$104/12,Assumptions!$B$105,Assumptions!$B$94*Assumptions!$B$103),0)+IF(23&gt;=Assumptions!$B$12+Assumptions!$B$99,-PMT(Assumptions!$B$104/12,Assumptions!$B$105,Assumptions!$B$97*Assumptions!$B$103),0)+IF(23&gt;=Assumptions!$B$12+Assumptions!$B$102,-PMT(Assumptions!$B$104/12,Assumptions!$B$105,Assumptions!$B$100*Assumptions!$B$103),0)</f>
        <v>2300.02575908002</v>
      </c>
      <c r="Y51" s="16" t="n">
        <f aca="false">IF(24&gt;=Assumptions!$B$12+Assumptions!$B$90,-PMT(Assumptions!$B$104/12,Assumptions!$B$105,Assumptions!$B$88*Assumptions!$B$103),0)+IF(24&gt;=Assumptions!$B$12+Assumptions!$B$93,-PMT(Assumptions!$B$104/12,Assumptions!$B$105,Assumptions!$B$91*Assumptions!$B$103),0)+IF(24&gt;=Assumptions!$B$12+Assumptions!$B$96,-PMT(Assumptions!$B$104/12,Assumptions!$B$105,Assumptions!$B$94*Assumptions!$B$103),0)+IF(24&gt;=Assumptions!$B$12+Assumptions!$B$99,-PMT(Assumptions!$B$104/12,Assumptions!$B$105,Assumptions!$B$97*Assumptions!$B$103),0)+IF(24&gt;=Assumptions!$B$12+Assumptions!$B$102,-PMT(Assumptions!$B$104/12,Assumptions!$B$105,Assumptions!$B$100*Assumptions!$B$103),0)</f>
        <v>2300.02575908002</v>
      </c>
      <c r="Z51" s="16" t="n">
        <f aca="false">SUM(B51:M51)</f>
        <v>9415.98993067418</v>
      </c>
      <c r="AA51" s="16" t="n">
        <f aca="false">SUM(N51:Y51)</f>
        <v>27600.3091089603</v>
      </c>
      <c r="AB51" s="16" t="n">
        <f aca="false">SUM(B51:Y51)</f>
        <v>37016.2990396345</v>
      </c>
    </row>
    <row r="52" customFormat="false" ht="15" hidden="false" customHeight="false" outlineLevel="0" collapsed="false">
      <c r="A52" s="17" t="s">
        <v>238</v>
      </c>
      <c r="B52" s="24" t="n">
        <f aca="false">SUM(B39:B51)</f>
        <v>13225</v>
      </c>
      <c r="C52" s="24" t="n">
        <f aca="false">SUM(C39:C51)</f>
        <v>13825</v>
      </c>
      <c r="D52" s="24" t="n">
        <f aca="false">SUM(D39:D51)</f>
        <v>13825</v>
      </c>
      <c r="E52" s="24" t="n">
        <f aca="false">SUM(E39:E51)</f>
        <v>13825</v>
      </c>
      <c r="F52" s="24" t="n">
        <f aca="false">SUM(F39:F51)</f>
        <v>13825</v>
      </c>
      <c r="G52" s="24" t="n">
        <f aca="false">SUM(G39:G51)</f>
        <v>13825</v>
      </c>
      <c r="H52" s="24" t="n">
        <f aca="false">SUM(H39:H51)</f>
        <v>23763.6375511447</v>
      </c>
      <c r="I52" s="24" t="n">
        <f aca="false">SUM(I39:I51)</f>
        <v>19263.6375511447</v>
      </c>
      <c r="J52" s="24" t="n">
        <f aca="false">SUM(J39:J51)</f>
        <v>19263.6375511447</v>
      </c>
      <c r="K52" s="24" t="n">
        <f aca="false">SUM(K39:K51)</f>
        <v>17025.02575908</v>
      </c>
      <c r="L52" s="24" t="n">
        <f aca="false">SUM(L39:L51)</f>
        <v>17025.02575908</v>
      </c>
      <c r="M52" s="24" t="n">
        <f aca="false">SUM(M39:M51)</f>
        <v>17025.02575908</v>
      </c>
      <c r="N52" s="24" t="n">
        <f aca="false">SUM(N39:N51)</f>
        <v>17025.02575908</v>
      </c>
      <c r="O52" s="24" t="n">
        <f aca="false">SUM(O39:O51)</f>
        <v>17025.02575908</v>
      </c>
      <c r="P52" s="24" t="n">
        <f aca="false">SUM(P39:P51)</f>
        <v>17025.02575908</v>
      </c>
      <c r="Q52" s="24" t="n">
        <f aca="false">SUM(Q39:Q51)</f>
        <v>17025.02575908</v>
      </c>
      <c r="R52" s="24" t="n">
        <f aca="false">SUM(R39:R51)</f>
        <v>17025.02575908</v>
      </c>
      <c r="S52" s="24" t="n">
        <f aca="false">SUM(S39:S51)</f>
        <v>17025.02575908</v>
      </c>
      <c r="T52" s="24" t="n">
        <f aca="false">SUM(T39:T51)</f>
        <v>17025.02575908</v>
      </c>
      <c r="U52" s="24" t="n">
        <f aca="false">SUM(U39:U51)</f>
        <v>17025.02575908</v>
      </c>
      <c r="V52" s="24" t="n">
        <f aca="false">SUM(V39:V51)</f>
        <v>17025.02575908</v>
      </c>
      <c r="W52" s="24" t="n">
        <f aca="false">SUM(W39:W51)</f>
        <v>17025.02575908</v>
      </c>
      <c r="X52" s="24" t="n">
        <f aca="false">SUM(X39:X51)</f>
        <v>17025.02575908</v>
      </c>
      <c r="Y52" s="24" t="n">
        <f aca="false">SUM(Y39:Y51)</f>
        <v>17025.02575908</v>
      </c>
      <c r="Z52" s="23" t="n">
        <f aca="false">SUM(B52:M52)</f>
        <v>195715.989930674</v>
      </c>
      <c r="AA52" s="23" t="n">
        <f aca="false">SUM(N52:Y52)</f>
        <v>204300.30910896</v>
      </c>
      <c r="AB52" s="23" t="n">
        <f aca="false">SUM(B52:Y52)</f>
        <v>400016.299039634</v>
      </c>
    </row>
    <row r="53" customFormat="false" ht="15" hidden="false" customHeight="false" outlineLevel="0" collapsed="false">
      <c r="A53" s="17" t="s">
        <v>239</v>
      </c>
      <c r="B53" s="23" t="n">
        <f aca="false">B36-B52</f>
        <v>-1770.87046511628</v>
      </c>
      <c r="C53" s="23" t="n">
        <f aca="false">C36-C52</f>
        <v>-231.335581395349</v>
      </c>
      <c r="D53" s="23" t="n">
        <f aca="false">D36-D52</f>
        <v>1969.45086482558</v>
      </c>
      <c r="E53" s="23" t="n">
        <f aca="false">E36-E52</f>
        <v>4176.54146729651</v>
      </c>
      <c r="F53" s="23" t="n">
        <f aca="false">F36-F52</f>
        <v>6389.8941983091</v>
      </c>
      <c r="G53" s="23" t="n">
        <f aca="false">G36-G52</f>
        <v>8609.46731033977</v>
      </c>
      <c r="H53" s="23" t="n">
        <f aca="false">H36-H52</f>
        <v>12377.5613179207</v>
      </c>
      <c r="I53" s="23" t="n">
        <f aca="false">I36-I52</f>
        <v>19851.5378554021</v>
      </c>
      <c r="J53" s="23" t="n">
        <f aca="false">J36-J52</f>
        <v>22833.655970489</v>
      </c>
      <c r="K53" s="23" t="n">
        <f aca="false">K36-K52</f>
        <v>28062.4731780619</v>
      </c>
      <c r="L53" s="23" t="n">
        <f aca="false">L36-L52</f>
        <v>28199.0488003608</v>
      </c>
      <c r="M53" s="23" t="n">
        <f aca="false">M36-M52</f>
        <v>28334.713918511</v>
      </c>
      <c r="N53" s="23" t="n">
        <f aca="false">N36-N52</f>
        <v>28469.4746025403</v>
      </c>
      <c r="O53" s="23" t="n">
        <f aca="false">O36-O52</f>
        <v>28603.3368820093</v>
      </c>
      <c r="P53" s="23" t="n">
        <f aca="false">P36-P52</f>
        <v>28715.3301837819</v>
      </c>
      <c r="Q53" s="23" t="n">
        <f aca="false">Q36-Q52</f>
        <v>28826.5768635426</v>
      </c>
      <c r="R53" s="23" t="n">
        <f aca="false">R36-R52</f>
        <v>28937.0818987717</v>
      </c>
      <c r="S53" s="23" t="n">
        <f aca="false">S36-S52</f>
        <v>29046.8502337658</v>
      </c>
      <c r="T53" s="23" t="n">
        <f aca="false">T36-T52</f>
        <v>29155.88677986</v>
      </c>
      <c r="U53" s="23" t="n">
        <f aca="false">U36-U52</f>
        <v>29264.196415647</v>
      </c>
      <c r="V53" s="23" t="n">
        <f aca="false">V36-V52</f>
        <v>29371.7839871953</v>
      </c>
      <c r="W53" s="23" t="n">
        <f aca="false">W36-W52</f>
        <v>29478.6543082666</v>
      </c>
      <c r="X53" s="23" t="n">
        <f aca="false">X36-X52</f>
        <v>29584.8121605308</v>
      </c>
      <c r="Y53" s="23" t="n">
        <f aca="false">Y36-Y52</f>
        <v>29690.2622937799</v>
      </c>
      <c r="Z53" s="23" t="n">
        <f aca="false">SUM(B53:M53)</f>
        <v>158802.138835005</v>
      </c>
      <c r="AA53" s="23" t="n">
        <f aca="false">SUM(N53:Y53)</f>
        <v>349144.246609691</v>
      </c>
      <c r="AB53" s="23" t="n">
        <f aca="false">SUM(B53:Y53)</f>
        <v>507946.385444696</v>
      </c>
    </row>
    <row r="54" customFormat="false" ht="15" hidden="false" customHeight="false" outlineLevel="0" collapsed="false">
      <c r="A54" s="19" t="s">
        <v>240</v>
      </c>
      <c r="B54" s="22" t="n">
        <f aca="false">IF(B29=0,0,B53/B29)</f>
        <v>-0.0558675201760823</v>
      </c>
      <c r="C54" s="22" t="n">
        <f aca="false">IF(C29=0,0,C53/C29)</f>
        <v>-0.00673033152909339</v>
      </c>
      <c r="D54" s="22" t="n">
        <f aca="false">IF(D29=0,0,D53/D29)</f>
        <v>0.0530395861073731</v>
      </c>
      <c r="E54" s="22" t="n">
        <f aca="false">IF(E29=0,0,E53/E29)</f>
        <v>0.104674938589991</v>
      </c>
      <c r="F54" s="22" t="n">
        <f aca="false">IF(F29=0,0,F53/F29)</f>
        <v>0.14972613656475</v>
      </c>
      <c r="G54" s="22" t="n">
        <f aca="false">IF(G29=0,0,G53/G29)</f>
        <v>0.189373184311224</v>
      </c>
      <c r="H54" s="22" t="n">
        <f aca="false">IF(H29=0,0,H53/H29)</f>
        <v>0.154734320863829</v>
      </c>
      <c r="I54" s="22" t="n">
        <f aca="false">IF(I29=0,0,I53/I29)</f>
        <v>0.237098621837307</v>
      </c>
      <c r="J54" s="22" t="n">
        <f aca="false">IF(J29=0,0,J53/J29)</f>
        <v>0.261037142329178</v>
      </c>
      <c r="K54" s="22" t="n">
        <f aca="false">IF(K29=0,0,K53/K29)</f>
        <v>0.307601454793735</v>
      </c>
      <c r="L54" s="22" t="n">
        <f aca="false">IF(L29=0,0,L53/L29)</f>
        <v>0.308456147070284</v>
      </c>
      <c r="M54" s="22" t="n">
        <f aca="false">IF(M29=0,0,M53/M29)</f>
        <v>0.309301631717674</v>
      </c>
      <c r="N54" s="22" t="n">
        <f aca="false">IF(N29=0,0,N53/N29)</f>
        <v>0.310138038118585</v>
      </c>
      <c r="O54" s="22" t="n">
        <f aca="false">IF(O29=0,0,O53/O29)</f>
        <v>0.310965493293957</v>
      </c>
      <c r="P54" s="22" t="n">
        <f aca="false">IF(P29=0,0,P53/P29)</f>
        <v>0.31165519815497</v>
      </c>
      <c r="Q54" s="22" t="n">
        <f aca="false">IF(Q29=0,0,Q53/Q29)</f>
        <v>0.312337999785005</v>
      </c>
      <c r="R54" s="22" t="n">
        <f aca="false">IF(R29=0,0,R53/R29)</f>
        <v>0.313013986261822</v>
      </c>
      <c r="S54" s="22" t="n">
        <f aca="false">IF(S29=0,0,S53/S29)</f>
        <v>0.313683244215587</v>
      </c>
      <c r="T54" s="22" t="n">
        <f aca="false">IF(T29=0,0,T53/T29)</f>
        <v>0.314345858858521</v>
      </c>
      <c r="U54" s="22" t="n">
        <f aca="false">IF(U29=0,0,U53/U29)</f>
        <v>0.315001914013817</v>
      </c>
      <c r="V54" s="22" t="n">
        <f aca="false">IF(V29=0,0,V53/V29)</f>
        <v>0.315651492143852</v>
      </c>
      <c r="W54" s="22" t="n">
        <f aca="false">IF(W29=0,0,W53/W29)</f>
        <v>0.316294674377718</v>
      </c>
      <c r="X54" s="22" t="n">
        <f aca="false">IF(X29=0,0,X53/X29)</f>
        <v>0.316931540538078</v>
      </c>
      <c r="Y54" s="22" t="n">
        <f aca="false">IF(Y29=0,0,Y53/Y29)</f>
        <v>0.317562169167379</v>
      </c>
      <c r="Z54" s="2"/>
      <c r="AA54" s="2"/>
      <c r="AB54" s="2"/>
    </row>
    <row r="55" customFormat="false" ht="15" hidden="false" customHeight="false" outlineLevel="0" collapsed="false">
      <c r="A55" s="4" t="s">
        <v>241</v>
      </c>
      <c r="B55" s="5"/>
      <c r="C55" s="5"/>
      <c r="D55" s="5"/>
      <c r="E55" s="5"/>
      <c r="F55" s="5"/>
      <c r="G55" s="5"/>
      <c r="H55" s="5"/>
      <c r="I55" s="5"/>
      <c r="J55" s="5"/>
      <c r="K55" s="5"/>
      <c r="L55" s="5"/>
      <c r="M55" s="5"/>
      <c r="N55" s="5"/>
      <c r="O55" s="5"/>
      <c r="P55" s="5"/>
      <c r="Q55" s="5"/>
      <c r="R55" s="5"/>
      <c r="S55" s="5"/>
      <c r="T55" s="5"/>
      <c r="U55" s="5"/>
      <c r="V55" s="5"/>
      <c r="W55" s="5"/>
      <c r="X55" s="5"/>
      <c r="Y55" s="5"/>
      <c r="Z55" s="5"/>
      <c r="AA55" s="5"/>
      <c r="AB55" s="5"/>
    </row>
    <row r="56" customFormat="false" ht="15" hidden="false" customHeight="false" outlineLevel="0" collapsed="false">
      <c r="A56" s="19" t="s">
        <v>242</v>
      </c>
      <c r="B56" s="16" t="n">
        <f aca="false">B25*Assumptions!$B$57+B25*(1-Assumptions!$B$57)*Assumptions!$B$58+0+B28</f>
        <v>29478.8372093023</v>
      </c>
      <c r="C56" s="16" t="n">
        <f aca="false">C25*Assumptions!$B$57+C25*(1-Assumptions!$B$57)*Assumptions!$B$58+B25*(1-Assumptions!$B$57)*(1-Assumptions!$B$58)+C28</f>
        <v>34184.8837209302</v>
      </c>
      <c r="D56" s="16" t="n">
        <f aca="false">D25*Assumptions!$B$57+D25*(1-Assumptions!$B$57)*Assumptions!$B$58+C25*(1-Assumptions!$B$57)*(1-Assumptions!$B$58)+D28</f>
        <v>36944.5070130814</v>
      </c>
      <c r="E56" s="16" t="n">
        <f aca="false">E25*Assumptions!$B$57+E25*(1-Assumptions!$B$57)*Assumptions!$B$58+D25*(1-Assumptions!$B$57)*(1-Assumptions!$B$58)+E28</f>
        <v>39712.8997739826</v>
      </c>
      <c r="F56" s="16" t="n">
        <f aca="false">F25*Assumptions!$B$57+F25*(1-Assumptions!$B$57)*Assumptions!$B$58+E25*(1-Assumptions!$B$57)*(1-Assumptions!$B$58)+F28</f>
        <v>42490.0035405087</v>
      </c>
      <c r="G56" s="16" t="n">
        <f aca="false">G25*Assumptions!$B$57+G25*(1-Assumptions!$B$57)*Assumptions!$B$58+F25*(1-Assumptions!$B$57)*(1-Assumptions!$B$58)+G28</f>
        <v>45275.7602392891</v>
      </c>
      <c r="H56" s="16" t="n">
        <f aca="false">H25*Assumptions!$B$57+H25*(1-Assumptions!$B$57)*Assumptions!$B$58+G25*(1-Assumptions!$B$57)*(1-Assumptions!$B$58)+H28</f>
        <v>77586.2993934108</v>
      </c>
      <c r="I56" s="16" t="n">
        <f aca="false">I25*Assumptions!$B$57+I25*(1-Assumptions!$B$57)*Assumptions!$B$58+H25*(1-Assumptions!$B$57)*(1-Assumptions!$B$58)+I28</f>
        <v>83477.3097593734</v>
      </c>
      <c r="J56" s="16" t="n">
        <f aca="false">J25*Assumptions!$B$57+J25*(1-Assumptions!$B$57)*Assumptions!$B$58+I25*(1-Assumptions!$B$57)*(1-Assumptions!$B$58)+J28</f>
        <v>87223.2114515783</v>
      </c>
      <c r="K56" s="16" t="n">
        <f aca="false">K25*Assumptions!$B$57+K25*(1-Assumptions!$B$57)*Assumptions!$B$58+J25*(1-Assumptions!$B$57)*(1-Assumptions!$B$58)+K28</f>
        <v>90980.3630756544</v>
      </c>
      <c r="L56" s="16" t="n">
        <f aca="false">L25*Assumptions!$B$57+L25*(1-Assumptions!$B$57)*Assumptions!$B$58+K25*(1-Assumptions!$B$57)*(1-Assumptions!$B$58)+L28</f>
        <v>91419.9605622882</v>
      </c>
      <c r="M56" s="16" t="n">
        <f aca="false">M25*Assumptions!$B$57+M25*(1-Assumptions!$B$57)*Assumptions!$B$58+L25*(1-Assumptions!$B$57)*(1-Assumptions!$B$58)+M28</f>
        <v>91608.6790785978</v>
      </c>
      <c r="N56" s="16" t="n">
        <f aca="false">N25*Assumptions!$B$57+N25*(1-Assumptions!$B$57)*Assumptions!$B$58+M25*(1-Assumptions!$B$57)*(1-Assumptions!$B$58)+N28</f>
        <v>91796.1394714653</v>
      </c>
      <c r="O56" s="16" t="n">
        <f aca="false">O25*Assumptions!$B$57+O25*(1-Assumptions!$B$57)*Assumptions!$B$58+N25*(1-Assumptions!$B$57)*(1-Assumptions!$B$58)+O28</f>
        <v>91982.3501283803</v>
      </c>
      <c r="P56" s="16" t="n">
        <f aca="false">P25*Assumptions!$B$57+P25*(1-Assumptions!$B$57)*Assumptions!$B$58+O25*(1-Assumptions!$B$57)*(1-Assumptions!$B$58)+P28</f>
        <v>92138.1396934159</v>
      </c>
      <c r="Q56" s="16" t="n">
        <f aca="false">Q25*Assumptions!$B$57+Q25*(1-Assumptions!$B$57)*Assumptions!$B$58+P25*(1-Assumptions!$B$57)*(1-Assumptions!$B$58)+Q28</f>
        <v>92292.8906613513</v>
      </c>
      <c r="R56" s="16" t="n">
        <f aca="false">R25*Assumptions!$B$57+R25*(1-Assumptions!$B$57)*Assumptions!$B$58+Q25*(1-Assumptions!$B$57)*(1-Assumptions!$B$58)+R28</f>
        <v>92446.6099561671</v>
      </c>
      <c r="S56" s="16" t="n">
        <f aca="false">S25*Assumptions!$B$57+S25*(1-Assumptions!$B$57)*Assumptions!$B$58+R25*(1-Assumptions!$B$57)*(1-Assumptions!$B$58)+S28</f>
        <v>92599.3044556841</v>
      </c>
      <c r="T56" s="16" t="n">
        <f aca="false">T25*Assumptions!$B$57+T25*(1-Assumptions!$B$57)*Assumptions!$B$58+S25*(1-Assumptions!$B$57)*(1-Assumptions!$B$58)+T28</f>
        <v>92750.980991871</v>
      </c>
      <c r="U56" s="16" t="n">
        <f aca="false">U25*Assumptions!$B$57+U25*(1-Assumptions!$B$57)*Assumptions!$B$58+T25*(1-Assumptions!$B$57)*(1-Assumptions!$B$58)+U28</f>
        <v>92901.64635115</v>
      </c>
      <c r="V56" s="16" t="n">
        <f aca="false">V25*Assumptions!$B$57+V25*(1-Assumptions!$B$57)*Assumptions!$B$58+U25*(1-Assumptions!$B$57)*(1-Assumptions!$B$58)+V28</f>
        <v>93051.3072747005</v>
      </c>
      <c r="W56" s="16" t="n">
        <f aca="false">W25*Assumptions!$B$57+W25*(1-Assumptions!$B$57)*Assumptions!$B$58+V25*(1-Assumptions!$B$57)*(1-Assumptions!$B$58)+W28</f>
        <v>93199.9704587606</v>
      </c>
      <c r="X56" s="16" t="n">
        <f aca="false">X25*Assumptions!$B$57+X25*(1-Assumptions!$B$57)*Assumptions!$B$58+W25*(1-Assumptions!$B$57)*(1-Assumptions!$B$58)+X28</f>
        <v>93347.642554927</v>
      </c>
      <c r="Y56" s="16" t="n">
        <f aca="false">Y25*Assumptions!$B$57+Y25*(1-Assumptions!$B$57)*Assumptions!$B$58+X25*(1-Assumptions!$B$57)*(1-Assumptions!$B$58)+Y28</f>
        <v>93494.3301704523</v>
      </c>
      <c r="Z56" s="16" t="n">
        <f aca="false">SUM(B56:M56)</f>
        <v>750382.714817997</v>
      </c>
      <c r="AA56" s="16" t="n">
        <f aca="false">SUM(N56:Y56)</f>
        <v>1112001.31216833</v>
      </c>
      <c r="AB56" s="16" t="n">
        <f aca="false">SUM(B56:Y56)</f>
        <v>1862384.02698632</v>
      </c>
    </row>
    <row r="57" customFormat="false" ht="15" hidden="false" customHeight="false" outlineLevel="0" collapsed="false">
      <c r="A57" s="19" t="s">
        <v>243</v>
      </c>
      <c r="B57" s="16" t="n">
        <f aca="false">B35+B52</f>
        <v>33468.5448837209</v>
      </c>
      <c r="C57" s="16" t="n">
        <f aca="false">C35+C52</f>
        <v>34603.4286046512</v>
      </c>
      <c r="D57" s="16" t="n">
        <f aca="false">D35+D52</f>
        <v>35162.2654505814</v>
      </c>
      <c r="E57" s="16" t="n">
        <f aca="false">E35+E52</f>
        <v>35723.5676090116</v>
      </c>
      <c r="F57" s="16" t="n">
        <f aca="false">F35+F52</f>
        <v>36287.3186445252</v>
      </c>
      <c r="G57" s="16" t="n">
        <f aca="false">G35+G52</f>
        <v>36853.5022312749</v>
      </c>
      <c r="H57" s="16" t="n">
        <f aca="false">H35+H52</f>
        <v>67614.7845871181</v>
      </c>
      <c r="I57" s="16" t="n">
        <f aca="false">I35+I52</f>
        <v>63875.384307072</v>
      </c>
      <c r="J57" s="16" t="n">
        <f aca="false">J35+J52</f>
        <v>64639.1678841901</v>
      </c>
      <c r="K57" s="16" t="n">
        <f aca="false">K35+K52</f>
        <v>63167.5023006933</v>
      </c>
      <c r="L57" s="16" t="n">
        <f aca="false">L35+L52</f>
        <v>63220.9117619275</v>
      </c>
      <c r="M57" s="16" t="n">
        <f aca="false">M35+M52</f>
        <v>63273.9651600868</v>
      </c>
      <c r="N57" s="16" t="n">
        <f aca="false">N35+N52</f>
        <v>63326.664868925</v>
      </c>
      <c r="O57" s="16" t="n">
        <f aca="false">O35+O52</f>
        <v>63379.013246371</v>
      </c>
      <c r="P57" s="16" t="n">
        <f aca="false">P35+P52</f>
        <v>63422.8095096341</v>
      </c>
      <c r="Q57" s="16" t="n">
        <f aca="false">Q35+Q52</f>
        <v>63466.3137978087</v>
      </c>
      <c r="R57" s="16" t="n">
        <f aca="false">R35+R52</f>
        <v>63509.5280573954</v>
      </c>
      <c r="S57" s="16" t="n">
        <f aca="false">S35+S52</f>
        <v>63552.4542219183</v>
      </c>
      <c r="T57" s="16" t="n">
        <f aca="false">T35+T52</f>
        <v>63595.094212011</v>
      </c>
      <c r="U57" s="16" t="n">
        <f aca="false">U35+U52</f>
        <v>63637.4499355031</v>
      </c>
      <c r="V57" s="16" t="n">
        <f aca="false">V35+V52</f>
        <v>63679.5232875052</v>
      </c>
      <c r="W57" s="16" t="n">
        <f aca="false">W35+W52</f>
        <v>63721.316150494</v>
      </c>
      <c r="X57" s="16" t="n">
        <f aca="false">X35+X52</f>
        <v>63762.8303943962</v>
      </c>
      <c r="Y57" s="16" t="n">
        <f aca="false">Y35+Y52</f>
        <v>63804.0678766724</v>
      </c>
      <c r="Z57" s="16" t="n">
        <f aca="false">SUM(B57:M57)</f>
        <v>597890.343424853</v>
      </c>
      <c r="AA57" s="16" t="n">
        <f aca="false">SUM(N57:Y57)</f>
        <v>762857.065558634</v>
      </c>
      <c r="AB57" s="16" t="n">
        <f aca="false">SUM(B57:Y57)</f>
        <v>1360747.40898349</v>
      </c>
    </row>
    <row r="58" customFormat="false" ht="15" hidden="false" customHeight="false" outlineLevel="0" collapsed="false">
      <c r="A58" s="19" t="s">
        <v>244</v>
      </c>
      <c r="B58" s="16" t="n">
        <f aca="false">IF(1=Assumptions!$B$12+Assumptions!$B$90,Assumptions!$B$88*(1-Assumptions!$B$103),0)+IF(1=Assumptions!$B$12+Assumptions!$B$93,Assumptions!$B$91*(1-Assumptions!$B$103),0)+IF(1=Assumptions!$B$12+Assumptions!$B$96,Assumptions!$B$94*(1-Assumptions!$B$103),0)+IF(1=Assumptions!$B$12+Assumptions!$B$99,Assumptions!$B$97*(1-Assumptions!$B$103),0)+IF(1=Assumptions!$B$12+Assumptions!$B$102,Assumptions!$B$100*(1-Assumptions!$B$103),0)</f>
        <v>0</v>
      </c>
      <c r="C58" s="16" t="n">
        <f aca="false">IF(2=Assumptions!$B$12+Assumptions!$B$90,Assumptions!$B$88*(1-Assumptions!$B$103),0)+IF(2=Assumptions!$B$12+Assumptions!$B$93,Assumptions!$B$91*(1-Assumptions!$B$103),0)+IF(2=Assumptions!$B$12+Assumptions!$B$96,Assumptions!$B$94*(1-Assumptions!$B$103),0)+IF(2=Assumptions!$B$12+Assumptions!$B$99,Assumptions!$B$97*(1-Assumptions!$B$103),0)+IF(2=Assumptions!$B$12+Assumptions!$B$102,Assumptions!$B$100*(1-Assumptions!$B$103),0)</f>
        <v>0</v>
      </c>
      <c r="D58" s="16" t="n">
        <f aca="false">IF(3=Assumptions!$B$12+Assumptions!$B$90,Assumptions!$B$88*(1-Assumptions!$B$103),0)+IF(3=Assumptions!$B$12+Assumptions!$B$93,Assumptions!$B$91*(1-Assumptions!$B$103),0)+IF(3=Assumptions!$B$12+Assumptions!$B$96,Assumptions!$B$94*(1-Assumptions!$B$103),0)+IF(3=Assumptions!$B$12+Assumptions!$B$99,Assumptions!$B$97*(1-Assumptions!$B$103),0)+IF(3=Assumptions!$B$12+Assumptions!$B$102,Assumptions!$B$100*(1-Assumptions!$B$103),0)</f>
        <v>0</v>
      </c>
      <c r="E58" s="16" t="n">
        <f aca="false">IF(4=Assumptions!$B$12+Assumptions!$B$90,Assumptions!$B$88*(1-Assumptions!$B$103),0)+IF(4=Assumptions!$B$12+Assumptions!$B$93,Assumptions!$B$91*(1-Assumptions!$B$103),0)+IF(4=Assumptions!$B$12+Assumptions!$B$96,Assumptions!$B$94*(1-Assumptions!$B$103),0)+IF(4=Assumptions!$B$12+Assumptions!$B$99,Assumptions!$B$97*(1-Assumptions!$B$103),0)+IF(4=Assumptions!$B$12+Assumptions!$B$102,Assumptions!$B$100*(1-Assumptions!$B$103),0)</f>
        <v>0</v>
      </c>
      <c r="F58" s="16" t="n">
        <f aca="false">IF(5=Assumptions!$B$12+Assumptions!$B$90,Assumptions!$B$88*(1-Assumptions!$B$103),0)+IF(5=Assumptions!$B$12+Assumptions!$B$93,Assumptions!$B$91*(1-Assumptions!$B$103),0)+IF(5=Assumptions!$B$12+Assumptions!$B$96,Assumptions!$B$94*(1-Assumptions!$B$103),0)+IF(5=Assumptions!$B$12+Assumptions!$B$99,Assumptions!$B$97*(1-Assumptions!$B$103),0)+IF(5=Assumptions!$B$12+Assumptions!$B$102,Assumptions!$B$100*(1-Assumptions!$B$103),0)</f>
        <v>0</v>
      </c>
      <c r="G58" s="16" t="n">
        <f aca="false">IF(6=Assumptions!$B$12+Assumptions!$B$90,Assumptions!$B$88*(1-Assumptions!$B$103),0)+IF(6=Assumptions!$B$12+Assumptions!$B$93,Assumptions!$B$91*(1-Assumptions!$B$103),0)+IF(6=Assumptions!$B$12+Assumptions!$B$96,Assumptions!$B$94*(1-Assumptions!$B$103),0)+IF(6=Assumptions!$B$12+Assumptions!$B$99,Assumptions!$B$97*(1-Assumptions!$B$103),0)+IF(6=Assumptions!$B$12+Assumptions!$B$102,Assumptions!$B$100*(1-Assumptions!$B$103),0)</f>
        <v>0</v>
      </c>
      <c r="H58" s="16" t="n">
        <f aca="false">IF(7=Assumptions!$B$12+Assumptions!$B$90,Assumptions!$B$88*(1-Assumptions!$B$103),0)+IF(7=Assumptions!$B$12+Assumptions!$B$93,Assumptions!$B$91*(1-Assumptions!$B$103),0)+IF(7=Assumptions!$B$12+Assumptions!$B$96,Assumptions!$B$94*(1-Assumptions!$B$103),0)+IF(7=Assumptions!$B$12+Assumptions!$B$99,Assumptions!$B$97*(1-Assumptions!$B$103),0)+IF(7=Assumptions!$B$12+Assumptions!$B$102,Assumptions!$B$100*(1-Assumptions!$B$103),0)</f>
        <v>10100</v>
      </c>
      <c r="I58" s="16" t="n">
        <f aca="false">IF(8=Assumptions!$B$12+Assumptions!$B$90,Assumptions!$B$88*(1-Assumptions!$B$103),0)+IF(8=Assumptions!$B$12+Assumptions!$B$93,Assumptions!$B$91*(1-Assumptions!$B$103),0)+IF(8=Assumptions!$B$12+Assumptions!$B$96,Assumptions!$B$94*(1-Assumptions!$B$103),0)+IF(8=Assumptions!$B$12+Assumptions!$B$99,Assumptions!$B$97*(1-Assumptions!$B$103),0)+IF(8=Assumptions!$B$12+Assumptions!$B$102,Assumptions!$B$100*(1-Assumptions!$B$103),0)</f>
        <v>0</v>
      </c>
      <c r="J58" s="16" t="n">
        <f aca="false">IF(9=Assumptions!$B$12+Assumptions!$B$90,Assumptions!$B$88*(1-Assumptions!$B$103),0)+IF(9=Assumptions!$B$12+Assumptions!$B$93,Assumptions!$B$91*(1-Assumptions!$B$103),0)+IF(9=Assumptions!$B$12+Assumptions!$B$96,Assumptions!$B$94*(1-Assumptions!$B$103),0)+IF(9=Assumptions!$B$12+Assumptions!$B$99,Assumptions!$B$97*(1-Assumptions!$B$103),0)+IF(9=Assumptions!$B$12+Assumptions!$B$102,Assumptions!$B$100*(1-Assumptions!$B$103),0)</f>
        <v>0</v>
      </c>
      <c r="K58" s="16" t="n">
        <f aca="false">IF(10=Assumptions!$B$12+Assumptions!$B$90,Assumptions!$B$88*(1-Assumptions!$B$103),0)+IF(10=Assumptions!$B$12+Assumptions!$B$93,Assumptions!$B$91*(1-Assumptions!$B$103),0)+IF(10=Assumptions!$B$12+Assumptions!$B$96,Assumptions!$B$94*(1-Assumptions!$B$103),0)+IF(10=Assumptions!$B$12+Assumptions!$B$99,Assumptions!$B$97*(1-Assumptions!$B$103),0)+IF(10=Assumptions!$B$12+Assumptions!$B$102,Assumptions!$B$100*(1-Assumptions!$B$103),0)</f>
        <v>17600</v>
      </c>
      <c r="L58" s="16" t="n">
        <f aca="false">IF(11=Assumptions!$B$12+Assumptions!$B$90,Assumptions!$B$88*(1-Assumptions!$B$103),0)+IF(11=Assumptions!$B$12+Assumptions!$B$93,Assumptions!$B$91*(1-Assumptions!$B$103),0)+IF(11=Assumptions!$B$12+Assumptions!$B$96,Assumptions!$B$94*(1-Assumptions!$B$103),0)+IF(11=Assumptions!$B$12+Assumptions!$B$99,Assumptions!$B$97*(1-Assumptions!$B$103),0)+IF(11=Assumptions!$B$12+Assumptions!$B$102,Assumptions!$B$100*(1-Assumptions!$B$103),0)</f>
        <v>0</v>
      </c>
      <c r="M58" s="16" t="n">
        <f aca="false">IF(12=Assumptions!$B$12+Assumptions!$B$90,Assumptions!$B$88*(1-Assumptions!$B$103),0)+IF(12=Assumptions!$B$12+Assumptions!$B$93,Assumptions!$B$91*(1-Assumptions!$B$103),0)+IF(12=Assumptions!$B$12+Assumptions!$B$96,Assumptions!$B$94*(1-Assumptions!$B$103),0)+IF(12=Assumptions!$B$12+Assumptions!$B$99,Assumptions!$B$97*(1-Assumptions!$B$103),0)+IF(12=Assumptions!$B$12+Assumptions!$B$102,Assumptions!$B$100*(1-Assumptions!$B$103),0)</f>
        <v>0</v>
      </c>
      <c r="N58" s="16" t="n">
        <f aca="false">IF(13=Assumptions!$B$12+Assumptions!$B$90,Assumptions!$B$88*(1-Assumptions!$B$103),0)+IF(13=Assumptions!$B$12+Assumptions!$B$93,Assumptions!$B$91*(1-Assumptions!$B$103),0)+IF(13=Assumptions!$B$12+Assumptions!$B$96,Assumptions!$B$94*(1-Assumptions!$B$103),0)+IF(13=Assumptions!$B$12+Assumptions!$B$99,Assumptions!$B$97*(1-Assumptions!$B$103),0)+IF(13=Assumptions!$B$12+Assumptions!$B$102,Assumptions!$B$100*(1-Assumptions!$B$103),0)</f>
        <v>0</v>
      </c>
      <c r="O58" s="16" t="n">
        <f aca="false">IF(14=Assumptions!$B$12+Assumptions!$B$90,Assumptions!$B$88*(1-Assumptions!$B$103),0)+IF(14=Assumptions!$B$12+Assumptions!$B$93,Assumptions!$B$91*(1-Assumptions!$B$103),0)+IF(14=Assumptions!$B$12+Assumptions!$B$96,Assumptions!$B$94*(1-Assumptions!$B$103),0)+IF(14=Assumptions!$B$12+Assumptions!$B$99,Assumptions!$B$97*(1-Assumptions!$B$103),0)+IF(14=Assumptions!$B$12+Assumptions!$B$102,Assumptions!$B$100*(1-Assumptions!$B$103),0)</f>
        <v>0</v>
      </c>
      <c r="P58" s="16" t="n">
        <f aca="false">IF(15=Assumptions!$B$12+Assumptions!$B$90,Assumptions!$B$88*(1-Assumptions!$B$103),0)+IF(15=Assumptions!$B$12+Assumptions!$B$93,Assumptions!$B$91*(1-Assumptions!$B$103),0)+IF(15=Assumptions!$B$12+Assumptions!$B$96,Assumptions!$B$94*(1-Assumptions!$B$103),0)+IF(15=Assumptions!$B$12+Assumptions!$B$99,Assumptions!$B$97*(1-Assumptions!$B$103),0)+IF(15=Assumptions!$B$12+Assumptions!$B$102,Assumptions!$B$100*(1-Assumptions!$B$103),0)</f>
        <v>0</v>
      </c>
      <c r="Q58" s="16" t="n">
        <f aca="false">IF(16=Assumptions!$B$12+Assumptions!$B$90,Assumptions!$B$88*(1-Assumptions!$B$103),0)+IF(16=Assumptions!$B$12+Assumptions!$B$93,Assumptions!$B$91*(1-Assumptions!$B$103),0)+IF(16=Assumptions!$B$12+Assumptions!$B$96,Assumptions!$B$94*(1-Assumptions!$B$103),0)+IF(16=Assumptions!$B$12+Assumptions!$B$99,Assumptions!$B$97*(1-Assumptions!$B$103),0)+IF(16=Assumptions!$B$12+Assumptions!$B$102,Assumptions!$B$100*(1-Assumptions!$B$103),0)</f>
        <v>0</v>
      </c>
      <c r="R58" s="16" t="n">
        <f aca="false">IF(17=Assumptions!$B$12+Assumptions!$B$90,Assumptions!$B$88*(1-Assumptions!$B$103),0)+IF(17=Assumptions!$B$12+Assumptions!$B$93,Assumptions!$B$91*(1-Assumptions!$B$103),0)+IF(17=Assumptions!$B$12+Assumptions!$B$96,Assumptions!$B$94*(1-Assumptions!$B$103),0)+IF(17=Assumptions!$B$12+Assumptions!$B$99,Assumptions!$B$97*(1-Assumptions!$B$103),0)+IF(17=Assumptions!$B$12+Assumptions!$B$102,Assumptions!$B$100*(1-Assumptions!$B$103),0)</f>
        <v>0</v>
      </c>
      <c r="S58" s="16" t="n">
        <f aca="false">IF(18=Assumptions!$B$12+Assumptions!$B$90,Assumptions!$B$88*(1-Assumptions!$B$103),0)+IF(18=Assumptions!$B$12+Assumptions!$B$93,Assumptions!$B$91*(1-Assumptions!$B$103),0)+IF(18=Assumptions!$B$12+Assumptions!$B$96,Assumptions!$B$94*(1-Assumptions!$B$103),0)+IF(18=Assumptions!$B$12+Assumptions!$B$99,Assumptions!$B$97*(1-Assumptions!$B$103),0)+IF(18=Assumptions!$B$12+Assumptions!$B$102,Assumptions!$B$100*(1-Assumptions!$B$103),0)</f>
        <v>0</v>
      </c>
      <c r="T58" s="16" t="n">
        <f aca="false">IF(19=Assumptions!$B$12+Assumptions!$B$90,Assumptions!$B$88*(1-Assumptions!$B$103),0)+IF(19=Assumptions!$B$12+Assumptions!$B$93,Assumptions!$B$91*(1-Assumptions!$B$103),0)+IF(19=Assumptions!$B$12+Assumptions!$B$96,Assumptions!$B$94*(1-Assumptions!$B$103),0)+IF(19=Assumptions!$B$12+Assumptions!$B$99,Assumptions!$B$97*(1-Assumptions!$B$103),0)+IF(19=Assumptions!$B$12+Assumptions!$B$102,Assumptions!$B$100*(1-Assumptions!$B$103),0)</f>
        <v>0</v>
      </c>
      <c r="U58" s="16" t="n">
        <f aca="false">IF(20=Assumptions!$B$12+Assumptions!$B$90,Assumptions!$B$88*(1-Assumptions!$B$103),0)+IF(20=Assumptions!$B$12+Assumptions!$B$93,Assumptions!$B$91*(1-Assumptions!$B$103),0)+IF(20=Assumptions!$B$12+Assumptions!$B$96,Assumptions!$B$94*(1-Assumptions!$B$103),0)+IF(20=Assumptions!$B$12+Assumptions!$B$99,Assumptions!$B$97*(1-Assumptions!$B$103),0)+IF(20=Assumptions!$B$12+Assumptions!$B$102,Assumptions!$B$100*(1-Assumptions!$B$103),0)</f>
        <v>0</v>
      </c>
      <c r="V58" s="16" t="n">
        <f aca="false">IF(21=Assumptions!$B$12+Assumptions!$B$90,Assumptions!$B$88*(1-Assumptions!$B$103),0)+IF(21=Assumptions!$B$12+Assumptions!$B$93,Assumptions!$B$91*(1-Assumptions!$B$103),0)+IF(21=Assumptions!$B$12+Assumptions!$B$96,Assumptions!$B$94*(1-Assumptions!$B$103),0)+IF(21=Assumptions!$B$12+Assumptions!$B$99,Assumptions!$B$97*(1-Assumptions!$B$103),0)+IF(21=Assumptions!$B$12+Assumptions!$B$102,Assumptions!$B$100*(1-Assumptions!$B$103),0)</f>
        <v>0</v>
      </c>
      <c r="W58" s="16" t="n">
        <f aca="false">IF(22=Assumptions!$B$12+Assumptions!$B$90,Assumptions!$B$88*(1-Assumptions!$B$103),0)+IF(22=Assumptions!$B$12+Assumptions!$B$93,Assumptions!$B$91*(1-Assumptions!$B$103),0)+IF(22=Assumptions!$B$12+Assumptions!$B$96,Assumptions!$B$94*(1-Assumptions!$B$103),0)+IF(22=Assumptions!$B$12+Assumptions!$B$99,Assumptions!$B$97*(1-Assumptions!$B$103),0)+IF(22=Assumptions!$B$12+Assumptions!$B$102,Assumptions!$B$100*(1-Assumptions!$B$103),0)</f>
        <v>0</v>
      </c>
      <c r="X58" s="16" t="n">
        <f aca="false">IF(23=Assumptions!$B$12+Assumptions!$B$90,Assumptions!$B$88*(1-Assumptions!$B$103),0)+IF(23=Assumptions!$B$12+Assumptions!$B$93,Assumptions!$B$91*(1-Assumptions!$B$103),0)+IF(23=Assumptions!$B$12+Assumptions!$B$96,Assumptions!$B$94*(1-Assumptions!$B$103),0)+IF(23=Assumptions!$B$12+Assumptions!$B$99,Assumptions!$B$97*(1-Assumptions!$B$103),0)+IF(23=Assumptions!$B$12+Assumptions!$B$102,Assumptions!$B$100*(1-Assumptions!$B$103),0)</f>
        <v>0</v>
      </c>
      <c r="Y58" s="16" t="n">
        <f aca="false">IF(24=Assumptions!$B$12+Assumptions!$B$90,Assumptions!$B$88*(1-Assumptions!$B$103),0)+IF(24=Assumptions!$B$12+Assumptions!$B$93,Assumptions!$B$91*(1-Assumptions!$B$103),0)+IF(24=Assumptions!$B$12+Assumptions!$B$96,Assumptions!$B$94*(1-Assumptions!$B$103),0)+IF(24=Assumptions!$B$12+Assumptions!$B$99,Assumptions!$B$97*(1-Assumptions!$B$103),0)+IF(24=Assumptions!$B$12+Assumptions!$B$102,Assumptions!$B$100*(1-Assumptions!$B$103),0)</f>
        <v>0</v>
      </c>
      <c r="Z58" s="16" t="n">
        <f aca="false">SUM(B58:M58)</f>
        <v>27700</v>
      </c>
      <c r="AA58" s="16" t="n">
        <f aca="false">SUM(N58:Y58)</f>
        <v>0</v>
      </c>
      <c r="AB58" s="16" t="n">
        <f aca="false">SUM(B58:Y58)</f>
        <v>27700</v>
      </c>
    </row>
    <row r="59" customFormat="false" ht="15" hidden="false" customHeight="false" outlineLevel="0" collapsed="false">
      <c r="A59" s="17" t="s">
        <v>245</v>
      </c>
      <c r="B59" s="24" t="n">
        <f aca="false">B56-B57-B58</f>
        <v>-3989.70767441861</v>
      </c>
      <c r="C59" s="24" t="n">
        <f aca="false">C56-C57-C58</f>
        <v>-418.544883720933</v>
      </c>
      <c r="D59" s="24" t="n">
        <f aca="false">D56-D57-D58</f>
        <v>1782.2415625</v>
      </c>
      <c r="E59" s="24" t="n">
        <f aca="false">E56-E57-E58</f>
        <v>3989.33216497093</v>
      </c>
      <c r="F59" s="24" t="n">
        <f aca="false">F56-F57-F58</f>
        <v>6202.68489598352</v>
      </c>
      <c r="G59" s="24" t="n">
        <f aca="false">G56-G57-G58</f>
        <v>8422.25800801418</v>
      </c>
      <c r="H59" s="24" t="n">
        <f aca="false">H56-H57-H58</f>
        <v>-128.485193707207</v>
      </c>
      <c r="I59" s="24" t="n">
        <f aca="false">I56-I57-I58</f>
        <v>19601.9254523013</v>
      </c>
      <c r="J59" s="24" t="n">
        <f aca="false">J56-J57-J58</f>
        <v>22584.0435673882</v>
      </c>
      <c r="K59" s="24" t="n">
        <f aca="false">K56-K57-K58</f>
        <v>10212.8607749611</v>
      </c>
      <c r="L59" s="24" t="n">
        <f aca="false">L56-L57-L58</f>
        <v>28199.0488003608</v>
      </c>
      <c r="M59" s="24" t="n">
        <f aca="false">M56-M57-M58</f>
        <v>28334.713918511</v>
      </c>
      <c r="N59" s="24" t="n">
        <f aca="false">N56-N57-N58</f>
        <v>28469.4746025402</v>
      </c>
      <c r="O59" s="24" t="n">
        <f aca="false">O56-O57-O58</f>
        <v>28603.3368820093</v>
      </c>
      <c r="P59" s="24" t="n">
        <f aca="false">P56-P57-P58</f>
        <v>28715.3301837819</v>
      </c>
      <c r="Q59" s="24" t="n">
        <f aca="false">Q56-Q57-Q58</f>
        <v>28826.5768635426</v>
      </c>
      <c r="R59" s="24" t="n">
        <f aca="false">R56-R57-R58</f>
        <v>28937.0818987717</v>
      </c>
      <c r="S59" s="24" t="n">
        <f aca="false">S56-S57-S58</f>
        <v>29046.8502337658</v>
      </c>
      <c r="T59" s="24" t="n">
        <f aca="false">T56-T57-T58</f>
        <v>29155.88677986</v>
      </c>
      <c r="U59" s="24" t="n">
        <f aca="false">U56-U57-U58</f>
        <v>29264.1964156469</v>
      </c>
      <c r="V59" s="24" t="n">
        <f aca="false">V56-V57-V58</f>
        <v>29371.7839871953</v>
      </c>
      <c r="W59" s="24" t="n">
        <f aca="false">W56-W57-W58</f>
        <v>29478.6543082666</v>
      </c>
      <c r="X59" s="24" t="n">
        <f aca="false">X56-X57-X58</f>
        <v>29584.8121605308</v>
      </c>
      <c r="Y59" s="24" t="n">
        <f aca="false">Y56-Y57-Y58</f>
        <v>29690.2622937799</v>
      </c>
      <c r="Z59" s="23" t="n">
        <f aca="false">SUM(B59:M59)</f>
        <v>124792.371393144</v>
      </c>
      <c r="AA59" s="23" t="n">
        <f aca="false">SUM(N59:Y59)</f>
        <v>349144.246609691</v>
      </c>
      <c r="AB59" s="23" t="n">
        <f aca="false">SUM(B59:Y59)</f>
        <v>473936.618002835</v>
      </c>
    </row>
    <row r="60" customFormat="false" ht="15" hidden="false" customHeight="false" outlineLevel="0" collapsed="false">
      <c r="A60" s="17" t="s">
        <v>246</v>
      </c>
      <c r="B60" s="23" t="n">
        <f aca="false">Assumptions!$B$60+B59</f>
        <v>21010.2923255814</v>
      </c>
      <c r="C60" s="23" t="n">
        <f aca="false">B60+C59</f>
        <v>20591.7474418605</v>
      </c>
      <c r="D60" s="23" t="n">
        <f aca="false">C60+D59</f>
        <v>22373.9890043605</v>
      </c>
      <c r="E60" s="23" t="n">
        <f aca="false">D60+E59</f>
        <v>26363.3211693314</v>
      </c>
      <c r="F60" s="23" t="n">
        <f aca="false">E60+F59</f>
        <v>32566.0060653149</v>
      </c>
      <c r="G60" s="23" t="n">
        <f aca="false">F60+G59</f>
        <v>40988.2640733291</v>
      </c>
      <c r="H60" s="23" t="n">
        <f aca="false">G60+H59</f>
        <v>40859.7788796219</v>
      </c>
      <c r="I60" s="23" t="n">
        <f aca="false">H60+I59</f>
        <v>60461.7043319232</v>
      </c>
      <c r="J60" s="23" t="n">
        <f aca="false">I60+J59</f>
        <v>83045.7478993114</v>
      </c>
      <c r="K60" s="23" t="n">
        <f aca="false">J60+K59</f>
        <v>93258.6086742725</v>
      </c>
      <c r="L60" s="23" t="n">
        <f aca="false">K60+L59</f>
        <v>121457.657474633</v>
      </c>
      <c r="M60" s="23" t="n">
        <f aca="false">L60+M59</f>
        <v>149792.371393144</v>
      </c>
      <c r="N60" s="23" t="n">
        <f aca="false">M60+N59</f>
        <v>178261.845995685</v>
      </c>
      <c r="O60" s="23" t="n">
        <f aca="false">N60+O59</f>
        <v>206865.182877694</v>
      </c>
      <c r="P60" s="23" t="n">
        <f aca="false">O60+P59</f>
        <v>235580.513061476</v>
      </c>
      <c r="Q60" s="23" t="n">
        <f aca="false">P60+Q59</f>
        <v>264407.089925018</v>
      </c>
      <c r="R60" s="23" t="n">
        <f aca="false">Q60+R59</f>
        <v>293344.17182379</v>
      </c>
      <c r="S60" s="23" t="n">
        <f aca="false">R60+S59</f>
        <v>322391.022057556</v>
      </c>
      <c r="T60" s="23" t="n">
        <f aca="false">S60+T59</f>
        <v>351546.908837416</v>
      </c>
      <c r="U60" s="23" t="n">
        <f aca="false">T60+U59</f>
        <v>380811.105253063</v>
      </c>
      <c r="V60" s="23" t="n">
        <f aca="false">U60+V59</f>
        <v>410182.889240258</v>
      </c>
      <c r="W60" s="23" t="n">
        <f aca="false">V60+W59</f>
        <v>439661.543548525</v>
      </c>
      <c r="X60" s="23" t="n">
        <f aca="false">W60+X59</f>
        <v>469246.355709055</v>
      </c>
      <c r="Y60" s="23" t="n">
        <f aca="false">X60+Y59</f>
        <v>498936.618002835</v>
      </c>
      <c r="Z60" s="2"/>
      <c r="AA60" s="2"/>
      <c r="AB60" s="2"/>
    </row>
    <row r="61" customFormat="false" ht="15" hidden="false" customHeight="false" outlineLevel="0" collapsed="false">
      <c r="A61" s="4" t="s">
        <v>247</v>
      </c>
      <c r="B61" s="5"/>
      <c r="C61" s="5"/>
      <c r="D61" s="5"/>
      <c r="E61" s="5"/>
      <c r="F61" s="5"/>
      <c r="G61" s="5"/>
      <c r="H61" s="5"/>
      <c r="I61" s="5"/>
      <c r="J61" s="5"/>
      <c r="K61" s="5"/>
      <c r="L61" s="5"/>
      <c r="M61" s="5"/>
      <c r="N61" s="5"/>
      <c r="O61" s="5"/>
      <c r="P61" s="5"/>
      <c r="Q61" s="5"/>
      <c r="R61" s="5"/>
      <c r="S61" s="5"/>
      <c r="T61" s="5"/>
      <c r="U61" s="5"/>
      <c r="V61" s="5"/>
      <c r="W61" s="5"/>
      <c r="X61" s="5"/>
      <c r="Y61" s="5"/>
      <c r="Z61" s="5"/>
      <c r="AA61" s="5"/>
      <c r="AB61" s="5"/>
    </row>
    <row r="62" customFormat="false" ht="15" hidden="false" customHeight="false" outlineLevel="0" collapsed="false">
      <c r="A62" s="19" t="s">
        <v>248</v>
      </c>
      <c r="B62" s="16" t="n">
        <f aca="false">IF(B8=0,0,B25/IF(B7&gt;0,2,1))</f>
        <v>31697.6744186047</v>
      </c>
      <c r="C62" s="16" t="n">
        <f aca="false">IF(C8=0,0,C25/IF(C7&gt;0,2,1))</f>
        <v>34372.0930232558</v>
      </c>
      <c r="D62" s="16" t="n">
        <f aca="false">IF(D8=0,0,D25/IF(D7&gt;0,2,1))</f>
        <v>37046.511627907</v>
      </c>
      <c r="E62" s="16" t="n">
        <f aca="false">IF(E8=0,0,E25/IF(E7&gt;0,2,1))</f>
        <v>39720.9302325581</v>
      </c>
      <c r="F62" s="16" t="n">
        <f aca="false">IF(F8=0,0,F25/IF(F7&gt;0,2,1))</f>
        <v>42395.3488372093</v>
      </c>
      <c r="G62" s="16" t="n">
        <f aca="false">IF(G8=0,0,G25/IF(G7&gt;0,2,1))</f>
        <v>45069.7674418605</v>
      </c>
      <c r="H62" s="16" t="n">
        <f aca="false">IF(H8=0,0,H25/IF(H7&gt;0,2,1))</f>
        <v>39720.9302325581</v>
      </c>
      <c r="I62" s="16" t="n">
        <f aca="false">IF(I8=0,0,I25/IF(I7&gt;0,2,1))</f>
        <v>41503.8759689922</v>
      </c>
      <c r="J62" s="16" t="n">
        <f aca="false">IF(J8=0,0,J25/IF(J7&gt;0,2,1))</f>
        <v>43286.8217054264</v>
      </c>
      <c r="K62" s="16" t="n">
        <f aca="false">IF(K8=0,0,K25/IF(K7&gt;0,2,1))</f>
        <v>45069.7674418605</v>
      </c>
      <c r="L62" s="16" t="n">
        <f aca="false">IF(L8=0,0,L25/IF(L7&gt;0,2,1))</f>
        <v>45069.7674418605</v>
      </c>
      <c r="M62" s="16" t="n">
        <f aca="false">IF(M8=0,0,M25/IF(M7&gt;0,2,1))</f>
        <v>45069.7674418605</v>
      </c>
      <c r="N62" s="16" t="n">
        <f aca="false">IF(N8=0,0,N25/IF(N7&gt;0,2,1))</f>
        <v>45069.7674418605</v>
      </c>
      <c r="O62" s="16" t="n">
        <f aca="false">IF(O8=0,0,O25/IF(O7&gt;0,2,1))</f>
        <v>45069.7674418605</v>
      </c>
      <c r="P62" s="16" t="n">
        <f aca="false">IF(P8=0,0,P25/IF(P7&gt;0,2,1))</f>
        <v>45069.7674418605</v>
      </c>
      <c r="Q62" s="16" t="n">
        <f aca="false">IF(Q8=0,0,Q25/IF(Q7&gt;0,2,1))</f>
        <v>45069.7674418605</v>
      </c>
      <c r="R62" s="16" t="n">
        <f aca="false">IF(R8=0,0,R25/IF(R7&gt;0,2,1))</f>
        <v>45069.7674418605</v>
      </c>
      <c r="S62" s="16" t="n">
        <f aca="false">IF(S8=0,0,S25/IF(S7&gt;0,2,1))</f>
        <v>45069.7674418605</v>
      </c>
      <c r="T62" s="16" t="n">
        <f aca="false">IF(T8=0,0,T25/IF(T7&gt;0,2,1))</f>
        <v>45069.7674418605</v>
      </c>
      <c r="U62" s="16" t="n">
        <f aca="false">IF(U8=0,0,U25/IF(U7&gt;0,2,1))</f>
        <v>45069.7674418605</v>
      </c>
      <c r="V62" s="16" t="n">
        <f aca="false">IF(V8=0,0,V25/IF(V7&gt;0,2,1))</f>
        <v>45069.7674418605</v>
      </c>
      <c r="W62" s="16" t="n">
        <f aca="false">IF(W8=0,0,W25/IF(W7&gt;0,2,1))</f>
        <v>45069.7674418605</v>
      </c>
      <c r="X62" s="16" t="n">
        <f aca="false">IF(X8=0,0,X25/IF(X7&gt;0,2,1))</f>
        <v>45069.7674418605</v>
      </c>
      <c r="Y62" s="16" t="n">
        <f aca="false">IF(Y8=0,0,Y25/IF(Y7&gt;0,2,1))</f>
        <v>45069.7674418605</v>
      </c>
      <c r="Z62" s="2"/>
      <c r="AA62" s="2"/>
      <c r="AB62" s="2"/>
    </row>
    <row r="63" customFormat="false" ht="15" hidden="false" customHeight="false" outlineLevel="0" collapsed="false">
      <c r="A63" s="19" t="s">
        <v>249</v>
      </c>
      <c r="B63" s="16" t="n">
        <f aca="false">IF(B13=0,0,(B47+B48+B49)/B13)</f>
        <v>56.4593301435407</v>
      </c>
      <c r="C63" s="16" t="n">
        <f aca="false">IF(C13=0,0,(C47+C48+C49)/C13)</f>
        <v>55.344889338647</v>
      </c>
      <c r="D63" s="16" t="n">
        <f aca="false">IF(D13=0,0,(D47+D48+D49)/D13)</f>
        <v>54.7030520538172</v>
      </c>
      <c r="E63" s="16" t="n">
        <f aca="false">IF(E13=0,0,(E47+E48+E49)/E13)</f>
        <v>54.0387606024687</v>
      </c>
      <c r="F63" s="16" t="n">
        <f aca="false">IF(F13=0,0,(F47+F48+F49)/F13)</f>
        <v>53.3520026498769</v>
      </c>
      <c r="G63" s="16" t="n">
        <f aca="false">IF(G13=0,0,(G47+G48+G49)/G13)</f>
        <v>52.64284380353</v>
      </c>
      <c r="H63" s="16" t="n">
        <f aca="false">IF(H13=0,0,(H47+H48+H49)/H13)</f>
        <v>53.6007390411201</v>
      </c>
      <c r="I63" s="16" t="n">
        <f aca="false">IF(I13=0,0,(I47+I48+I49)/I13)</f>
        <v>53.0627977874208</v>
      </c>
      <c r="J63" s="16" t="n">
        <f aca="false">IF(J13=0,0,(J47+J48+J49)/J13)</f>
        <v>52.5042448312122</v>
      </c>
      <c r="K63" s="16" t="n">
        <f aca="false">IF(K13=0,0,(K47+K48+K49)/K13)</f>
        <v>51.9248754514001</v>
      </c>
      <c r="L63" s="16" t="n">
        <f aca="false">IF(L13=0,0,(L47+L48+L49)/L13)</f>
        <v>51.3245426468748</v>
      </c>
      <c r="M63" s="16" t="n">
        <f aca="false">IF(M13=0,0,(M47+M48+M49)/M13)</f>
        <v>50.7031622847844</v>
      </c>
      <c r="N63" s="16" t="n">
        <f aca="false">IF(N13=0,0,(N47+N48+N49)/N13)</f>
        <v>50.0607181383268</v>
      </c>
      <c r="O63" s="16" t="n">
        <f aca="false">IF(O13=0,0,(O47+O48+O49)/O13)</f>
        <v>49.3972667391676</v>
      </c>
      <c r="P63" s="16" t="n">
        <f aca="false">IF(P13=0,0,(P47+P48+P49)/P13)</f>
        <v>48.712941964224</v>
      </c>
      <c r="Q63" s="16" t="n">
        <f aca="false">IF(Q13=0,0,(Q47+Q48+Q49)/Q13)</f>
        <v>48.0079592722895</v>
      </c>
      <c r="R63" s="16" t="n">
        <f aca="false">IF(R13=0,0,(R47+R48+R49)/R13)</f>
        <v>47.2826195030823</v>
      </c>
      <c r="S63" s="16" t="n">
        <f aca="false">IF(S13=0,0,(S47+S48+S49)/S13)</f>
        <v>46.5373121500501</v>
      </c>
      <c r="T63" s="16" t="n">
        <f aca="false">IF(T13=0,0,(T47+T48+T49)/T13)</f>
        <v>45.7725180189062</v>
      </c>
      <c r="U63" s="16" t="n">
        <f aca="false">IF(U13=0,0,(U47+U48+U49)/U13)</f>
        <v>44.9888111866158</v>
      </c>
      <c r="V63" s="16" t="n">
        <f aca="false">IF(V13=0,0,(V47+V48+V49)/V13)</f>
        <v>44.186860180576</v>
      </c>
      <c r="W63" s="16" t="n">
        <f aca="false">IF(W13=0,0,(W47+W48+W49)/W13)</f>
        <v>43.3674283051422</v>
      </c>
      <c r="X63" s="16" t="n">
        <f aca="false">IF(X13=0,0,(X47+X48+X49)/X13)</f>
        <v>42.5313730524876</v>
      </c>
      <c r="Y63" s="16" t="n">
        <f aca="false">IF(Y13=0,0,(Y47+Y48+Y49)/Y13)</f>
        <v>41.6796445469942</v>
      </c>
      <c r="Z63" s="2"/>
      <c r="AA63" s="2"/>
      <c r="AB63" s="2"/>
    </row>
    <row r="64" customFormat="false" ht="15" hidden="false" customHeight="false" outlineLevel="0" collapsed="false">
      <c r="A64" s="19" t="s">
        <v>250</v>
      </c>
      <c r="B64" s="16" t="n">
        <f aca="false">IF(B15=0,0,(B47+B48+B49)/B15)</f>
        <v>148.717625559266</v>
      </c>
      <c r="C64" s="16" t="n">
        <f aca="false">IF(C15=0,0,(C47+C48+C49)/C15)</f>
        <v>171.042631782989</v>
      </c>
      <c r="D64" s="16" t="n">
        <f aca="false">IF(D15=0,0,(D47+D48+D49)/D15)</f>
        <v>168.266442075878</v>
      </c>
      <c r="E64" s="16" t="n">
        <f aca="false">IF(E15=0,0,(E47+E48+E49)/E15)</f>
        <v>165.420410404825</v>
      </c>
      <c r="F64" s="16" t="n">
        <f aca="false">IF(F15=0,0,(F47+F48+F49)/F15)</f>
        <v>162.506878156393</v>
      </c>
      <c r="G64" s="16" t="n">
        <f aca="false">IF(G15=0,0,(G47+G48+G49)/G15)</f>
        <v>159.528533362776</v>
      </c>
      <c r="H64" s="16" t="n">
        <f aca="false">IF(H15=0,0,(H47+H48+H49)/H15)</f>
        <v>167.906431756057</v>
      </c>
      <c r="I64" s="16" t="n">
        <f aca="false">IF(I15=0,0,(I47+I48+I49)/I15)</f>
        <v>165.514826168126</v>
      </c>
      <c r="J64" s="16" t="n">
        <f aca="false">IF(J15=0,0,(J47+J48+J49)/J15)</f>
        <v>163.053002778718</v>
      </c>
      <c r="K64" s="16" t="n">
        <f aca="false">IF(K15=0,0,(K47+K48+K49)/K15)</f>
        <v>160.522184756031</v>
      </c>
      <c r="L64" s="16" t="n">
        <f aca="false">IF(L15=0,0,(L47+L48+L49)/L15)</f>
        <v>157.923905310094</v>
      </c>
      <c r="M64" s="16" t="n">
        <f aca="false">IF(M15=0,0,(M47+M48+M49)/M15)</f>
        <v>155.260015321119</v>
      </c>
      <c r="N64" s="16" t="n">
        <f aca="false">IF(N15=0,0,(N47+N48+N49)/N15)</f>
        <v>152.532688392057</v>
      </c>
      <c r="O64" s="16" t="n">
        <f aca="false">IF(O15=0,0,(O47+O48+O49)/O15)</f>
        <v>149.744423065292</v>
      </c>
      <c r="P64" s="16" t="n">
        <f aca="false">IF(P15=0,0,(P47+P48+P49)/P15)</f>
        <v>146.898041974108</v>
      </c>
      <c r="Q64" s="16" t="n">
        <f aca="false">IF(Q15=0,0,(Q47+Q48+Q49)/Q15)</f>
        <v>143.99668773848</v>
      </c>
      <c r="R64" s="16" t="n">
        <f aca="false">IF(R15=0,0,(R47+R48+R49)/R15)</f>
        <v>141.043815461538</v>
      </c>
      <c r="S64" s="16" t="n">
        <f aca="false">IF(S15=0,0,(S47+S48+S49)/S15)</f>
        <v>138.043181737105</v>
      </c>
      <c r="T64" s="16" t="n">
        <f aca="false">IF(T15=0,0,(T47+T48+T49)/T15)</f>
        <v>134.998830138866</v>
      </c>
      <c r="U64" s="16" t="n">
        <f aca="false">IF(U15=0,0,(U47+U48+U49)/U15)</f>
        <v>131.915073226764</v>
      </c>
      <c r="V64" s="16" t="n">
        <f aca="false">IF(V15=0,0,(V47+V48+V49)/V15)</f>
        <v>128.796471174437</v>
      </c>
      <c r="W64" s="16" t="n">
        <f aca="false">IF(W15=0,0,(W47+W48+W49)/W15)</f>
        <v>125.647807191021</v>
      </c>
      <c r="X64" s="16" t="n">
        <f aca="false">IF(X15=0,0,(X47+X48+X49)/X15)</f>
        <v>122.474059979422</v>
      </c>
      <c r="Y64" s="16" t="n">
        <f aca="false">IF(Y15=0,0,(Y47+Y48+Y49)/Y15)</f>
        <v>119.280373539014</v>
      </c>
      <c r="Z64" s="2"/>
      <c r="AA64" s="2"/>
      <c r="AB64" s="2"/>
    </row>
    <row r="65" customFormat="false" ht="15" hidden="false" customHeight="false" outlineLevel="0" collapsed="false">
      <c r="A65" s="19" t="s">
        <v>251</v>
      </c>
      <c r="B65" s="22" t="n">
        <f aca="false">Assumptions!$B$72</f>
        <v>0.7</v>
      </c>
      <c r="C65" s="22" t="n">
        <f aca="false">Assumptions!$B$72</f>
        <v>0.7</v>
      </c>
      <c r="D65" s="22" t="n">
        <f aca="false">Assumptions!$B$72</f>
        <v>0.7</v>
      </c>
      <c r="E65" s="22" t="n">
        <f aca="false">Assumptions!$B$72</f>
        <v>0.7</v>
      </c>
      <c r="F65" s="22" t="n">
        <f aca="false">Assumptions!$B$72</f>
        <v>0.7</v>
      </c>
      <c r="G65" s="22" t="n">
        <f aca="false">Assumptions!$B$72</f>
        <v>0.7</v>
      </c>
      <c r="H65" s="22" t="n">
        <f aca="false">Assumptions!$B$72</f>
        <v>0.7</v>
      </c>
      <c r="I65" s="22" t="n">
        <f aca="false">Assumptions!$B$72</f>
        <v>0.7</v>
      </c>
      <c r="J65" s="22" t="n">
        <f aca="false">Assumptions!$B$72</f>
        <v>0.7</v>
      </c>
      <c r="K65" s="22" t="n">
        <f aca="false">Assumptions!$B$72</f>
        <v>0.7</v>
      </c>
      <c r="L65" s="22" t="n">
        <f aca="false">Assumptions!$B$72</f>
        <v>0.7</v>
      </c>
      <c r="M65" s="22" t="n">
        <f aca="false">Assumptions!$B$72</f>
        <v>0.7</v>
      </c>
      <c r="N65" s="22" t="n">
        <f aca="false">Assumptions!$B$72</f>
        <v>0.7</v>
      </c>
      <c r="O65" s="22" t="n">
        <f aca="false">Assumptions!$B$72</f>
        <v>0.7</v>
      </c>
      <c r="P65" s="22" t="n">
        <f aca="false">Assumptions!$B$72</f>
        <v>0.7</v>
      </c>
      <c r="Q65" s="22" t="n">
        <f aca="false">Assumptions!$B$72</f>
        <v>0.7</v>
      </c>
      <c r="R65" s="22" t="n">
        <f aca="false">Assumptions!$B$72</f>
        <v>0.7</v>
      </c>
      <c r="S65" s="22" t="n">
        <f aca="false">Assumptions!$B$72</f>
        <v>0.7</v>
      </c>
      <c r="T65" s="22" t="n">
        <f aca="false">Assumptions!$B$72</f>
        <v>0.7</v>
      </c>
      <c r="U65" s="22" t="n">
        <f aca="false">Assumptions!$B$72</f>
        <v>0.7</v>
      </c>
      <c r="V65" s="22" t="n">
        <f aca="false">Assumptions!$B$72</f>
        <v>0.7</v>
      </c>
      <c r="W65" s="22" t="n">
        <f aca="false">Assumptions!$B$72</f>
        <v>0.7</v>
      </c>
      <c r="X65" s="22" t="n">
        <f aca="false">Assumptions!$B$72</f>
        <v>0.7</v>
      </c>
      <c r="Y65" s="22" t="n">
        <f aca="false">Assumptions!$B$72</f>
        <v>0.7</v>
      </c>
      <c r="Z65" s="2"/>
      <c r="AA65" s="2"/>
      <c r="AB65" s="2"/>
    </row>
    <row r="66" customFormat="false" ht="15" hidden="false" customHeight="false" outlineLevel="0" collapsed="false">
      <c r="A66" s="19" t="s">
        <v>252</v>
      </c>
      <c r="B66" s="22" t="n">
        <f aca="false">IF(B29=0,0,B28/B29)</f>
        <v>0</v>
      </c>
      <c r="C66" s="22" t="n">
        <f aca="false">IF(C29=0,0,C28/C29)</f>
        <v>0</v>
      </c>
      <c r="D66" s="22" t="n">
        <f aca="false">IF(D29=0,0,D28/D29)</f>
        <v>0.00229466062856476</v>
      </c>
      <c r="E66" s="22" t="n">
        <f aca="false">IF(E29=0,0,E28/E29)</f>
        <v>0.00449068556196987</v>
      </c>
      <c r="F66" s="22" t="n">
        <f aca="false">IF(F29=0,0,F28/F29)</f>
        <v>0.00660455514428765</v>
      </c>
      <c r="G66" s="22" t="n">
        <f aca="false">IF(G29=0,0,G28/G29)</f>
        <v>0.00864884330519255</v>
      </c>
      <c r="H66" s="22" t="n">
        <f aca="false">IF(H29=0,0,H28/H29)</f>
        <v>0.00688172641637451</v>
      </c>
      <c r="I66" s="22" t="n">
        <f aca="false">IF(I29=0,0,I28/I29)</f>
        <v>0.00858947404150469</v>
      </c>
      <c r="J66" s="22" t="n">
        <f aca="false">IF(J29=0,0,J28/J29)</f>
        <v>0.0102795405956051</v>
      </c>
      <c r="K66" s="22" t="n">
        <f aca="false">IF(K29=0,0,K28/K29)</f>
        <v>0.0119526568905869</v>
      </c>
      <c r="L66" s="22" t="n">
        <f aca="false">IF(L29=0,0,L28/L29)</f>
        <v>0.0140059749609596</v>
      </c>
      <c r="M66" s="22" t="n">
        <f aca="false">IF(M29=0,0,M28/M29)</f>
        <v>0.0160371725654551</v>
      </c>
      <c r="N66" s="22" t="n">
        <f aca="false">IF(N29=0,0,N28/N29)</f>
        <v>0.0180465605338372</v>
      </c>
      <c r="O66" s="22" t="n">
        <f aca="false">IF(O29=0,0,O28/O29)</f>
        <v>0.0200344440220039</v>
      </c>
      <c r="P66" s="22" t="n">
        <f aca="false">IF(P29=0,0,P28/P29)</f>
        <v>0.0216913952934717</v>
      </c>
      <c r="Q66" s="22" t="n">
        <f aca="false">IF(Q29=0,0,Q28/Q29)</f>
        <v>0.0233317621996654</v>
      </c>
      <c r="R66" s="22" t="n">
        <f aca="false">IF(R29=0,0,R28/R29)</f>
        <v>0.0249557563391459</v>
      </c>
      <c r="S66" s="22" t="n">
        <f aca="false">IF(S29=0,0,S28/S29)</f>
        <v>0.0265635858327681</v>
      </c>
      <c r="T66" s="22" t="n">
        <f aca="false">IF(T29=0,0,T28/T29)</f>
        <v>0.0281554553949028</v>
      </c>
      <c r="U66" s="22" t="n">
        <f aca="false">IF(U29=0,0,U28/U29)</f>
        <v>0.0297315664029124</v>
      </c>
      <c r="V66" s="22" t="n">
        <f aca="false">IF(V29=0,0,V28/V29)</f>
        <v>0.0312921169649301</v>
      </c>
      <c r="W66" s="22" t="n">
        <f aca="false">IF(W29=0,0,W28/W29)</f>
        <v>0.0328373019859904</v>
      </c>
      <c r="X66" s="22" t="n">
        <f aca="false">IF(X29=0,0,X28/X29)</f>
        <v>0.0343673132325588</v>
      </c>
      <c r="Y66" s="22" t="n">
        <f aca="false">IF(Y29=0,0,Y28/Y29)</f>
        <v>0.0358823393955032</v>
      </c>
      <c r="Z66" s="2"/>
      <c r="AA66" s="2"/>
      <c r="AB66" s="2"/>
    </row>
    <row r="67" customFormat="false" ht="15" hidden="false" customHeight="false" outlineLevel="0" collapsed="false">
      <c r="A67" s="19" t="s">
        <v>253</v>
      </c>
      <c r="B67" s="22" t="n">
        <f aca="false">IF(B29=0,0,B32/B29)</f>
        <v>0.438644482758621</v>
      </c>
      <c r="C67" s="22" t="n">
        <f aca="false">IF(C29=0,0,C32/C29)</f>
        <v>0.40451449932341</v>
      </c>
      <c r="D67" s="22" t="n">
        <f aca="false">IF(D29=0,0,D32/D29)</f>
        <v>0.374451045620825</v>
      </c>
      <c r="E67" s="22" t="n">
        <f aca="false">IF(E29=0,0,E32/E29)</f>
        <v>0.348470475943032</v>
      </c>
      <c r="F67" s="22" t="n">
        <f aca="false">IF(F29=0,0,F32/F29)</f>
        <v>0.325794705741534</v>
      </c>
      <c r="G67" s="22" t="n">
        <f aca="false">IF(G29=0,0,G32/G29)</f>
        <v>0.305831540266479</v>
      </c>
      <c r="H67" s="22" t="n">
        <f aca="false">IF(H29=0,0,H32/H29)</f>
        <v>0.34763351024874</v>
      </c>
      <c r="I67" s="22" t="n">
        <f aca="false">IF(I29=0,0,I32/I29)</f>
        <v>0.332127579538131</v>
      </c>
      <c r="J67" s="22" t="n">
        <f aca="false">IF(J29=0,0,J32/J29)</f>
        <v>0.317904679128665</v>
      </c>
      <c r="K67" s="22" t="n">
        <f aca="false">IF(K29=0,0,K32/K29)</f>
        <v>0.304812314747094</v>
      </c>
      <c r="L67" s="22" t="n">
        <f aca="false">IF(L29=0,0,L32/L29)</f>
        <v>0.304178866726301</v>
      </c>
      <c r="M67" s="22" t="n">
        <f aca="false">IF(M29=0,0,M32/M29)</f>
        <v>0.303552242862726</v>
      </c>
      <c r="N67" s="22" t="n">
        <f aca="false">IF(N29=0,0,N32/N29)</f>
        <v>0.302932347265476</v>
      </c>
      <c r="O67" s="22" t="n">
        <f aca="false">IF(O29=0,0,O32/O29)</f>
        <v>0.302319085794048</v>
      </c>
      <c r="P67" s="22" t="n">
        <f aca="false">IF(P29=0,0,P32/P29)</f>
        <v>0.301807916814139</v>
      </c>
      <c r="Q67" s="22" t="n">
        <f aca="false">IF(Q29=0,0,Q32/Q29)</f>
        <v>0.301301864106039</v>
      </c>
      <c r="R67" s="22" t="n">
        <f aca="false">IF(R29=0,0,R32/R29)</f>
        <v>0.300800862391655</v>
      </c>
      <c r="S67" s="22" t="n">
        <f aca="false">IF(S29=0,0,S32/S29)</f>
        <v>0.300304847465763</v>
      </c>
      <c r="T67" s="22" t="n">
        <f aca="false">IF(T29=0,0,T32/T29)</f>
        <v>0.299813756174042</v>
      </c>
      <c r="U67" s="22" t="n">
        <f aca="false">IF(U29=0,0,U32/U29)</f>
        <v>0.299327526391633</v>
      </c>
      <c r="V67" s="22" t="n">
        <f aca="false">IF(V29=0,0,V32/V29)</f>
        <v>0.298846097002236</v>
      </c>
      <c r="W67" s="22" t="n">
        <f aca="false">IF(W29=0,0,W32/W29)</f>
        <v>0.298369407877705</v>
      </c>
      <c r="X67" s="22" t="n">
        <f aca="false">IF(X29=0,0,X32/X29)</f>
        <v>0.297897399858142</v>
      </c>
      <c r="Y67" s="22" t="n">
        <f aca="false">IF(Y29=0,0,Y32/Y29)</f>
        <v>0.29743001473247</v>
      </c>
      <c r="Z67" s="2"/>
      <c r="AA67" s="2"/>
      <c r="AB67" s="2"/>
    </row>
    <row r="68" customFormat="false" ht="15" hidden="false" customHeight="false" outlineLevel="0" collapsed="false">
      <c r="A68" s="19" t="s">
        <v>254</v>
      </c>
      <c r="B68" s="16" t="n">
        <f aca="false">IF(B31=0,0,B25/B31/Assumptions!$B$8)</f>
        <v>1509.4130675526</v>
      </c>
      <c r="C68" s="16" t="n">
        <f aca="false">IF(C31=0,0,C25/C31/Assumptions!$B$8)</f>
        <v>1636.76633444075</v>
      </c>
      <c r="D68" s="16" t="n">
        <f aca="false">IF(D31=0,0,D25/D31/Assumptions!$B$8)</f>
        <v>1764.1196013289</v>
      </c>
      <c r="E68" s="16" t="n">
        <f aca="false">IF(E31=0,0,E25/E31/Assumptions!$B$8)</f>
        <v>1891.47286821705</v>
      </c>
      <c r="F68" s="16" t="n">
        <f aca="false">IF(F31=0,0,F25/F31/Assumptions!$B$8)</f>
        <v>2018.8261351052</v>
      </c>
      <c r="G68" s="16" t="n">
        <f aca="false">IF(G31=0,0,G25/G31/Assumptions!$B$8)</f>
        <v>2146.17940199336</v>
      </c>
      <c r="H68" s="16" t="n">
        <f aca="false">IF(H31=0,0,H25/H31/Assumptions!$B$8)</f>
        <v>1891.47286821705</v>
      </c>
      <c r="I68" s="16" t="n">
        <f aca="false">IF(I31=0,0,I25/I31/Assumptions!$B$8)</f>
        <v>1976.37504614249</v>
      </c>
      <c r="J68" s="16" t="n">
        <f aca="false">IF(J31=0,0,J25/J31/Assumptions!$B$8)</f>
        <v>2061.27722406792</v>
      </c>
      <c r="K68" s="16" t="n">
        <f aca="false">IF(K31=0,0,K25/K31/Assumptions!$B$8)</f>
        <v>2146.17940199336</v>
      </c>
      <c r="L68" s="16" t="n">
        <f aca="false">IF(L31=0,0,L25/L31/Assumptions!$B$8)</f>
        <v>2146.17940199336</v>
      </c>
      <c r="M68" s="16" t="n">
        <f aca="false">IF(M31=0,0,M25/M31/Assumptions!$B$8)</f>
        <v>2146.17940199336</v>
      </c>
      <c r="N68" s="16" t="n">
        <f aca="false">IF(N31=0,0,N25/N31/Assumptions!$B$8)</f>
        <v>2146.17940199336</v>
      </c>
      <c r="O68" s="16" t="n">
        <f aca="false">IF(O31=0,0,O25/O31/Assumptions!$B$8)</f>
        <v>2146.17940199336</v>
      </c>
      <c r="P68" s="16" t="n">
        <f aca="false">IF(P31=0,0,P25/P31/Assumptions!$B$8)</f>
        <v>2146.17940199336</v>
      </c>
      <c r="Q68" s="16" t="n">
        <f aca="false">IF(Q31=0,0,Q25/Q31/Assumptions!$B$8)</f>
        <v>2146.17940199336</v>
      </c>
      <c r="R68" s="16" t="n">
        <f aca="false">IF(R31=0,0,R25/R31/Assumptions!$B$8)</f>
        <v>2146.17940199336</v>
      </c>
      <c r="S68" s="16" t="n">
        <f aca="false">IF(S31=0,0,S25/S31/Assumptions!$B$8)</f>
        <v>2146.17940199336</v>
      </c>
      <c r="T68" s="16" t="n">
        <f aca="false">IF(T31=0,0,T25/T31/Assumptions!$B$8)</f>
        <v>2146.17940199336</v>
      </c>
      <c r="U68" s="16" t="n">
        <f aca="false">IF(U31=0,0,U25/U31/Assumptions!$B$8)</f>
        <v>2146.17940199336</v>
      </c>
      <c r="V68" s="16" t="n">
        <f aca="false">IF(V31=0,0,V25/V31/Assumptions!$B$8)</f>
        <v>2146.17940199336</v>
      </c>
      <c r="W68" s="16" t="n">
        <f aca="false">IF(W31=0,0,W25/W31/Assumptions!$B$8)</f>
        <v>2146.17940199336</v>
      </c>
      <c r="X68" s="16" t="n">
        <f aca="false">IF(X31=0,0,X25/X31/Assumptions!$B$8)</f>
        <v>2146.17940199336</v>
      </c>
      <c r="Y68" s="16" t="n">
        <f aca="false">IF(Y31=0,0,Y25/Y31/Assumptions!$B$8)</f>
        <v>2146.17940199336</v>
      </c>
      <c r="Z68" s="2"/>
      <c r="AA68" s="2"/>
      <c r="AB68" s="2"/>
    </row>
    <row r="69" customFormat="false" ht="15" hidden="false" customHeight="false" outlineLevel="0" collapsed="false">
      <c r="A69" s="19" t="s">
        <v>255</v>
      </c>
      <c r="B69" s="20" t="n">
        <f aca="false">IF(Assumptions!$B$18=1,B52/(Assumptions!$B$5*(1-Assumptions!$B$19-Assumptions!$B$20)),(B52+(Assumptions!$B$24*Assumptions!$B$25*Assumptions!$B$21+Assumptions!$B$25*Assumptions!$B$22+Assumptions!$B$24*Assumptions!$B$26*Assumptions!$B$21*1.5)*(1+Assumptions!$B$23))/(Assumptions!$B$5*(1-Assumptions!$B$20)))</f>
        <v>678.22525</v>
      </c>
      <c r="C69" s="20" t="n">
        <f aca="false">IF(Assumptions!$B$18=1,C52/(Assumptions!$B$5*(1-Assumptions!$B$19-Assumptions!$B$20)),(C52+(Assumptions!$B$24*Assumptions!$B$25*Assumptions!$B$21+Assumptions!$B$25*Assumptions!$B$22+Assumptions!$B$24*Assumptions!$B$26*Assumptions!$B$21*1.5)*(1+Assumptions!$B$23))/(Assumptions!$B$5*(1-Assumptions!$B$20)))</f>
        <v>693.22525</v>
      </c>
      <c r="D69" s="20" t="n">
        <f aca="false">IF(Assumptions!$B$18=1,D52/(Assumptions!$B$5*(1-Assumptions!$B$19-Assumptions!$B$20)),(D52+(Assumptions!$B$24*Assumptions!$B$25*Assumptions!$B$21+Assumptions!$B$25*Assumptions!$B$22+Assumptions!$B$24*Assumptions!$B$26*Assumptions!$B$21*1.5)*(1+Assumptions!$B$23))/(Assumptions!$B$5*(1-Assumptions!$B$20)))</f>
        <v>693.22525</v>
      </c>
      <c r="E69" s="20" t="n">
        <f aca="false">IF(Assumptions!$B$18=1,E52/(Assumptions!$B$5*(1-Assumptions!$B$19-Assumptions!$B$20)),(E52+(Assumptions!$B$24*Assumptions!$B$25*Assumptions!$B$21+Assumptions!$B$25*Assumptions!$B$22+Assumptions!$B$24*Assumptions!$B$26*Assumptions!$B$21*1.5)*(1+Assumptions!$B$23))/(Assumptions!$B$5*(1-Assumptions!$B$20)))</f>
        <v>693.22525</v>
      </c>
      <c r="F69" s="20" t="n">
        <f aca="false">IF(Assumptions!$B$18=1,F52/(Assumptions!$B$5*(1-Assumptions!$B$19-Assumptions!$B$20)),(F52+(Assumptions!$B$24*Assumptions!$B$25*Assumptions!$B$21+Assumptions!$B$25*Assumptions!$B$22+Assumptions!$B$24*Assumptions!$B$26*Assumptions!$B$21*1.5)*(1+Assumptions!$B$23))/(Assumptions!$B$5*(1-Assumptions!$B$20)))</f>
        <v>693.22525</v>
      </c>
      <c r="G69" s="20" t="n">
        <f aca="false">IF(Assumptions!$B$18=1,G52/(Assumptions!$B$5*(1-Assumptions!$B$19-Assumptions!$B$20)),(G52+(Assumptions!$B$24*Assumptions!$B$25*Assumptions!$B$21+Assumptions!$B$25*Assumptions!$B$22+Assumptions!$B$24*Assumptions!$B$26*Assumptions!$B$21*1.5)*(1+Assumptions!$B$23))/(Assumptions!$B$5*(1-Assumptions!$B$20)))</f>
        <v>693.22525</v>
      </c>
      <c r="H69" s="20" t="n">
        <f aca="false">IF(Assumptions!$B$18=1,H52/(Assumptions!$B$5*(1-Assumptions!$B$19-Assumptions!$B$20)),(H52+(Assumptions!$B$24*Assumptions!$B$25*Assumptions!$B$21+Assumptions!$B$25*Assumptions!$B$22+Assumptions!$B$24*Assumptions!$B$26*Assumptions!$B$21*1.5)*(1+Assumptions!$B$23))/(Assumptions!$B$5*(1-Assumptions!$B$20)))</f>
        <v>941.691188778618</v>
      </c>
      <c r="I69" s="20" t="n">
        <f aca="false">IF(Assumptions!$B$18=1,I52/(Assumptions!$B$5*(1-Assumptions!$B$19-Assumptions!$B$20)),(I52+(Assumptions!$B$24*Assumptions!$B$25*Assumptions!$B$21+Assumptions!$B$25*Assumptions!$B$22+Assumptions!$B$24*Assumptions!$B$26*Assumptions!$B$21*1.5)*(1+Assumptions!$B$23))/(Assumptions!$B$5*(1-Assumptions!$B$20)))</f>
        <v>829.191188778618</v>
      </c>
      <c r="J69" s="20" t="n">
        <f aca="false">IF(Assumptions!$B$18=1,J52/(Assumptions!$B$5*(1-Assumptions!$B$19-Assumptions!$B$20)),(J52+(Assumptions!$B$24*Assumptions!$B$25*Assumptions!$B$21+Assumptions!$B$25*Assumptions!$B$22+Assumptions!$B$24*Assumptions!$B$26*Assumptions!$B$21*1.5)*(1+Assumptions!$B$23))/(Assumptions!$B$5*(1-Assumptions!$B$20)))</f>
        <v>829.191188778618</v>
      </c>
      <c r="K69" s="20" t="n">
        <f aca="false">IF(Assumptions!$B$18=1,K52/(Assumptions!$B$5*(1-Assumptions!$B$19-Assumptions!$B$20)),(K52+(Assumptions!$B$24*Assumptions!$B$25*Assumptions!$B$21+Assumptions!$B$25*Assumptions!$B$22+Assumptions!$B$24*Assumptions!$B$26*Assumptions!$B$21*1.5)*(1+Assumptions!$B$23))/(Assumptions!$B$5*(1-Assumptions!$B$20)))</f>
        <v>773.225893977001</v>
      </c>
      <c r="L69" s="20" t="n">
        <f aca="false">IF(Assumptions!$B$18=1,L52/(Assumptions!$B$5*(1-Assumptions!$B$19-Assumptions!$B$20)),(L52+(Assumptions!$B$24*Assumptions!$B$25*Assumptions!$B$21+Assumptions!$B$25*Assumptions!$B$22+Assumptions!$B$24*Assumptions!$B$26*Assumptions!$B$21*1.5)*(1+Assumptions!$B$23))/(Assumptions!$B$5*(1-Assumptions!$B$20)))</f>
        <v>773.225893977001</v>
      </c>
      <c r="M69" s="20" t="n">
        <f aca="false">IF(Assumptions!$B$18=1,M52/(Assumptions!$B$5*(1-Assumptions!$B$19-Assumptions!$B$20)),(M52+(Assumptions!$B$24*Assumptions!$B$25*Assumptions!$B$21+Assumptions!$B$25*Assumptions!$B$22+Assumptions!$B$24*Assumptions!$B$26*Assumptions!$B$21*1.5)*(1+Assumptions!$B$23))/(Assumptions!$B$5*(1-Assumptions!$B$20)))</f>
        <v>773.225893977001</v>
      </c>
      <c r="N69" s="20" t="n">
        <f aca="false">IF(Assumptions!$B$18=1,N52/(Assumptions!$B$5*(1-Assumptions!$B$19-Assumptions!$B$20)),(N52+(Assumptions!$B$24*Assumptions!$B$25*Assumptions!$B$21+Assumptions!$B$25*Assumptions!$B$22+Assumptions!$B$24*Assumptions!$B$26*Assumptions!$B$21*1.5)*(1+Assumptions!$B$23))/(Assumptions!$B$5*(1-Assumptions!$B$20)))</f>
        <v>773.225893977001</v>
      </c>
      <c r="O69" s="20" t="n">
        <f aca="false">IF(Assumptions!$B$18=1,O52/(Assumptions!$B$5*(1-Assumptions!$B$19-Assumptions!$B$20)),(O52+(Assumptions!$B$24*Assumptions!$B$25*Assumptions!$B$21+Assumptions!$B$25*Assumptions!$B$22+Assumptions!$B$24*Assumptions!$B$26*Assumptions!$B$21*1.5)*(1+Assumptions!$B$23))/(Assumptions!$B$5*(1-Assumptions!$B$20)))</f>
        <v>773.225893977001</v>
      </c>
      <c r="P69" s="20" t="n">
        <f aca="false">IF(Assumptions!$B$18=1,P52/(Assumptions!$B$5*(1-Assumptions!$B$19-Assumptions!$B$20)),(P52+(Assumptions!$B$24*Assumptions!$B$25*Assumptions!$B$21+Assumptions!$B$25*Assumptions!$B$22+Assumptions!$B$24*Assumptions!$B$26*Assumptions!$B$21*1.5)*(1+Assumptions!$B$23))/(Assumptions!$B$5*(1-Assumptions!$B$20)))</f>
        <v>773.225893977001</v>
      </c>
      <c r="Q69" s="20" t="n">
        <f aca="false">IF(Assumptions!$B$18=1,Q52/(Assumptions!$B$5*(1-Assumptions!$B$19-Assumptions!$B$20)),(Q52+(Assumptions!$B$24*Assumptions!$B$25*Assumptions!$B$21+Assumptions!$B$25*Assumptions!$B$22+Assumptions!$B$24*Assumptions!$B$26*Assumptions!$B$21*1.5)*(1+Assumptions!$B$23))/(Assumptions!$B$5*(1-Assumptions!$B$20)))</f>
        <v>773.225893977001</v>
      </c>
      <c r="R69" s="20" t="n">
        <f aca="false">IF(Assumptions!$B$18=1,R52/(Assumptions!$B$5*(1-Assumptions!$B$19-Assumptions!$B$20)),(R52+(Assumptions!$B$24*Assumptions!$B$25*Assumptions!$B$21+Assumptions!$B$25*Assumptions!$B$22+Assumptions!$B$24*Assumptions!$B$26*Assumptions!$B$21*1.5)*(1+Assumptions!$B$23))/(Assumptions!$B$5*(1-Assumptions!$B$20)))</f>
        <v>773.225893977001</v>
      </c>
      <c r="S69" s="20" t="n">
        <f aca="false">IF(Assumptions!$B$18=1,S52/(Assumptions!$B$5*(1-Assumptions!$B$19-Assumptions!$B$20)),(S52+(Assumptions!$B$24*Assumptions!$B$25*Assumptions!$B$21+Assumptions!$B$25*Assumptions!$B$22+Assumptions!$B$24*Assumptions!$B$26*Assumptions!$B$21*1.5)*(1+Assumptions!$B$23))/(Assumptions!$B$5*(1-Assumptions!$B$20)))</f>
        <v>773.225893977001</v>
      </c>
      <c r="T69" s="20" t="n">
        <f aca="false">IF(Assumptions!$B$18=1,T52/(Assumptions!$B$5*(1-Assumptions!$B$19-Assumptions!$B$20)),(T52+(Assumptions!$B$24*Assumptions!$B$25*Assumptions!$B$21+Assumptions!$B$25*Assumptions!$B$22+Assumptions!$B$24*Assumptions!$B$26*Assumptions!$B$21*1.5)*(1+Assumptions!$B$23))/(Assumptions!$B$5*(1-Assumptions!$B$20)))</f>
        <v>773.225893977001</v>
      </c>
      <c r="U69" s="20" t="n">
        <f aca="false">IF(Assumptions!$B$18=1,U52/(Assumptions!$B$5*(1-Assumptions!$B$19-Assumptions!$B$20)),(U52+(Assumptions!$B$24*Assumptions!$B$25*Assumptions!$B$21+Assumptions!$B$25*Assumptions!$B$22+Assumptions!$B$24*Assumptions!$B$26*Assumptions!$B$21*1.5)*(1+Assumptions!$B$23))/(Assumptions!$B$5*(1-Assumptions!$B$20)))</f>
        <v>773.225893977001</v>
      </c>
      <c r="V69" s="20" t="n">
        <f aca="false">IF(Assumptions!$B$18=1,V52/(Assumptions!$B$5*(1-Assumptions!$B$19-Assumptions!$B$20)),(V52+(Assumptions!$B$24*Assumptions!$B$25*Assumptions!$B$21+Assumptions!$B$25*Assumptions!$B$22+Assumptions!$B$24*Assumptions!$B$26*Assumptions!$B$21*1.5)*(1+Assumptions!$B$23))/(Assumptions!$B$5*(1-Assumptions!$B$20)))</f>
        <v>773.225893977001</v>
      </c>
      <c r="W69" s="20" t="n">
        <f aca="false">IF(Assumptions!$B$18=1,W52/(Assumptions!$B$5*(1-Assumptions!$B$19-Assumptions!$B$20)),(W52+(Assumptions!$B$24*Assumptions!$B$25*Assumptions!$B$21+Assumptions!$B$25*Assumptions!$B$22+Assumptions!$B$24*Assumptions!$B$26*Assumptions!$B$21*1.5)*(1+Assumptions!$B$23))/(Assumptions!$B$5*(1-Assumptions!$B$20)))</f>
        <v>773.225893977001</v>
      </c>
      <c r="X69" s="20" t="n">
        <f aca="false">IF(Assumptions!$B$18=1,X52/(Assumptions!$B$5*(1-Assumptions!$B$19-Assumptions!$B$20)),(X52+(Assumptions!$B$24*Assumptions!$B$25*Assumptions!$B$21+Assumptions!$B$25*Assumptions!$B$22+Assumptions!$B$24*Assumptions!$B$26*Assumptions!$B$21*1.5)*(1+Assumptions!$B$23))/(Assumptions!$B$5*(1-Assumptions!$B$20)))</f>
        <v>773.225893977001</v>
      </c>
      <c r="Y69" s="20" t="n">
        <f aca="false">IF(Assumptions!$B$18=1,Y52/(Assumptions!$B$5*(1-Assumptions!$B$19-Assumptions!$B$20)),(Y52+(Assumptions!$B$24*Assumptions!$B$25*Assumptions!$B$21+Assumptions!$B$25*Assumptions!$B$22+Assumptions!$B$24*Assumptions!$B$26*Assumptions!$B$21*1.5)*(1+Assumptions!$B$23))/(Assumptions!$B$5*(1-Assumptions!$B$20)))</f>
        <v>773.225893977001</v>
      </c>
      <c r="Z69" s="2"/>
      <c r="AA69" s="2"/>
      <c r="AB69"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256</v>
      </c>
      <c r="B1" s="2"/>
      <c r="C1" s="2"/>
    </row>
    <row r="2" customFormat="false" ht="15" hidden="false" customHeight="false" outlineLevel="0" collapsed="false">
      <c r="A2" s="4" t="s">
        <v>257</v>
      </c>
      <c r="B2" s="5"/>
      <c r="C2" s="2"/>
    </row>
    <row r="3" customFormat="false" ht="15" hidden="false" customHeight="false" outlineLevel="0" collapsed="false">
      <c r="A3" s="2" t="s">
        <v>258</v>
      </c>
      <c r="B3" s="25" t="n">
        <f aca="false">Assumptions!$B$15</f>
        <v>100</v>
      </c>
      <c r="C3" s="2"/>
    </row>
    <row r="4" customFormat="false" ht="15" hidden="false" customHeight="false" outlineLevel="0" collapsed="false">
      <c r="A4" s="2" t="s">
        <v>259</v>
      </c>
      <c r="B4" s="26" t="n">
        <f aca="false">B3*Assumptions!$B$5</f>
        <v>5000</v>
      </c>
      <c r="C4" s="2"/>
    </row>
    <row r="5" customFormat="false" ht="15" hidden="false" customHeight="false" outlineLevel="0" collapsed="false">
      <c r="A5" s="2" t="s">
        <v>260</v>
      </c>
      <c r="B5" s="26" t="n">
        <f aca="false">B3/Assumptions!$B$11*(Assumptions!$B$24*Assumptions!$B$25*Assumptions!$B$21+Assumptions!$B$25*Assumptions!$B$22+Assumptions!$B$24*Assumptions!$B$26*Assumptions!$B$21*1.5)*(1+Assumptions!$B$23)</f>
        <v>1544.89</v>
      </c>
      <c r="C5" s="2"/>
    </row>
    <row r="6" customFormat="false" ht="15" hidden="false" customHeight="false" outlineLevel="0" collapsed="false">
      <c r="A6" s="2" t="s">
        <v>261</v>
      </c>
      <c r="B6" s="26" t="n">
        <f aca="false">B4*Assumptions!$B$20</f>
        <v>1000</v>
      </c>
      <c r="C6" s="2"/>
    </row>
    <row r="7" customFormat="false" ht="15" hidden="false" customHeight="false" outlineLevel="0" collapsed="false">
      <c r="A7" s="2" t="s">
        <v>262</v>
      </c>
      <c r="B7" s="16" t="n">
        <f aca="false">B4-B5-B6</f>
        <v>2455.11</v>
      </c>
      <c r="C7" s="2"/>
    </row>
    <row r="8" customFormat="false" ht="15" hidden="false" customHeight="false" outlineLevel="0" collapsed="false">
      <c r="A8" s="2" t="s">
        <v>263</v>
      </c>
      <c r="B8" s="22" t="n">
        <f aca="false">B7/B4</f>
        <v>0.491022</v>
      </c>
      <c r="C8" s="2"/>
    </row>
    <row r="9" customFormat="false" ht="15" hidden="false" customHeight="false" outlineLevel="0" collapsed="false">
      <c r="A9" s="2" t="s">
        <v>264</v>
      </c>
      <c r="B9" s="27" t="n">
        <f aca="false">B3/(Assumptions!$B$11/Assumptions!$B$8)</f>
        <v>2.33333333333333</v>
      </c>
      <c r="C9" s="2"/>
    </row>
    <row r="10" customFormat="false" ht="15" hidden="false" customHeight="false" outlineLevel="0" collapsed="false">
      <c r="A10" s="4" t="s">
        <v>265</v>
      </c>
      <c r="B10" s="5"/>
      <c r="C10" s="2"/>
    </row>
    <row r="11" customFormat="false" ht="15" hidden="false" customHeight="false" outlineLevel="0" collapsed="false">
      <c r="A11" s="2" t="s">
        <v>266</v>
      </c>
      <c r="B11" s="25" t="n">
        <f aca="false">Assumptions!$B$11</f>
        <v>900</v>
      </c>
      <c r="C11" s="2"/>
    </row>
    <row r="12" customFormat="false" ht="15" hidden="false" customHeight="false" outlineLevel="0" collapsed="false">
      <c r="A12" s="2" t="s">
        <v>248</v>
      </c>
      <c r="B12" s="26" t="n">
        <f aca="false">B11*Assumptions!$B$5</f>
        <v>45000</v>
      </c>
      <c r="C12" s="2"/>
    </row>
    <row r="13" customFormat="false" ht="15" hidden="false" customHeight="false" outlineLevel="0" collapsed="false">
      <c r="A13" s="2" t="s">
        <v>267</v>
      </c>
      <c r="B13" s="26" t="n">
        <f aca="false">Assumptions!$B$24*Assumptions!$B$25*Assumptions!$B$21+Assumptions!$B$25*Assumptions!$B$22+Assumptions!$B$24*Assumptions!$B$26*Assumptions!$B$21*1.5</f>
        <v>12196.5</v>
      </c>
      <c r="C13" s="2"/>
    </row>
    <row r="14" customFormat="false" ht="15" hidden="false" customHeight="false" outlineLevel="0" collapsed="false">
      <c r="A14" s="2" t="s">
        <v>268</v>
      </c>
      <c r="B14" s="26" t="n">
        <f aca="false">B13*(1+Assumptions!$B$23)</f>
        <v>13904.01</v>
      </c>
      <c r="C14" s="2"/>
    </row>
    <row r="15" customFormat="false" ht="15" hidden="false" customHeight="false" outlineLevel="0" collapsed="false">
      <c r="A15" s="2" t="s">
        <v>269</v>
      </c>
      <c r="B15" s="22" t="n">
        <f aca="false">B14/B12</f>
        <v>0.308978</v>
      </c>
      <c r="C15" s="7" t="s">
        <v>270</v>
      </c>
    </row>
    <row r="16" customFormat="false" ht="15" hidden="false" customHeight="false" outlineLevel="0" collapsed="false">
      <c r="A16" s="2" t="s">
        <v>271</v>
      </c>
      <c r="B16" s="26" t="n">
        <f aca="false">B12*(1-Assumptions!$B$20)-B14</f>
        <v>22095.99</v>
      </c>
      <c r="C16" s="2"/>
    </row>
    <row r="17" customFormat="false" ht="15" hidden="false" customHeight="false" outlineLevel="0" collapsed="false">
      <c r="A17" s="4" t="s">
        <v>272</v>
      </c>
      <c r="B17" s="5"/>
      <c r="C17" s="2"/>
    </row>
    <row r="18" customFormat="false" ht="15" hidden="false" customHeight="false" outlineLevel="0" collapsed="false">
      <c r="A18" s="2" t="s">
        <v>273</v>
      </c>
      <c r="B18" s="26" t="n">
        <f aca="false">Assumptions!$B$28</f>
        <v>249</v>
      </c>
      <c r="C18" s="2"/>
    </row>
    <row r="19" customFormat="false" ht="15" hidden="false" customHeight="false" outlineLevel="0" collapsed="false">
      <c r="A19" s="2" t="s">
        <v>274</v>
      </c>
      <c r="B19" s="26" t="n">
        <f aca="false">Assumptions!$B$35</f>
        <v>70</v>
      </c>
      <c r="C19" s="2"/>
    </row>
    <row r="20" customFormat="false" ht="15" hidden="false" customHeight="false" outlineLevel="0" collapsed="false">
      <c r="A20" s="2" t="s">
        <v>275</v>
      </c>
      <c r="B20" s="16" t="n">
        <f aca="false">B18-B19</f>
        <v>179</v>
      </c>
      <c r="C20" s="2"/>
    </row>
    <row r="21" customFormat="false" ht="15" hidden="false" customHeight="false" outlineLevel="0" collapsed="false">
      <c r="A21" s="2" t="s">
        <v>276</v>
      </c>
      <c r="B21" s="22" t="n">
        <f aca="false">B20/B18</f>
        <v>0.718875502008032</v>
      </c>
      <c r="C21" s="2"/>
    </row>
    <row r="22" customFormat="false" ht="15" hidden="false" customHeight="false" outlineLevel="0" collapsed="false">
      <c r="A22" s="2" t="s">
        <v>277</v>
      </c>
      <c r="B22" s="25" t="n">
        <f aca="false">5*Assumptions!$B$31</f>
        <v>3.75</v>
      </c>
      <c r="C22" s="2"/>
    </row>
    <row r="23" customFormat="false" ht="15" hidden="false" customHeight="false" outlineLevel="0" collapsed="false">
      <c r="A23" s="2" t="s">
        <v>278</v>
      </c>
      <c r="B23" s="16" t="n">
        <f aca="false">B20*B22</f>
        <v>671.25</v>
      </c>
      <c r="C23" s="2"/>
    </row>
    <row r="24" customFormat="false" ht="15" hidden="false" customHeight="false" outlineLevel="0" collapsed="false">
      <c r="A24" s="2" t="s">
        <v>279</v>
      </c>
      <c r="B24" s="16" t="n">
        <f aca="false">0.25*B7</f>
        <v>613.7775</v>
      </c>
      <c r="C24" s="7" t="s">
        <v>280</v>
      </c>
    </row>
    <row r="25" customFormat="false" ht="15" hidden="false" customHeight="false" outlineLevel="0" collapsed="false">
      <c r="A25" s="4" t="s">
        <v>281</v>
      </c>
      <c r="B25" s="5"/>
      <c r="C25" s="2"/>
    </row>
    <row r="26" customFormat="false" ht="15" hidden="false" customHeight="false" outlineLevel="0" collapsed="false">
      <c r="A26" s="2" t="s">
        <v>282</v>
      </c>
      <c r="B26" s="25" t="n">
        <f aca="false">Assumptions!$B$6</f>
        <v>400</v>
      </c>
      <c r="C26" s="2"/>
    </row>
    <row r="27" customFormat="false" ht="15" hidden="false" customHeight="false" outlineLevel="0" collapsed="false">
      <c r="A27" s="2" t="s">
        <v>283</v>
      </c>
      <c r="B27" s="26" t="n">
        <f aca="false">B26*Assumptions!$B$5+MAX(0,Assumptions!$B$8-B26/Assumptions!$B$9)*Assumptions!$B$10</f>
        <v>31697.6744186047</v>
      </c>
      <c r="C27" s="2"/>
    </row>
    <row r="28" customFormat="false" ht="15" hidden="false" customHeight="false" outlineLevel="0" collapsed="false">
      <c r="A28" s="2" t="s">
        <v>284</v>
      </c>
      <c r="B28" s="26" t="n">
        <f aca="false">B27/Assumptions!$B$8</f>
        <v>1509.4130675526</v>
      </c>
      <c r="C28" s="2" t="s">
        <v>285</v>
      </c>
    </row>
    <row r="29" customFormat="false" ht="15" hidden="false" customHeight="false" outlineLevel="0" collapsed="false">
      <c r="A29" s="2" t="s">
        <v>286</v>
      </c>
      <c r="B29" s="22" t="n">
        <f aca="false">B14/B27</f>
        <v>0.438644482758621</v>
      </c>
      <c r="C29" s="2" t="s">
        <v>287</v>
      </c>
    </row>
    <row r="30" customFormat="false" ht="15" hidden="false" customHeight="false" outlineLevel="0" collapsed="false">
      <c r="A30" s="2" t="s">
        <v>288</v>
      </c>
      <c r="B30" s="22" t="n">
        <f aca="false">B15</f>
        <v>0.308978</v>
      </c>
      <c r="C30" s="2"/>
    </row>
    <row r="31" customFormat="false" ht="15" hidden="false" customHeight="false" outlineLevel="0" collapsed="false">
      <c r="A31" s="2" t="s">
        <v>289</v>
      </c>
      <c r="B31" s="26" t="n">
        <f aca="false">'Proforma 24 mo'!D52</f>
        <v>13825</v>
      </c>
      <c r="C31" s="2"/>
    </row>
    <row r="32" customFormat="false" ht="15" hidden="false" customHeight="false" outlineLevel="0" collapsed="false">
      <c r="A32" s="2" t="s">
        <v>290</v>
      </c>
      <c r="B32" s="25" t="n">
        <f aca="false">(B31+B14)/(Assumptions!$B$5*(1-Assumptions!$B$20))</f>
        <v>693.22525</v>
      </c>
      <c r="C32" s="2"/>
    </row>
    <row r="33" customFormat="false" ht="15" hidden="false" customHeight="false" outlineLevel="0" collapsed="false">
      <c r="A33" s="2" t="s">
        <v>291</v>
      </c>
      <c r="B33" s="28" t="n">
        <f aca="false">B32/Assumptions!$B$11</f>
        <v>0.770250277777778</v>
      </c>
      <c r="C3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8"/>
  </cols>
  <sheetData>
    <row r="1" customFormat="false" ht="17.35" hidden="false" customHeight="false" outlineLevel="0" collapsed="false">
      <c r="A1" s="1" t="s">
        <v>292</v>
      </c>
      <c r="B1" s="2"/>
      <c r="C1" s="2"/>
      <c r="D1" s="2"/>
    </row>
    <row r="2" customFormat="false" ht="15" hidden="false" customHeight="false" outlineLevel="0" collapsed="false">
      <c r="A2" s="3" t="s">
        <v>293</v>
      </c>
      <c r="B2" s="2"/>
      <c r="C2" s="2"/>
      <c r="D2" s="2"/>
    </row>
    <row r="3" customFormat="false" ht="15" hidden="false" customHeight="false" outlineLevel="0" collapsed="false">
      <c r="A3" s="2"/>
      <c r="B3" s="2"/>
      <c r="C3" s="2"/>
      <c r="D3" s="2"/>
    </row>
    <row r="4" customFormat="false" ht="15" hidden="false" customHeight="false" outlineLevel="0" collapsed="false">
      <c r="A4" s="29"/>
      <c r="B4" s="29" t="s">
        <v>294</v>
      </c>
      <c r="C4" s="29" t="s">
        <v>295</v>
      </c>
      <c r="D4" s="29" t="s">
        <v>296</v>
      </c>
    </row>
    <row r="5" customFormat="false" ht="15" hidden="false" customHeight="false" outlineLevel="0" collapsed="false">
      <c r="A5" s="2" t="s">
        <v>297</v>
      </c>
      <c r="B5" s="12" t="n">
        <v>700</v>
      </c>
      <c r="C5" s="12" t="n">
        <v>900</v>
      </c>
      <c r="D5" s="12" t="n">
        <v>1000</v>
      </c>
    </row>
    <row r="6" customFormat="false" ht="15" hidden="false" customHeight="false" outlineLevel="0" collapsed="false">
      <c r="A6" s="2" t="s">
        <v>298</v>
      </c>
      <c r="B6" s="12" t="n">
        <v>1</v>
      </c>
      <c r="C6" s="12" t="n">
        <v>2</v>
      </c>
      <c r="D6" s="12" t="n">
        <v>2</v>
      </c>
    </row>
    <row r="7" customFormat="false" ht="15" hidden="false" customHeight="false" outlineLevel="0" collapsed="false">
      <c r="A7" s="2" t="s">
        <v>299</v>
      </c>
      <c r="B7" s="9" t="n">
        <v>45</v>
      </c>
      <c r="C7" s="9" t="n">
        <v>50</v>
      </c>
      <c r="D7" s="9" t="n">
        <v>55</v>
      </c>
    </row>
    <row r="8" customFormat="false" ht="15" hidden="false" customHeight="false" outlineLevel="0" collapsed="false">
      <c r="A8" s="2" t="s">
        <v>300</v>
      </c>
      <c r="B8" s="12" t="n">
        <v>40</v>
      </c>
      <c r="C8" s="12" t="n">
        <v>90</v>
      </c>
      <c r="D8" s="12" t="n">
        <v>140</v>
      </c>
    </row>
    <row r="9" customFormat="false" ht="15" hidden="false" customHeight="false" outlineLevel="0" collapsed="false">
      <c r="A9" s="2" t="s">
        <v>301</v>
      </c>
      <c r="B9" s="16" t="n">
        <f aca="false">B5*B6*B7</f>
        <v>31500</v>
      </c>
      <c r="C9" s="16" t="n">
        <f aca="false">C5*C6*C7</f>
        <v>90000</v>
      </c>
      <c r="D9" s="16" t="n">
        <f aca="false">D5*D6*D7</f>
        <v>110000</v>
      </c>
    </row>
    <row r="10" customFormat="false" ht="15" hidden="false" customHeight="false" outlineLevel="0" collapsed="false">
      <c r="A10" s="2" t="s">
        <v>302</v>
      </c>
      <c r="B10" s="16" t="n">
        <f aca="false">B8/12*Assumptions!$B$31*Assumptions!$B$28</f>
        <v>622.5</v>
      </c>
      <c r="C10" s="16" t="n">
        <f aca="false">C8/12*Assumptions!$B$31*Assumptions!$B$28</f>
        <v>1400.625</v>
      </c>
      <c r="D10" s="16" t="n">
        <f aca="false">D8/12*Assumptions!$B$31*Assumptions!$B$28</f>
        <v>2178.75</v>
      </c>
    </row>
    <row r="11" customFormat="false" ht="15" hidden="false" customHeight="false" outlineLevel="0" collapsed="false">
      <c r="A11" s="2" t="s">
        <v>303</v>
      </c>
      <c r="B11" s="16" t="n">
        <f aca="false">B9+B10</f>
        <v>32122.5</v>
      </c>
      <c r="C11" s="16" t="n">
        <f aca="false">C9+C10</f>
        <v>91400.625</v>
      </c>
      <c r="D11" s="16" t="n">
        <f aca="false">D9+D10</f>
        <v>112178.75</v>
      </c>
    </row>
    <row r="12" customFormat="false" ht="15" hidden="false" customHeight="false" outlineLevel="0" collapsed="false">
      <c r="A12" s="2" t="s">
        <v>304</v>
      </c>
      <c r="B12" s="23" t="n">
        <f aca="false">B9*(1-Assumptions!$B$20)-B6*(Assumptions!$B$24*Assumptions!$B$25*Assumptions!$B$21+Assumptions!$B$25*Assumptions!$B$22+Assumptions!$B$24*Assumptions!$B$26*Assumptions!$B$21*1.5)*(1+Assumptions!$B$23)+B10*(1-Assumptions!$B$35/Assumptions!$B$28)</f>
        <v>11743.49</v>
      </c>
      <c r="C12" s="23" t="n">
        <f aca="false">C9*(1-Assumptions!$B$20)-C6*(Assumptions!$B$24*Assumptions!$B$25*Assumptions!$B$21+Assumptions!$B$25*Assumptions!$B$22+Assumptions!$B$24*Assumptions!$B$26*Assumptions!$B$21*1.5)*(1+Assumptions!$B$23)+C10*(1-Assumptions!$B$35/Assumptions!$B$28)</f>
        <v>45198.855</v>
      </c>
      <c r="D12" s="23" t="n">
        <f aca="false">D9*(1-Assumptions!$B$20)-D6*(Assumptions!$B$24*Assumptions!$B$25*Assumptions!$B$21+Assumptions!$B$25*Assumptions!$B$22+Assumptions!$B$24*Assumptions!$B$26*Assumptions!$B$21*1.5)*(1+Assumptions!$B$23)+D10*(1-Assumptions!$B$35/Assumptions!$B$28)</f>
        <v>61758.23</v>
      </c>
    </row>
    <row r="13" customFormat="false" ht="15" hidden="false" customHeight="false" outlineLevel="0" collapsed="false">
      <c r="A13" s="2" t="s">
        <v>305</v>
      </c>
      <c r="B13" s="16" t="n">
        <f aca="false">IF(B6=1,'Proforma 24 mo'!D52,'Proforma 24 mo'!Y52)</f>
        <v>13825</v>
      </c>
      <c r="C13" s="16" t="n">
        <f aca="false">IF(C6=1,'Proforma 24 mo'!D52,'Proforma 24 mo'!Y52)</f>
        <v>17025.02575908</v>
      </c>
      <c r="D13" s="16" t="n">
        <f aca="false">IF(D6=1,'Proforma 24 mo'!D52,'Proforma 24 mo'!Y52)</f>
        <v>17025.02575908</v>
      </c>
    </row>
    <row r="14" customFormat="false" ht="15" hidden="false" customHeight="false" outlineLevel="0" collapsed="false">
      <c r="A14" s="2" t="s">
        <v>306</v>
      </c>
      <c r="B14" s="23" t="n">
        <f aca="false">B12-B13</f>
        <v>-2081.51</v>
      </c>
      <c r="C14" s="23" t="n">
        <f aca="false">C12-C13</f>
        <v>28173.82924092</v>
      </c>
      <c r="D14" s="23" t="n">
        <f aca="false">D12-D13</f>
        <v>44733.20424092</v>
      </c>
    </row>
    <row r="15" customFormat="false" ht="15" hidden="false" customHeight="false" outlineLevel="0" collapsed="false">
      <c r="A15" s="2" t="s">
        <v>307</v>
      </c>
      <c r="B15" s="23" t="n">
        <f aca="false">B14*12</f>
        <v>-24978.12</v>
      </c>
      <c r="C15" s="23" t="n">
        <f aca="false">C14*12</f>
        <v>338085.95089104</v>
      </c>
      <c r="D15" s="23" t="n">
        <f aca="false">D14*12</f>
        <v>536798.45089104</v>
      </c>
    </row>
    <row r="16" customFormat="false" ht="15" hidden="false" customHeight="false" outlineLevel="0" collapsed="false">
      <c r="A16" s="2" t="s">
        <v>308</v>
      </c>
      <c r="B16" s="22" t="n">
        <f aca="false">IF(B11=0,0,B14/B11)</f>
        <v>-0.0647991283368356</v>
      </c>
      <c r="C16" s="22" t="n">
        <f aca="false">IF(C11=0,0,C14/C11)</f>
        <v>0.308245476887275</v>
      </c>
      <c r="D16" s="22" t="n">
        <f aca="false">IF(D11=0,0,D14/D11)</f>
        <v>0.398767183989124</v>
      </c>
    </row>
    <row r="17" customFormat="false" ht="15" hidden="false" customHeight="false" outlineLevel="0" collapsed="false">
      <c r="A17" s="2" t="s">
        <v>309</v>
      </c>
      <c r="B17" s="20" t="n">
        <f aca="false">B5*B6/Assumptions!$B$15/Assumptions!$B$72</f>
        <v>10</v>
      </c>
      <c r="C17" s="20" t="n">
        <f aca="false">C5*C6/Assumptions!$B$15/Assumptions!$B$72</f>
        <v>25.7142857142857</v>
      </c>
      <c r="D17" s="20" t="n">
        <f aca="false">D5*D6/Assumptions!$B$15/Assumptions!$B$72</f>
        <v>28.5714285714286</v>
      </c>
    </row>
    <row r="18" customFormat="false" ht="15" hidden="false" customHeight="false" outlineLevel="0" collapsed="false">
      <c r="A18" s="2" t="s">
        <v>310</v>
      </c>
      <c r="B18" s="20" t="n">
        <f aca="false">B17/0.45</f>
        <v>22.2222222222222</v>
      </c>
      <c r="C18" s="20" t="n">
        <f aca="false">C17/0.45</f>
        <v>57.1428571428571</v>
      </c>
      <c r="D18" s="20" t="n">
        <f aca="false">D17/0.45</f>
        <v>63.4920634920635</v>
      </c>
    </row>
    <row r="19" customFormat="false" ht="15" hidden="false" customHeight="false" outlineLevel="0" collapsed="false">
      <c r="A19" s="30" t="s">
        <v>311</v>
      </c>
      <c r="B19" s="2"/>
      <c r="C19" s="2"/>
      <c r="D19" s="2"/>
    </row>
    <row r="20" customFormat="false" ht="15" hidden="false" customHeight="false" outlineLevel="0" collapsed="false">
      <c r="A20" s="7" t="s">
        <v>312</v>
      </c>
      <c r="B20" s="2"/>
      <c r="C20" s="2"/>
      <c r="D20" s="2"/>
    </row>
    <row r="21" customFormat="false" ht="15" hidden="false" customHeight="false" outlineLevel="0" collapsed="false">
      <c r="A21" s="7" t="s">
        <v>313</v>
      </c>
      <c r="B21" s="2"/>
      <c r="C21" s="2"/>
      <c r="D21" s="2"/>
    </row>
    <row r="22" customFormat="false" ht="15" hidden="false" customHeight="false" outlineLevel="0" collapsed="false">
      <c r="A22" s="7" t="s">
        <v>314</v>
      </c>
      <c r="B22" s="2"/>
      <c r="C22" s="2"/>
      <c r="D22"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315</v>
      </c>
      <c r="B1" s="2"/>
      <c r="C1" s="2"/>
      <c r="D1" s="2"/>
      <c r="E1" s="2"/>
      <c r="F1" s="2"/>
      <c r="G1" s="2"/>
      <c r="H1" s="2"/>
      <c r="I1" s="2"/>
      <c r="J1" s="2"/>
    </row>
    <row r="2" customFormat="false" ht="15" hidden="false" customHeight="false" outlineLevel="0" collapsed="false">
      <c r="A2" s="3" t="s">
        <v>316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5.05" hidden="false" customHeight="false" outlineLevel="0" collapsed="false">
      <c r="A4" s="31" t="s">
        <v>317</v>
      </c>
      <c r="B4" s="31" t="s">
        <v>318</v>
      </c>
      <c r="C4" s="31" t="s">
        <v>319</v>
      </c>
      <c r="D4" s="31" t="s">
        <v>320</v>
      </c>
      <c r="E4" s="31" t="s">
        <v>321</v>
      </c>
      <c r="F4" s="31" t="s">
        <v>322</v>
      </c>
      <c r="G4" s="31" t="s">
        <v>323</v>
      </c>
      <c r="H4" s="31" t="s">
        <v>324</v>
      </c>
      <c r="I4" s="31" t="s">
        <v>325</v>
      </c>
      <c r="J4" s="31" t="s">
        <v>326</v>
      </c>
    </row>
    <row r="5" customFormat="false" ht="15" hidden="false" customHeight="false" outlineLevel="0" collapsed="false">
      <c r="A5" s="2" t="s">
        <v>327</v>
      </c>
      <c r="B5" s="26" t="n">
        <f aca="false">Assumptions!$B$88</f>
        <v>50000</v>
      </c>
      <c r="C5" s="26" t="n">
        <f aca="false">Assumptions!$B$89</f>
        <v>2000</v>
      </c>
      <c r="D5" s="25" t="n">
        <f aca="false">Assumptions!$B$90</f>
        <v>3</v>
      </c>
      <c r="E5" s="16" t="n">
        <f aca="false">C5*D5</f>
        <v>6000</v>
      </c>
      <c r="F5" s="20" t="n">
        <f aca="false">Assumptions!$B$12+D5</f>
        <v>10</v>
      </c>
      <c r="G5" s="16" t="n">
        <f aca="false">B5*(1-Assumptions!$B$103)</f>
        <v>10000</v>
      </c>
      <c r="H5" s="16" t="n">
        <f aca="false">-PMT(Assumptions!$B$104/12,Assumptions!$B$105,B5*Assumptions!$B$103)</f>
        <v>830.33420905416</v>
      </c>
      <c r="I5" s="20" t="n">
        <f aca="false">F5+Assumptions!$B$105</f>
        <v>70</v>
      </c>
      <c r="J5" s="20" t="n">
        <f aca="false">IF(C5=0,"n/a",B5/C5)</f>
        <v>25</v>
      </c>
    </row>
    <row r="6" customFormat="false" ht="15" hidden="false" customHeight="false" outlineLevel="0" collapsed="false">
      <c r="A6" s="2" t="s">
        <v>328</v>
      </c>
      <c r="B6" s="26" t="n">
        <f aca="false">Assumptions!$B$91</f>
        <v>38000</v>
      </c>
      <c r="C6" s="26" t="n">
        <f aca="false">Assumptions!$B$92</f>
        <v>1700</v>
      </c>
      <c r="D6" s="25" t="n">
        <f aca="false">Assumptions!$B$93</f>
        <v>3</v>
      </c>
      <c r="E6" s="16" t="n">
        <f aca="false">C6*D6</f>
        <v>5100</v>
      </c>
      <c r="F6" s="20" t="n">
        <f aca="false">Assumptions!$B$12+D6</f>
        <v>10</v>
      </c>
      <c r="G6" s="16" t="n">
        <f aca="false">B6*(1-Assumptions!$B$103)</f>
        <v>7600</v>
      </c>
      <c r="H6" s="16" t="n">
        <f aca="false">-PMT(Assumptions!$B$104/12,Assumptions!$B$105,B6*Assumptions!$B$103)</f>
        <v>631.053998881162</v>
      </c>
      <c r="I6" s="20" t="n">
        <f aca="false">F6+Assumptions!$B$105</f>
        <v>70</v>
      </c>
      <c r="J6" s="20" t="n">
        <f aca="false">IF(C6=0,"n/a",B6/C6)</f>
        <v>22.3529411764706</v>
      </c>
    </row>
    <row r="7" customFormat="false" ht="15" hidden="false" customHeight="false" outlineLevel="0" collapsed="false">
      <c r="A7" s="2" t="s">
        <v>329</v>
      </c>
      <c r="B7" s="26" t="n">
        <f aca="false">Assumptions!$B$94</f>
        <v>9500</v>
      </c>
      <c r="C7" s="26" t="n">
        <f aca="false">Assumptions!$B$95</f>
        <v>600</v>
      </c>
      <c r="D7" s="25" t="n">
        <f aca="false">Assumptions!$B$96</f>
        <v>0</v>
      </c>
      <c r="E7" s="16" t="n">
        <f aca="false">C7*D7</f>
        <v>0</v>
      </c>
      <c r="F7" s="20" t="n">
        <f aca="false">Assumptions!$B$12+D7</f>
        <v>7</v>
      </c>
      <c r="G7" s="16" t="n">
        <f aca="false">B7*(1-Assumptions!$B$103)</f>
        <v>1900</v>
      </c>
      <c r="H7" s="16" t="n">
        <f aca="false">-PMT(Assumptions!$B$104/12,Assumptions!$B$105,B7*Assumptions!$B$103)</f>
        <v>157.76349972029</v>
      </c>
      <c r="I7" s="20" t="n">
        <f aca="false">F7+Assumptions!$B$105</f>
        <v>67</v>
      </c>
      <c r="J7" s="20" t="n">
        <f aca="false">IF(C7=0,"n/a",B7/C7)</f>
        <v>15.8333333333333</v>
      </c>
    </row>
    <row r="8" customFormat="false" ht="15" hidden="false" customHeight="false" outlineLevel="0" collapsed="false">
      <c r="A8" s="2" t="s">
        <v>330</v>
      </c>
      <c r="B8" s="26" t="n">
        <f aca="false">Assumptions!$B$97</f>
        <v>35000</v>
      </c>
      <c r="C8" s="26" t="n">
        <f aca="false">Assumptions!$B$98</f>
        <v>0</v>
      </c>
      <c r="D8" s="25" t="n">
        <f aca="false">Assumptions!$B$99</f>
        <v>0</v>
      </c>
      <c r="E8" s="16" t="n">
        <f aca="false">C8*D8</f>
        <v>0</v>
      </c>
      <c r="F8" s="20" t="n">
        <f aca="false">Assumptions!$B$12+D8</f>
        <v>7</v>
      </c>
      <c r="G8" s="16" t="n">
        <f aca="false">B8*(1-Assumptions!$B$103)</f>
        <v>7000</v>
      </c>
      <c r="H8" s="16" t="n">
        <f aca="false">-PMT(Assumptions!$B$104/12,Assumptions!$B$105,B8*Assumptions!$B$103)</f>
        <v>581.233946337912</v>
      </c>
      <c r="I8" s="20" t="n">
        <f aca="false">F8+Assumptions!$B$105</f>
        <v>67</v>
      </c>
      <c r="J8" s="20" t="str">
        <f aca="false">IF(C8=0,"n/a",B8/C8)</f>
        <v>n/a</v>
      </c>
    </row>
    <row r="9" customFormat="false" ht="15" hidden="false" customHeight="false" outlineLevel="0" collapsed="false">
      <c r="A9" s="2" t="s">
        <v>331</v>
      </c>
      <c r="B9" s="26" t="n">
        <f aca="false">Assumptions!$B$100</f>
        <v>6000</v>
      </c>
      <c r="C9" s="26" t="n">
        <f aca="false">Assumptions!$B$101</f>
        <v>0</v>
      </c>
      <c r="D9" s="25" t="n">
        <f aca="false">Assumptions!$B$102</f>
        <v>0</v>
      </c>
      <c r="E9" s="16" t="n">
        <f aca="false">C9*D9</f>
        <v>0</v>
      </c>
      <c r="F9" s="20" t="n">
        <f aca="false">Assumptions!$B$12+D9</f>
        <v>7</v>
      </c>
      <c r="G9" s="16" t="n">
        <f aca="false">B9*(1-Assumptions!$B$103)</f>
        <v>1200</v>
      </c>
      <c r="H9" s="16" t="n">
        <f aca="false">-PMT(Assumptions!$B$104/12,Assumptions!$B$105,B9*Assumptions!$B$103)</f>
        <v>99.6401050864993</v>
      </c>
      <c r="I9" s="20" t="n">
        <f aca="false">F9+Assumptions!$B$105</f>
        <v>67</v>
      </c>
      <c r="J9" s="20" t="str">
        <f aca="false">IF(C9=0,"n/a",B9/C9)</f>
        <v>n/a</v>
      </c>
    </row>
    <row r="10" customFormat="false" ht="15" hidden="false" customHeight="false" outlineLevel="0" collapsed="false">
      <c r="A10" s="17" t="s">
        <v>332</v>
      </c>
      <c r="B10" s="23" t="n">
        <f aca="false">SUM(B5:B9)</f>
        <v>138500</v>
      </c>
      <c r="C10" s="2"/>
      <c r="D10" s="2"/>
      <c r="E10" s="23" t="n">
        <f aca="false">SUM(E5:E9)</f>
        <v>11100</v>
      </c>
      <c r="F10" s="2"/>
      <c r="G10" s="23" t="n">
        <f aca="false">SUM(G5:G9)</f>
        <v>27700</v>
      </c>
      <c r="H10" s="23" t="n">
        <f aca="false">SUM(H5:H9)</f>
        <v>2300.02575908002</v>
      </c>
      <c r="I10" s="2"/>
      <c r="J10" s="2"/>
    </row>
    <row r="11" customFormat="false" ht="15" hidden="false" customHeight="false" outlineLevel="0" collapsed="false">
      <c r="A11" s="2"/>
      <c r="B11" s="2"/>
      <c r="C11" s="2"/>
      <c r="D11" s="2"/>
      <c r="E11" s="2"/>
      <c r="F11" s="2"/>
      <c r="G11" s="2"/>
      <c r="H11" s="2"/>
      <c r="I11" s="2"/>
      <c r="J11" s="2"/>
    </row>
    <row r="12" customFormat="false" ht="15" hidden="false" customHeight="false" outlineLevel="0" collapsed="false">
      <c r="A12" s="30" t="s">
        <v>333</v>
      </c>
      <c r="B12" s="2"/>
      <c r="C12" s="2"/>
      <c r="D12" s="2"/>
      <c r="E12" s="2"/>
      <c r="F12" s="2"/>
      <c r="G12" s="2"/>
      <c r="H12" s="2"/>
      <c r="I12" s="2"/>
      <c r="J12" s="2"/>
    </row>
    <row r="13" customFormat="false" ht="30" hidden="false" customHeight="true" outlineLevel="0" collapsed="false">
      <c r="A13" s="32" t="s">
        <v>334</v>
      </c>
      <c r="B13" s="32"/>
      <c r="C13" s="32"/>
      <c r="D13" s="32"/>
      <c r="E13" s="32"/>
      <c r="F13" s="32"/>
      <c r="G13" s="32"/>
      <c r="H13" s="32"/>
      <c r="I13" s="32"/>
      <c r="J13" s="32"/>
    </row>
    <row r="14" customFormat="false" ht="30" hidden="false" customHeight="true" outlineLevel="0" collapsed="false">
      <c r="A14" s="32" t="s">
        <v>335</v>
      </c>
      <c r="B14" s="32"/>
      <c r="C14" s="32"/>
      <c r="D14" s="32"/>
      <c r="E14" s="32"/>
      <c r="F14" s="32"/>
      <c r="G14" s="32"/>
      <c r="H14" s="32"/>
      <c r="I14" s="32"/>
      <c r="J14" s="32"/>
    </row>
    <row r="15" customFormat="false" ht="30" hidden="false" customHeight="true" outlineLevel="0" collapsed="false">
      <c r="A15" s="32" t="s">
        <v>336</v>
      </c>
      <c r="B15" s="32"/>
      <c r="C15" s="32"/>
      <c r="D15" s="32"/>
      <c r="E15" s="32"/>
      <c r="F15" s="32"/>
      <c r="G15" s="32"/>
      <c r="H15" s="32"/>
      <c r="I15" s="32"/>
      <c r="J15" s="32"/>
    </row>
    <row r="16" customFormat="false" ht="30" hidden="false" customHeight="true" outlineLevel="0" collapsed="false">
      <c r="A16" s="32" t="s">
        <v>337</v>
      </c>
      <c r="B16" s="32"/>
      <c r="C16" s="32"/>
      <c r="D16" s="32"/>
      <c r="E16" s="32"/>
      <c r="F16" s="32"/>
      <c r="G16" s="32"/>
      <c r="H16" s="32"/>
      <c r="I16" s="32"/>
      <c r="J16" s="32"/>
    </row>
    <row r="17" customFormat="false" ht="30" hidden="false" customHeight="true" outlineLevel="0" collapsed="false">
      <c r="A17" s="32" t="s">
        <v>338</v>
      </c>
      <c r="B17" s="32"/>
      <c r="C17" s="32"/>
      <c r="D17" s="32"/>
      <c r="E17" s="32"/>
      <c r="F17" s="32"/>
      <c r="G17" s="32"/>
      <c r="H17" s="32"/>
      <c r="I17" s="32"/>
      <c r="J17" s="32"/>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7" min="2" style="0" width="15"/>
    <col collapsed="false" customWidth="true" hidden="false" outlineLevel="0" max="8" min="8" style="0" width="60"/>
  </cols>
  <sheetData>
    <row r="1" customFormat="false" ht="17.35" hidden="false" customHeight="false" outlineLevel="0" collapsed="false">
      <c r="A1" s="1" t="s">
        <v>339</v>
      </c>
      <c r="B1" s="2"/>
      <c r="C1" s="2"/>
      <c r="D1" s="2"/>
      <c r="E1" s="2"/>
      <c r="F1" s="2"/>
      <c r="G1" s="2"/>
      <c r="H1" s="2"/>
    </row>
    <row r="2" customFormat="false" ht="15" hidden="false" customHeight="false" outlineLevel="0" collapsed="false">
      <c r="A2" s="3" t="s">
        <v>340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9"/>
      <c r="B4" s="29" t="s">
        <v>341</v>
      </c>
      <c r="C4" s="29" t="s">
        <v>188</v>
      </c>
      <c r="D4" s="29" t="s">
        <v>189</v>
      </c>
      <c r="E4" s="29" t="s">
        <v>342</v>
      </c>
      <c r="F4" s="29" t="s">
        <v>343</v>
      </c>
      <c r="G4" s="29" t="s">
        <v>344</v>
      </c>
      <c r="H4" s="29" t="s">
        <v>345</v>
      </c>
    </row>
    <row r="5" customFormat="false" ht="15" hidden="false" customHeight="false" outlineLevel="0" collapsed="false">
      <c r="A5" s="4" t="s">
        <v>346</v>
      </c>
      <c r="B5" s="5"/>
      <c r="C5" s="5"/>
      <c r="D5" s="5"/>
      <c r="E5" s="5"/>
      <c r="F5" s="5"/>
      <c r="G5" s="5"/>
      <c r="H5" s="5"/>
    </row>
    <row r="6" customFormat="false" ht="15" hidden="false" customHeight="false" outlineLevel="0" collapsed="false">
      <c r="A6" s="19" t="s">
        <v>347</v>
      </c>
      <c r="B6" s="12" t="n">
        <v>1</v>
      </c>
      <c r="C6" s="12" t="n">
        <v>2</v>
      </c>
      <c r="D6" s="12" t="n">
        <v>2</v>
      </c>
      <c r="E6" s="12" t="n">
        <v>3</v>
      </c>
      <c r="F6" s="12" t="n">
        <v>4</v>
      </c>
      <c r="G6" s="12" t="n">
        <v>4</v>
      </c>
      <c r="H6" s="7" t="s">
        <v>348</v>
      </c>
    </row>
    <row r="7" customFormat="false" ht="15" hidden="false" customHeight="false" outlineLevel="0" collapsed="false">
      <c r="A7" s="19" t="s">
        <v>349</v>
      </c>
      <c r="B7" s="33" t="n">
        <v>1</v>
      </c>
      <c r="C7" s="15" t="n">
        <f aca="false">(6*1+6*2)/12</f>
        <v>1.5</v>
      </c>
      <c r="D7" s="33" t="n">
        <v>2</v>
      </c>
      <c r="E7" s="33" t="n">
        <v>2.5</v>
      </c>
      <c r="F7" s="33" t="n">
        <v>3.5</v>
      </c>
      <c r="G7" s="33" t="n">
        <v>4</v>
      </c>
      <c r="H7" s="7" t="s">
        <v>350</v>
      </c>
    </row>
    <row r="8" customFormat="false" ht="15" hidden="false" customHeight="false" outlineLevel="0" collapsed="false">
      <c r="A8" s="19" t="s">
        <v>351</v>
      </c>
      <c r="B8" s="12" t="n">
        <v>4800</v>
      </c>
      <c r="C8" s="25" t="n">
        <f aca="false">'Proforma 24 mo'!Z17/C7</f>
        <v>9266.66666666667</v>
      </c>
      <c r="D8" s="25" t="n">
        <f aca="false">'Proforma 24 mo'!AA17/D7</f>
        <v>10800</v>
      </c>
      <c r="E8" s="25" t="n">
        <f aca="false">Assumptions!$B$11*12*0.95</f>
        <v>10260</v>
      </c>
      <c r="F8" s="25" t="n">
        <f aca="false">Assumptions!$B$11*12*0.95</f>
        <v>10260</v>
      </c>
      <c r="G8" s="25" t="n">
        <f aca="false">Assumptions!$B$11*12*0.95</f>
        <v>10260</v>
      </c>
      <c r="H8" s="7" t="s">
        <v>352</v>
      </c>
    </row>
    <row r="9" customFormat="false" ht="15" hidden="false" customHeight="false" outlineLevel="0" collapsed="false">
      <c r="A9" s="17" t="s">
        <v>353</v>
      </c>
      <c r="B9" s="21" t="n">
        <f aca="false">B7*B8</f>
        <v>4800</v>
      </c>
      <c r="C9" s="25" t="n">
        <f aca="false">'Proforma 24 mo'!Z17</f>
        <v>13900</v>
      </c>
      <c r="D9" s="25" t="n">
        <f aca="false">'Proforma 24 mo'!AA17</f>
        <v>21600</v>
      </c>
      <c r="E9" s="21" t="n">
        <f aca="false">E7*E8</f>
        <v>25650</v>
      </c>
      <c r="F9" s="21" t="n">
        <f aca="false">F7*F8</f>
        <v>35910</v>
      </c>
      <c r="G9" s="21" t="n">
        <f aca="false">G7*G8</f>
        <v>41040</v>
      </c>
      <c r="H9" s="2"/>
    </row>
    <row r="10" customFormat="false" ht="15" hidden="false" customHeight="false" outlineLevel="0" collapsed="false">
      <c r="A10" s="4" t="s">
        <v>206</v>
      </c>
      <c r="B10" s="5"/>
      <c r="C10" s="5"/>
      <c r="D10" s="5"/>
      <c r="E10" s="5"/>
      <c r="F10" s="5"/>
      <c r="G10" s="5"/>
      <c r="H10" s="5"/>
    </row>
    <row r="11" customFormat="false" ht="15" hidden="false" customHeight="false" outlineLevel="0" collapsed="false">
      <c r="A11" s="19" t="s">
        <v>354</v>
      </c>
      <c r="B11" s="26" t="n">
        <f aca="false">Assumptions!$B$5</f>
        <v>50</v>
      </c>
      <c r="C11" s="26" t="n">
        <f aca="false">Assumptions!$B$5</f>
        <v>50</v>
      </c>
      <c r="D11" s="26" t="n">
        <f aca="false">Assumptions!$B$5</f>
        <v>50</v>
      </c>
      <c r="E11" s="16" t="n">
        <f aca="false">D11*1.03</f>
        <v>51.5</v>
      </c>
      <c r="F11" s="16" t="n">
        <f aca="false">E11*1.03</f>
        <v>53.045</v>
      </c>
      <c r="G11" s="16" t="n">
        <f aca="false">F11*1.03</f>
        <v>54.63635</v>
      </c>
      <c r="H11" s="2"/>
    </row>
    <row r="12" customFormat="false" ht="15" hidden="false" customHeight="false" outlineLevel="0" collapsed="false">
      <c r="A12" s="19" t="s">
        <v>355</v>
      </c>
      <c r="B12" s="26" t="n">
        <f aca="false">'Proforma 24 mo'!B25*12</f>
        <v>380372.093023256</v>
      </c>
      <c r="C12" s="26" t="n">
        <f aca="false">'Proforma 24 mo'!Z25</f>
        <v>749744.186046512</v>
      </c>
      <c r="D12" s="26" t="n">
        <f aca="false">'Proforma 24 mo'!AA25</f>
        <v>1081674.41860465</v>
      </c>
      <c r="E12" s="16" t="n">
        <f aca="false">E9*E11</f>
        <v>1320975</v>
      </c>
      <c r="F12" s="16" t="n">
        <f aca="false">F9*F11</f>
        <v>1904845.95</v>
      </c>
      <c r="G12" s="16" t="n">
        <f aca="false">G9*G11</f>
        <v>2242275.804</v>
      </c>
      <c r="H12" s="7" t="s">
        <v>356</v>
      </c>
    </row>
    <row r="13" customFormat="false" ht="15" hidden="false" customHeight="false" outlineLevel="0" collapsed="false">
      <c r="A13" s="19" t="s">
        <v>357</v>
      </c>
      <c r="B13" s="12" t="n">
        <v>0</v>
      </c>
      <c r="C13" s="25" t="n">
        <f aca="false">'Proforma 24 mo'!M27</f>
        <v>94.4028398314456</v>
      </c>
      <c r="D13" s="25" t="n">
        <f aca="false">'Proforma 24 mo'!Y27</f>
        <v>215.569175051014</v>
      </c>
      <c r="E13" s="12" t="n">
        <v>355</v>
      </c>
      <c r="F13" s="12" t="n">
        <v>540</v>
      </c>
      <c r="G13" s="12" t="n">
        <v>745</v>
      </c>
      <c r="H13" s="7" t="s">
        <v>358</v>
      </c>
    </row>
    <row r="14" customFormat="false" ht="15" hidden="false" customHeight="false" outlineLevel="0" collapsed="false">
      <c r="A14" s="19" t="s">
        <v>359</v>
      </c>
      <c r="B14" s="34" t="n">
        <v>0</v>
      </c>
      <c r="C14" s="26" t="n">
        <f aca="false">'Proforma 24 mo'!Z28</f>
        <v>6948.29621334609</v>
      </c>
      <c r="D14" s="26" t="n">
        <f aca="false">'Proforma 24 mo'!AA28</f>
        <v>30326.8935636745</v>
      </c>
      <c r="E14" s="26" t="n">
        <f aca="false">(D13+E13)/2*Assumptions!$B$28</f>
        <v>71035.8622938512</v>
      </c>
      <c r="F14" s="26" t="n">
        <f aca="false">(E13+F13)/2*Assumptions!$B$28*1.03</f>
        <v>114770.325</v>
      </c>
      <c r="G14" s="26" t="n">
        <f aca="false">(F13+G13)/2*Assumptions!$B$28*1.06</f>
        <v>169581.45</v>
      </c>
      <c r="H14" s="2"/>
    </row>
    <row r="15" customFormat="false" ht="15" hidden="false" customHeight="false" outlineLevel="0" collapsed="false">
      <c r="A15" s="17" t="s">
        <v>215</v>
      </c>
      <c r="B15" s="23" t="n">
        <f aca="false">B12+B14</f>
        <v>380372.093023256</v>
      </c>
      <c r="C15" s="23" t="n">
        <f aca="false">C12+C14</f>
        <v>756692.482259858</v>
      </c>
      <c r="D15" s="23" t="n">
        <f aca="false">D12+D14</f>
        <v>1112001.31216833</v>
      </c>
      <c r="E15" s="23" t="n">
        <f aca="false">E12+E14</f>
        <v>1392010.86229385</v>
      </c>
      <c r="F15" s="23" t="n">
        <f aca="false">F12+F14</f>
        <v>2019616.275</v>
      </c>
      <c r="G15" s="23" t="n">
        <f aca="false">G12+G14</f>
        <v>2411857.254</v>
      </c>
      <c r="H15" s="2"/>
    </row>
    <row r="16" customFormat="false" ht="15" hidden="false" customHeight="false" outlineLevel="0" collapsed="false">
      <c r="A16" s="4" t="s">
        <v>216</v>
      </c>
      <c r="B16" s="5"/>
      <c r="C16" s="5"/>
      <c r="D16" s="5"/>
      <c r="E16" s="5"/>
      <c r="F16" s="5"/>
      <c r="G16" s="5"/>
      <c r="H16" s="5"/>
    </row>
    <row r="17" customFormat="false" ht="15" hidden="false" customHeight="false" outlineLevel="0" collapsed="false">
      <c r="A17" s="19" t="s">
        <v>360</v>
      </c>
      <c r="B17" s="26" t="n">
        <f aca="false">B7*(Assumptions!$B$24*Assumptions!$B$25*Assumptions!$B$21+Assumptions!$B$25*Assumptions!$B$22)*(1+Assumptions!$B$23)*12</f>
        <v>166848.12</v>
      </c>
      <c r="C17" s="26" t="n">
        <f aca="false">'Proforma 24 mo'!Z32</f>
        <v>250272.18</v>
      </c>
      <c r="D17" s="26" t="n">
        <f aca="false">'Proforma 24 mo'!AA32</f>
        <v>333696.24</v>
      </c>
      <c r="E17" s="26" t="n">
        <f aca="false">E7*(Assumptions!$B$24*Assumptions!$B$25*Assumptions!$B$21+Assumptions!$B$25*Assumptions!$B$22)*(1+Assumptions!$B$23)*12*1.03</f>
        <v>429633.909</v>
      </c>
      <c r="F17" s="26" t="n">
        <f aca="false">F7*(Assumptions!$B$24*Assumptions!$B$25*Assumptions!$B$21+Assumptions!$B$25*Assumptions!$B$22)*(1+Assumptions!$B$23)*12*1.03^2</f>
        <v>619532.096778</v>
      </c>
      <c r="G17" s="26" t="n">
        <f aca="false">G7*(Assumptions!$B$24*Assumptions!$B$25*Assumptions!$B$21+Assumptions!$B$25*Assumptions!$B$22)*(1+Assumptions!$B$23)*12*1.03^3</f>
        <v>729277.78249296</v>
      </c>
      <c r="H17" s="7" t="s">
        <v>361</v>
      </c>
    </row>
    <row r="18" customFormat="false" ht="15" hidden="false" customHeight="false" outlineLevel="0" collapsed="false">
      <c r="A18" s="19" t="s">
        <v>219</v>
      </c>
      <c r="B18" s="26" t="n">
        <f aca="false">B12*Assumptions!$B$20</f>
        <v>76074.4186046512</v>
      </c>
      <c r="C18" s="26" t="n">
        <f aca="false">'Proforma 24 mo'!Z33</f>
        <v>149948.837209302</v>
      </c>
      <c r="D18" s="26" t="n">
        <f aca="false">'Proforma 24 mo'!AA33</f>
        <v>216334.88372093</v>
      </c>
      <c r="E18" s="26" t="n">
        <f aca="false">E12*Assumptions!$B$20</f>
        <v>264195</v>
      </c>
      <c r="F18" s="26" t="n">
        <f aca="false">F12*Assumptions!$B$20</f>
        <v>380969.19</v>
      </c>
      <c r="G18" s="26" t="n">
        <f aca="false">G12*Assumptions!$B$20</f>
        <v>448455.1608</v>
      </c>
      <c r="H18" s="2"/>
    </row>
    <row r="19" customFormat="false" ht="15" hidden="false" customHeight="false" outlineLevel="0" collapsed="false">
      <c r="A19" s="19" t="s">
        <v>362</v>
      </c>
      <c r="B19" s="34" t="n">
        <v>0</v>
      </c>
      <c r="C19" s="26" t="n">
        <f aca="false">'Proforma 24 mo'!Z34</f>
        <v>1953.33628487641</v>
      </c>
      <c r="D19" s="26" t="n">
        <f aca="false">'Proforma 24 mo'!AA34</f>
        <v>8525.63272874383</v>
      </c>
      <c r="E19" s="26" t="n">
        <f aca="false">E14/Assumptions!$B$28*Assumptions!$B$35</f>
        <v>19969.9211267855</v>
      </c>
      <c r="F19" s="26" t="n">
        <f aca="false">F14/Assumptions!$B$28/1.03*Assumptions!$B$35</f>
        <v>31325</v>
      </c>
      <c r="G19" s="26" t="n">
        <f aca="false">G14/Assumptions!$B$28/1.06*Assumptions!$B$35</f>
        <v>44975</v>
      </c>
      <c r="H19" s="2"/>
    </row>
    <row r="20" customFormat="false" ht="15" hidden="false" customHeight="false" outlineLevel="0" collapsed="false">
      <c r="A20" s="17" t="s">
        <v>222</v>
      </c>
      <c r="B20" s="23" t="n">
        <f aca="false">B15-B17-B18-B19</f>
        <v>137449.554418605</v>
      </c>
      <c r="C20" s="23" t="n">
        <f aca="false">C15-C17-C18-C19</f>
        <v>354518.128765679</v>
      </c>
      <c r="D20" s="23" t="n">
        <f aca="false">D15-D17-D18-D19</f>
        <v>553444.555718652</v>
      </c>
      <c r="E20" s="23" t="n">
        <f aca="false">E15-E17-E18-E19</f>
        <v>678212.032167066</v>
      </c>
      <c r="F20" s="23" t="n">
        <f aca="false">F15-F17-F18-F19</f>
        <v>987789.988222</v>
      </c>
      <c r="G20" s="23" t="n">
        <f aca="false">G15-G17-G18-G19</f>
        <v>1189149.31070704</v>
      </c>
      <c r="H20" s="2"/>
    </row>
    <row r="21" customFormat="false" ht="15" hidden="false" customHeight="false" outlineLevel="0" collapsed="false">
      <c r="A21" s="19" t="s">
        <v>263</v>
      </c>
      <c r="B21" s="22" t="n">
        <f aca="false">IF(B15=0,0,B20/B15)</f>
        <v>0.361355517241379</v>
      </c>
      <c r="C21" s="22" t="n">
        <f aca="false">IF(C15=0,0,C20/C15)</f>
        <v>0.468510176957108</v>
      </c>
      <c r="D21" s="22" t="n">
        <f aca="false">IF(D15=0,0,D20/D15)</f>
        <v>0.497701351304589</v>
      </c>
      <c r="E21" s="22" t="n">
        <f aca="false">IF(E15=0,0,E20/E15)</f>
        <v>0.487217485537046</v>
      </c>
      <c r="F21" s="22" t="n">
        <f aca="false">IF(F15=0,0,F20/F15)</f>
        <v>0.489097855097251</v>
      </c>
      <c r="G21" s="22" t="n">
        <f aca="false">IF(G15=0,0,G20/G15)</f>
        <v>0.493042989478282</v>
      </c>
      <c r="H21" s="2"/>
    </row>
    <row r="22" customFormat="false" ht="15" hidden="false" customHeight="false" outlineLevel="0" collapsed="false">
      <c r="A22" s="4" t="s">
        <v>363</v>
      </c>
      <c r="B22" s="5"/>
      <c r="C22" s="5"/>
      <c r="D22" s="5"/>
      <c r="E22" s="5"/>
      <c r="F22" s="5"/>
      <c r="G22" s="5"/>
      <c r="H22" s="5"/>
    </row>
    <row r="23" customFormat="false" ht="15" hidden="false" customHeight="false" outlineLevel="0" collapsed="false">
      <c r="A23" s="19" t="s">
        <v>225</v>
      </c>
      <c r="B23" s="26" t="n">
        <f aca="false">Assumptions!$B$76*12</f>
        <v>72000</v>
      </c>
      <c r="C23" s="26" t="n">
        <f aca="false">Assumptions!$B$76*12</f>
        <v>72000</v>
      </c>
      <c r="D23" s="26" t="n">
        <f aca="false">Assumptions!$B$76*12</f>
        <v>72000</v>
      </c>
      <c r="E23" s="9" t="n">
        <v>84000</v>
      </c>
      <c r="F23" s="9" t="n">
        <v>96000</v>
      </c>
      <c r="G23" s="9" t="n">
        <v>108000</v>
      </c>
      <c r="H23" s="7" t="s">
        <v>364</v>
      </c>
    </row>
    <row r="24" customFormat="false" ht="15" hidden="false" customHeight="false" outlineLevel="0" collapsed="false">
      <c r="A24" s="19" t="s">
        <v>365</v>
      </c>
      <c r="B24" s="9" t="n">
        <v>0</v>
      </c>
      <c r="C24" s="9" t="n">
        <v>0</v>
      </c>
      <c r="D24" s="9" t="n">
        <v>24000</v>
      </c>
      <c r="E24" s="9" t="n">
        <v>42000</v>
      </c>
      <c r="F24" s="9" t="n">
        <v>48000</v>
      </c>
      <c r="G24" s="9" t="n">
        <v>50000</v>
      </c>
      <c r="H24" s="7" t="s">
        <v>366</v>
      </c>
    </row>
    <row r="25" customFormat="false" ht="15" hidden="false" customHeight="false" outlineLevel="0" collapsed="false">
      <c r="A25" s="19" t="s">
        <v>367</v>
      </c>
      <c r="B25" s="9" t="n">
        <v>0</v>
      </c>
      <c r="C25" s="9" t="n">
        <v>0</v>
      </c>
      <c r="D25" s="9" t="n">
        <v>0</v>
      </c>
      <c r="E25" s="9" t="n">
        <v>48750</v>
      </c>
      <c r="F25" s="9" t="n">
        <v>70000</v>
      </c>
      <c r="G25" s="9" t="n">
        <v>72000</v>
      </c>
      <c r="H25" s="7" t="s">
        <v>368</v>
      </c>
    </row>
    <row r="26" customFormat="false" ht="15" hidden="false" customHeight="false" outlineLevel="0" collapsed="false">
      <c r="A26" s="19" t="s">
        <v>369</v>
      </c>
      <c r="B26" s="9" t="n">
        <v>0</v>
      </c>
      <c r="C26" s="9" t="n">
        <v>0</v>
      </c>
      <c r="D26" s="9" t="n">
        <v>0</v>
      </c>
      <c r="E26" s="9" t="n">
        <v>0</v>
      </c>
      <c r="F26" s="9" t="n">
        <v>55000</v>
      </c>
      <c r="G26" s="9" t="n">
        <v>58000</v>
      </c>
      <c r="H26" s="7" t="s">
        <v>370</v>
      </c>
    </row>
    <row r="27" customFormat="false" ht="15" hidden="false" customHeight="false" outlineLevel="0" collapsed="false">
      <c r="A27" s="19" t="s">
        <v>371</v>
      </c>
      <c r="B27" s="9" t="n">
        <v>0</v>
      </c>
      <c r="C27" s="9" t="n">
        <v>0</v>
      </c>
      <c r="D27" s="9" t="n">
        <v>6000</v>
      </c>
      <c r="E27" s="9" t="n">
        <v>12000</v>
      </c>
      <c r="F27" s="9" t="n">
        <v>18000</v>
      </c>
      <c r="G27" s="9" t="n">
        <v>20000</v>
      </c>
      <c r="H27" s="7" t="s">
        <v>372</v>
      </c>
    </row>
    <row r="28" customFormat="false" ht="15" hidden="false" customHeight="false" outlineLevel="0" collapsed="false">
      <c r="A28" s="19" t="s">
        <v>373</v>
      </c>
      <c r="B28" s="26" t="n">
        <f aca="false">Assumptions!$B$77*12</f>
        <v>10800</v>
      </c>
      <c r="C28" s="26" t="n">
        <f aca="false">'Proforma 24 mo'!Z40</f>
        <v>10800</v>
      </c>
      <c r="D28" s="26" t="n">
        <f aca="false">'Proforma 24 mo'!AA40</f>
        <v>10800</v>
      </c>
      <c r="E28" s="26" t="n">
        <f aca="false">Assumptions!$B$77*12+9000*(E6-1)</f>
        <v>28800</v>
      </c>
      <c r="F28" s="26" t="n">
        <f aca="false">Assumptions!$B$77*12+9000*(F6-1)</f>
        <v>37800</v>
      </c>
      <c r="G28" s="26" t="n">
        <f aca="false">Assumptions!$B$77*12+9000*(G6-1)</f>
        <v>37800</v>
      </c>
      <c r="H28" s="7" t="s">
        <v>374</v>
      </c>
    </row>
    <row r="29" customFormat="false" ht="15" hidden="false" customHeight="false" outlineLevel="0" collapsed="false">
      <c r="A29" s="19" t="s">
        <v>375</v>
      </c>
      <c r="B29" s="26" t="n">
        <f aca="false">Assumptions!$B$78*12</f>
        <v>21600</v>
      </c>
      <c r="C29" s="26" t="n">
        <f aca="false">'Proforma 24 mo'!Z41+'Proforma 24 mo'!Z51</f>
        <v>31015.9899306742</v>
      </c>
      <c r="D29" s="26" t="n">
        <f aca="false">'Proforma 24 mo'!AA41+'Proforma 24 mo'!AA51</f>
        <v>49200.3091089603</v>
      </c>
      <c r="E29" s="26" t="n">
        <f aca="false">Assumptions!$B$78*12+'Equipment plan'!H10*12*(E6-1)</f>
        <v>76800.6182179206</v>
      </c>
      <c r="F29" s="26" t="n">
        <f aca="false">Assumptions!$B$78*12+'Equipment plan'!H10*12*(F6-1)</f>
        <v>104400.927326881</v>
      </c>
      <c r="G29" s="26" t="n">
        <f aca="false">Assumptions!$B$78*12+'Equipment plan'!H10*12*(G6-1)</f>
        <v>104400.927326881</v>
      </c>
      <c r="H29" s="7" t="s">
        <v>376</v>
      </c>
    </row>
    <row r="30" customFormat="false" ht="15" hidden="false" customHeight="false" outlineLevel="0" collapsed="false">
      <c r="A30" s="19" t="s">
        <v>377</v>
      </c>
      <c r="B30" s="12" t="n">
        <v>0</v>
      </c>
      <c r="C30" s="25" t="n">
        <f aca="false">Assumptions!$B$82</f>
        <v>2500</v>
      </c>
      <c r="D30" s="25" t="n">
        <f aca="false">Assumptions!$B$82</f>
        <v>2500</v>
      </c>
      <c r="E30" s="12" t="n">
        <v>3000</v>
      </c>
      <c r="F30" s="12" t="n">
        <v>4000</v>
      </c>
      <c r="G30" s="12" t="n">
        <v>4000</v>
      </c>
      <c r="H30" s="7" t="s">
        <v>378</v>
      </c>
    </row>
    <row r="31" customFormat="false" ht="15" hidden="false" customHeight="false" outlineLevel="0" collapsed="false">
      <c r="A31" s="19" t="s">
        <v>145</v>
      </c>
      <c r="B31" s="35" t="n">
        <v>0</v>
      </c>
      <c r="C31" s="36" t="n">
        <f aca="false">Assumptions!$B$83</f>
        <v>0.85</v>
      </c>
      <c r="D31" s="36" t="n">
        <f aca="false">Assumptions!$B$83</f>
        <v>0.85</v>
      </c>
      <c r="E31" s="37" t="n">
        <f aca="false">D31*1.05</f>
        <v>0.8925</v>
      </c>
      <c r="F31" s="37" t="n">
        <f aca="false">E31*1.05</f>
        <v>0.937125</v>
      </c>
      <c r="G31" s="37" t="n">
        <f aca="false">F31*1.05</f>
        <v>0.98398125</v>
      </c>
      <c r="H31" s="7" t="s">
        <v>379</v>
      </c>
    </row>
    <row r="32" customFormat="false" ht="15" hidden="false" customHeight="false" outlineLevel="0" collapsed="false">
      <c r="A32" s="19" t="s">
        <v>380</v>
      </c>
      <c r="B32" s="16" t="n">
        <f aca="false">B30*B31*12</f>
        <v>0</v>
      </c>
      <c r="C32" s="26" t="n">
        <f aca="false">'Proforma 24 mo'!Z45</f>
        <v>25500</v>
      </c>
      <c r="D32" s="26" t="n">
        <f aca="false">'Proforma 24 mo'!AA45</f>
        <v>25500</v>
      </c>
      <c r="E32" s="16" t="n">
        <f aca="false">E30*E31*12</f>
        <v>32130</v>
      </c>
      <c r="F32" s="16" t="n">
        <f aca="false">F30*F31*12</f>
        <v>44982</v>
      </c>
      <c r="G32" s="16" t="n">
        <f aca="false">G30*G31*12</f>
        <v>47231.1</v>
      </c>
      <c r="H32" s="7" t="s">
        <v>381</v>
      </c>
    </row>
    <row r="33" customFormat="false" ht="15" hidden="false" customHeight="false" outlineLevel="0" collapsed="false">
      <c r="A33" s="19" t="s">
        <v>382</v>
      </c>
      <c r="B33" s="26" t="n">
        <f aca="false">Assumptions!$B$79*12</f>
        <v>4200</v>
      </c>
      <c r="C33" s="26" t="n">
        <f aca="false">'Proforma 24 mo'!Z42</f>
        <v>4200</v>
      </c>
      <c r="D33" s="26" t="n">
        <f aca="false">'Proforma 24 mo'!AA42</f>
        <v>4200</v>
      </c>
      <c r="E33" s="16" t="n">
        <f aca="false">4200+1200*E6</f>
        <v>7800</v>
      </c>
      <c r="F33" s="16" t="n">
        <f aca="false">4200+1200*F6</f>
        <v>9000</v>
      </c>
      <c r="G33" s="16" t="n">
        <f aca="false">4200+1200*G6</f>
        <v>9000</v>
      </c>
      <c r="H33" s="2"/>
    </row>
    <row r="34" customFormat="false" ht="15" hidden="false" customHeight="false" outlineLevel="0" collapsed="false">
      <c r="A34" s="19" t="s">
        <v>383</v>
      </c>
      <c r="B34" s="26" t="n">
        <f aca="false">Assumptions!$B$80*12</f>
        <v>3000</v>
      </c>
      <c r="C34" s="26" t="n">
        <f aca="false">'Proforma 24 mo'!Z43</f>
        <v>3000</v>
      </c>
      <c r="D34" s="26" t="n">
        <f aca="false">'Proforma 24 mo'!AA43</f>
        <v>3000</v>
      </c>
      <c r="E34" s="9" t="n">
        <v>7200</v>
      </c>
      <c r="F34" s="9" t="n">
        <v>9000</v>
      </c>
      <c r="G34" s="9" t="n">
        <v>9600</v>
      </c>
      <c r="H34" s="7" t="s">
        <v>384</v>
      </c>
    </row>
    <row r="35" customFormat="false" ht="15" hidden="false" customHeight="false" outlineLevel="0" collapsed="false">
      <c r="A35" s="19" t="s">
        <v>385</v>
      </c>
      <c r="B35" s="26" t="n">
        <f aca="false">(Assumptions!$B$62+Assumptions!$B$65+Assumptions!$B$74)*12</f>
        <v>21600</v>
      </c>
      <c r="C35" s="26" t="n">
        <f aca="false">'Proforma 24 mo'!Z47+'Proforma 24 mo'!Z48+'Proforma 24 mo'!Z49</f>
        <v>26400</v>
      </c>
      <c r="D35" s="26" t="n">
        <f aca="false">'Proforma 24 mo'!AA47+'Proforma 24 mo'!AA48+'Proforma 24 mo'!AA49</f>
        <v>32400</v>
      </c>
      <c r="E35" s="16" t="n">
        <f aca="false">E15*0.05</f>
        <v>69600.5431146926</v>
      </c>
      <c r="F35" s="16" t="n">
        <f aca="false">F15*0.05</f>
        <v>100980.81375</v>
      </c>
      <c r="G35" s="16" t="n">
        <f aca="false">G15*0.045</f>
        <v>108533.57643</v>
      </c>
      <c r="H35" s="7" t="s">
        <v>386</v>
      </c>
    </row>
    <row r="36" customFormat="false" ht="15" hidden="false" customHeight="false" outlineLevel="0" collapsed="false">
      <c r="A36" s="19" t="s">
        <v>387</v>
      </c>
      <c r="B36" s="26" t="n">
        <f aca="false">Assumptions!$B$81*12</f>
        <v>7200</v>
      </c>
      <c r="C36" s="26" t="n">
        <f aca="false">'Proforma 24 mo'!Z44</f>
        <v>7200</v>
      </c>
      <c r="D36" s="26" t="n">
        <f aca="false">'Proforma 24 mo'!AA44</f>
        <v>7200</v>
      </c>
      <c r="E36" s="16" t="n">
        <f aca="false">7200+3000*E6</f>
        <v>16200</v>
      </c>
      <c r="F36" s="16" t="n">
        <f aca="false">7200+3000*F6</f>
        <v>19200</v>
      </c>
      <c r="G36" s="16" t="n">
        <f aca="false">7200+3000*G6</f>
        <v>19200</v>
      </c>
      <c r="H36" s="2"/>
    </row>
    <row r="37" customFormat="false" ht="15" hidden="false" customHeight="false" outlineLevel="0" collapsed="false">
      <c r="A37" s="19" t="s">
        <v>388</v>
      </c>
      <c r="B37" s="34" t="n">
        <v>0</v>
      </c>
      <c r="C37" s="26" t="n">
        <f aca="false">'Proforma 24 mo'!Z50</f>
        <v>15600</v>
      </c>
      <c r="D37" s="26" t="n">
        <f aca="false">'Proforma 24 mo'!AA50</f>
        <v>0</v>
      </c>
      <c r="E37" s="26" t="n">
        <f aca="false">(E6-D6)*('Equipment plan'!E10+Assumptions!$B$106)</f>
        <v>15600</v>
      </c>
      <c r="F37" s="26" t="n">
        <f aca="false">(F6-E6)*('Equipment plan'!E10+Assumptions!$B$106)</f>
        <v>15600</v>
      </c>
      <c r="G37" s="26" t="n">
        <f aca="false">(G6-F6)*('Equipment plan'!E10+Assumptions!$B$106)</f>
        <v>0</v>
      </c>
      <c r="H37" s="2"/>
    </row>
    <row r="38" customFormat="false" ht="15" hidden="false" customHeight="false" outlineLevel="0" collapsed="false">
      <c r="A38" s="4" t="s">
        <v>389</v>
      </c>
      <c r="B38" s="5"/>
      <c r="C38" s="5"/>
      <c r="D38" s="5"/>
      <c r="E38" s="5"/>
      <c r="F38" s="5"/>
      <c r="G38" s="5"/>
      <c r="H38" s="5"/>
    </row>
    <row r="39" customFormat="false" ht="15" hidden="false" customHeight="false" outlineLevel="0" collapsed="false">
      <c r="A39" s="19" t="s">
        <v>390</v>
      </c>
      <c r="B39" s="9" t="n">
        <v>0</v>
      </c>
      <c r="C39" s="9" t="n">
        <v>60000</v>
      </c>
      <c r="D39" s="9" t="n">
        <v>60000</v>
      </c>
      <c r="E39" s="9" t="n">
        <v>66000</v>
      </c>
      <c r="F39" s="9" t="n">
        <v>72000</v>
      </c>
      <c r="G39" s="9" t="n">
        <v>72000</v>
      </c>
      <c r="H39" s="7" t="s">
        <v>391</v>
      </c>
    </row>
    <row r="40" customFormat="false" ht="15" hidden="false" customHeight="false" outlineLevel="0" collapsed="false">
      <c r="A40" s="19" t="s">
        <v>392</v>
      </c>
      <c r="B40" s="13" t="n">
        <v>0</v>
      </c>
      <c r="C40" s="13" t="n">
        <v>0.1</v>
      </c>
      <c r="D40" s="13" t="n">
        <v>0.1</v>
      </c>
      <c r="E40" s="13" t="n">
        <v>0.1</v>
      </c>
      <c r="F40" s="13" t="n">
        <v>0.1</v>
      </c>
      <c r="G40" s="13" t="n">
        <v>0.1</v>
      </c>
      <c r="H40" s="7" t="s">
        <v>393</v>
      </c>
    </row>
    <row r="41" customFormat="false" ht="15" hidden="false" customHeight="false" outlineLevel="0" collapsed="false">
      <c r="A41" s="19" t="s">
        <v>394</v>
      </c>
      <c r="B41" s="16" t="n">
        <f aca="false">MAX(0,B45)</f>
        <v>0</v>
      </c>
      <c r="C41" s="16" t="n">
        <f aca="false">MAX(0,B45)</f>
        <v>0</v>
      </c>
      <c r="D41" s="16" t="n">
        <f aca="false">MAX(0,B45)</f>
        <v>0</v>
      </c>
      <c r="E41" s="16" t="n">
        <f aca="false">MAX(0,B45)</f>
        <v>0</v>
      </c>
      <c r="F41" s="16" t="n">
        <f aca="false">MAX(0,B45)</f>
        <v>0</v>
      </c>
      <c r="G41" s="16" t="n">
        <f aca="false">MAX(0,B45)</f>
        <v>0</v>
      </c>
      <c r="H41" s="7" t="s">
        <v>395</v>
      </c>
    </row>
    <row r="42" customFormat="false" ht="15" hidden="false" customHeight="false" outlineLevel="0" collapsed="false">
      <c r="A42" s="19" t="s">
        <v>396</v>
      </c>
      <c r="B42" s="34" t="n">
        <v>0</v>
      </c>
      <c r="C42" s="16" t="n">
        <f aca="false">C39+C40*MAX(0,C44-C41)</f>
        <v>75880.2138835005</v>
      </c>
      <c r="D42" s="16" t="n">
        <f aca="false">D39+D40*MAX(0,D44-D41)</f>
        <v>91914.4246609692</v>
      </c>
      <c r="E42" s="16" t="n">
        <f aca="false">E39+E40*MAX(0,E44-E41)</f>
        <v>89733.0870834453</v>
      </c>
      <c r="F42" s="16" t="n">
        <f aca="false">F39+F40*MAX(0,F44-F41)</f>
        <v>107982.624714512</v>
      </c>
      <c r="G42" s="16" t="n">
        <f aca="false">G39+G40*MAX(0,G44-G41)</f>
        <v>126538.370695016</v>
      </c>
      <c r="H42" s="7" t="s">
        <v>397</v>
      </c>
    </row>
    <row r="43" customFormat="false" ht="15" hidden="false" customHeight="false" outlineLevel="0" collapsed="false">
      <c r="A43" s="17" t="s">
        <v>398</v>
      </c>
      <c r="B43" s="23" t="n">
        <f aca="false">SUM(B23:B37)-B30-B31</f>
        <v>140400</v>
      </c>
      <c r="C43" s="23" t="n">
        <f aca="false">SUM(C23:C37)-C30-C31</f>
        <v>195715.989930674</v>
      </c>
      <c r="D43" s="23" t="n">
        <f aca="false">SUM(D23:D37)-D30-D31</f>
        <v>234300.30910896</v>
      </c>
      <c r="E43" s="23" t="n">
        <f aca="false">SUM(E23:E37)-E30-E31</f>
        <v>440881.161332613</v>
      </c>
      <c r="F43" s="23" t="n">
        <f aca="false">SUM(F23:F37)-F30-F31</f>
        <v>627963.741076881</v>
      </c>
      <c r="G43" s="23" t="n">
        <f aca="false">SUM(G23:G37)-G30-G31</f>
        <v>643765.603756881</v>
      </c>
      <c r="H43" s="2"/>
    </row>
    <row r="44" customFormat="false" ht="15" hidden="false" customHeight="false" outlineLevel="0" collapsed="false">
      <c r="A44" s="17" t="s">
        <v>399</v>
      </c>
      <c r="B44" s="23" t="n">
        <f aca="false">B20-B43</f>
        <v>-2950.44558139535</v>
      </c>
      <c r="C44" s="23" t="n">
        <f aca="false">C20-C43</f>
        <v>158802.138835005</v>
      </c>
      <c r="D44" s="23" t="n">
        <f aca="false">D20-D43</f>
        <v>319144.246609691</v>
      </c>
      <c r="E44" s="23" t="n">
        <f aca="false">E20-E43</f>
        <v>237330.870834453</v>
      </c>
      <c r="F44" s="23" t="n">
        <f aca="false">F20-F43</f>
        <v>359826.247145119</v>
      </c>
      <c r="G44" s="23" t="n">
        <f aca="false">G20-G43</f>
        <v>545383.706950159</v>
      </c>
      <c r="H44" s="2"/>
    </row>
    <row r="45" customFormat="false" ht="15" hidden="false" customHeight="false" outlineLevel="0" collapsed="false">
      <c r="A45" s="17" t="s">
        <v>400</v>
      </c>
      <c r="B45" s="23" t="n">
        <f aca="false">B44-B42</f>
        <v>-2950.44558139535</v>
      </c>
      <c r="C45" s="23" t="n">
        <f aca="false">C44-C42</f>
        <v>82921.9249515043</v>
      </c>
      <c r="D45" s="23" t="n">
        <f aca="false">D44-D42</f>
        <v>227229.821948722</v>
      </c>
      <c r="E45" s="23" t="n">
        <f aca="false">E44-E42</f>
        <v>147597.783751007</v>
      </c>
      <c r="F45" s="23" t="n">
        <f aca="false">F44-F42</f>
        <v>251843.622430607</v>
      </c>
      <c r="G45" s="23" t="n">
        <f aca="false">G44-G42</f>
        <v>418845.336255143</v>
      </c>
      <c r="H45" s="2"/>
    </row>
    <row r="46" customFormat="false" ht="15" hidden="false" customHeight="false" outlineLevel="0" collapsed="false">
      <c r="A46" s="19" t="s">
        <v>308</v>
      </c>
      <c r="B46" s="22" t="n">
        <f aca="false">IF(B15=0,0,B45/B15)</f>
        <v>-0.00775673514306678</v>
      </c>
      <c r="C46" s="22" t="n">
        <f aca="false">IF(C15=0,0,C45/C15)</f>
        <v>0.109584708313552</v>
      </c>
      <c r="D46" s="22" t="n">
        <f aca="false">IF(D15=0,0,D45/D15)</f>
        <v>0.204343123935384</v>
      </c>
      <c r="E46" s="22" t="n">
        <f aca="false">IF(E15=0,0,E45/E15)</f>
        <v>0.106032063218088</v>
      </c>
      <c r="F46" s="22" t="n">
        <f aca="false">IF(F15=0,0,F45/F15)</f>
        <v>0.124698748741568</v>
      </c>
      <c r="G46" s="22" t="n">
        <f aca="false">IF(G15=0,0,G45/G15)</f>
        <v>0.173660914451094</v>
      </c>
      <c r="H46" s="2"/>
    </row>
    <row r="47" customFormat="false" ht="15" hidden="false" customHeight="false" outlineLevel="0" collapsed="false">
      <c r="A47" s="4" t="s">
        <v>401</v>
      </c>
      <c r="B47" s="5"/>
      <c r="C47" s="5"/>
      <c r="D47" s="5"/>
      <c r="E47" s="5"/>
      <c r="F47" s="5"/>
      <c r="G47" s="5"/>
      <c r="H47" s="5"/>
    </row>
    <row r="48" customFormat="false" ht="15" hidden="false" customHeight="false" outlineLevel="0" collapsed="false">
      <c r="A48" s="19" t="s">
        <v>402</v>
      </c>
      <c r="B48" s="34" t="n">
        <v>0</v>
      </c>
      <c r="C48" s="26" t="n">
        <f aca="false">'Proforma 24 mo'!Z58</f>
        <v>27700</v>
      </c>
      <c r="D48" s="26" t="n">
        <f aca="false">'Proforma 24 mo'!AA58</f>
        <v>0</v>
      </c>
      <c r="E48" s="16" t="n">
        <f aca="false">(E6-D6)*'Equipment plan'!G10</f>
        <v>27700</v>
      </c>
      <c r="F48" s="16" t="n">
        <f aca="false">(F6-E6)*'Equipment plan'!G10</f>
        <v>27700</v>
      </c>
      <c r="G48" s="16" t="n">
        <f aca="false">(G6-F6)*'Equipment plan'!G10</f>
        <v>0</v>
      </c>
      <c r="H48" s="2"/>
    </row>
    <row r="49" customFormat="false" ht="15" hidden="false" customHeight="false" outlineLevel="0" collapsed="false">
      <c r="A49" s="17" t="s">
        <v>403</v>
      </c>
      <c r="B49" s="26" t="n">
        <f aca="false">Assumptions!$B$60</f>
        <v>25000</v>
      </c>
      <c r="C49" s="23" t="n">
        <f aca="false">B49+C45-C48</f>
        <v>80221.9249515043</v>
      </c>
      <c r="D49" s="23" t="n">
        <f aca="false">C49+D45-D48</f>
        <v>307451.746900227</v>
      </c>
      <c r="E49" s="23" t="n">
        <f aca="false">D49+E45-E48</f>
        <v>427349.530651234</v>
      </c>
      <c r="F49" s="23" t="n">
        <f aca="false">E49+F45-F48</f>
        <v>651493.153081841</v>
      </c>
      <c r="G49" s="23" t="n">
        <f aca="false">F49+G45-G48</f>
        <v>1070338.48933698</v>
      </c>
      <c r="H49" s="7" t="s">
        <v>404</v>
      </c>
    </row>
    <row r="50" customFormat="false" ht="15" hidden="false" customHeight="false" outlineLevel="0" collapsed="false">
      <c r="A50" s="19" t="s">
        <v>405</v>
      </c>
      <c r="B50" s="16" t="n">
        <f aca="false">B43/6</f>
        <v>23400</v>
      </c>
      <c r="C50" s="16" t="n">
        <f aca="false">C43/6</f>
        <v>32619.3316551124</v>
      </c>
      <c r="D50" s="16" t="n">
        <f aca="false">D43/6</f>
        <v>39050.0515181601</v>
      </c>
      <c r="E50" s="16" t="n">
        <f aca="false">E43/6</f>
        <v>73480.1935554355</v>
      </c>
      <c r="F50" s="16" t="n">
        <f aca="false">F43/6</f>
        <v>104660.623512813</v>
      </c>
      <c r="G50" s="16" t="n">
        <f aca="false">G43/6</f>
        <v>107294.267292813</v>
      </c>
      <c r="H50" s="7" t="s">
        <v>406</v>
      </c>
    </row>
    <row r="51" customFormat="false" ht="15" hidden="false" customHeight="false" outlineLevel="0" collapsed="false">
      <c r="A51" s="19" t="s">
        <v>407</v>
      </c>
      <c r="B51" s="38" t="str">
        <f aca="false">IF(B49&gt;=B50,"yes","NO")</f>
        <v>yes</v>
      </c>
      <c r="C51" s="38" t="str">
        <f aca="false">IF(C49&gt;=C50,"yes","NO")</f>
        <v>yes</v>
      </c>
      <c r="D51" s="38" t="str">
        <f aca="false">IF(D49&gt;=D50,"yes","NO")</f>
        <v>yes</v>
      </c>
      <c r="E51" s="38" t="str">
        <f aca="false">IF(E49&gt;=E50,"yes","NO")</f>
        <v>yes</v>
      </c>
      <c r="F51" s="38" t="str">
        <f aca="false">IF(F49&gt;=F50,"yes","NO")</f>
        <v>yes</v>
      </c>
      <c r="G51" s="38" t="str">
        <f aca="false">IF(G49&gt;=G50,"yes","NO")</f>
        <v>yes</v>
      </c>
      <c r="H51" s="2"/>
    </row>
    <row r="52" customFormat="false" ht="15" hidden="false" customHeight="false" outlineLevel="0" collapsed="false">
      <c r="A52" s="4" t="s">
        <v>408</v>
      </c>
      <c r="B52" s="5"/>
      <c r="C52" s="5"/>
      <c r="D52" s="5"/>
      <c r="E52" s="5"/>
      <c r="F52" s="5"/>
      <c r="G52" s="5"/>
      <c r="H52" s="5"/>
    </row>
    <row r="53" customFormat="false" ht="15" hidden="false" customHeight="false" outlineLevel="0" collapsed="false">
      <c r="A53" s="19" t="s">
        <v>409</v>
      </c>
      <c r="B53" s="16" t="n">
        <f aca="false">B45+B23</f>
        <v>69049.5544186047</v>
      </c>
      <c r="C53" s="16" t="n">
        <f aca="false">C45+C23</f>
        <v>154921.924951504</v>
      </c>
      <c r="D53" s="16" t="n">
        <f aca="false">D45+D23</f>
        <v>299229.821948722</v>
      </c>
      <c r="E53" s="16" t="n">
        <f aca="false">E45+E23</f>
        <v>231597.783751007</v>
      </c>
      <c r="F53" s="16" t="n">
        <f aca="false">F45+F23</f>
        <v>347843.622430607</v>
      </c>
      <c r="G53" s="16" t="n">
        <f aca="false">G45+G23</f>
        <v>526845.336255143</v>
      </c>
      <c r="H53" s="2"/>
    </row>
    <row r="54" customFormat="false" ht="15" hidden="false" customHeight="false" outlineLevel="0" collapsed="false">
      <c r="A54" s="19" t="s">
        <v>410</v>
      </c>
      <c r="B54" s="33" t="n">
        <v>2.46</v>
      </c>
      <c r="C54" s="33" t="n">
        <v>2.46</v>
      </c>
      <c r="D54" s="33" t="n">
        <v>2.46</v>
      </c>
      <c r="E54" s="33" t="n">
        <v>2.46</v>
      </c>
      <c r="F54" s="33" t="n">
        <v>2.46</v>
      </c>
      <c r="G54" s="33" t="n">
        <v>2.46</v>
      </c>
      <c r="H54" s="7" t="s">
        <v>411</v>
      </c>
    </row>
    <row r="55" customFormat="false" ht="15" hidden="false" customHeight="false" outlineLevel="0" collapsed="false">
      <c r="A55" s="17" t="s">
        <v>412</v>
      </c>
      <c r="B55" s="23" t="n">
        <f aca="false">B53*B54</f>
        <v>169861.903869767</v>
      </c>
      <c r="C55" s="23" t="n">
        <f aca="false">C53*C54</f>
        <v>381107.935380701</v>
      </c>
      <c r="D55" s="23" t="n">
        <f aca="false">D53*D54</f>
        <v>736105.361993857</v>
      </c>
      <c r="E55" s="23" t="n">
        <f aca="false">E53*E54</f>
        <v>569730.548027478</v>
      </c>
      <c r="F55" s="23" t="n">
        <f aca="false">F53*F54</f>
        <v>855695.311179294</v>
      </c>
      <c r="G55" s="23" t="n">
        <f aca="false">G53*G54</f>
        <v>1296039.52718765</v>
      </c>
      <c r="H55" s="7" t="s">
        <v>413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3"/>
    <col collapsed="false" customWidth="true" hidden="false" outlineLevel="0" max="8" min="8" style="0" width="56"/>
  </cols>
  <sheetData>
    <row r="1" customFormat="false" ht="17.35" hidden="false" customHeight="false" outlineLevel="0" collapsed="false">
      <c r="A1" s="1" t="s">
        <v>414</v>
      </c>
      <c r="B1" s="2"/>
      <c r="C1" s="2"/>
      <c r="D1" s="2"/>
      <c r="E1" s="2"/>
      <c r="F1" s="2"/>
      <c r="G1" s="2"/>
      <c r="H1" s="2"/>
    </row>
    <row r="2" customFormat="false" ht="15" hidden="false" customHeight="false" outlineLevel="0" collapsed="false">
      <c r="A2" s="3" t="s">
        <v>415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416</v>
      </c>
      <c r="B4" s="5"/>
      <c r="C4" s="5"/>
      <c r="D4" s="5"/>
      <c r="E4" s="5"/>
      <c r="F4" s="5"/>
      <c r="G4" s="2"/>
      <c r="H4" s="5"/>
    </row>
    <row r="5" customFormat="false" ht="15" hidden="false" customHeight="false" outlineLevel="0" collapsed="false">
      <c r="A5" s="17"/>
      <c r="B5" s="29" t="s">
        <v>417</v>
      </c>
      <c r="C5" s="29" t="s">
        <v>294</v>
      </c>
      <c r="D5" s="29" t="s">
        <v>418</v>
      </c>
      <c r="E5" s="2"/>
      <c r="F5" s="2"/>
      <c r="G5" s="2"/>
      <c r="H5" s="2"/>
    </row>
    <row r="6" customFormat="false" ht="15" hidden="false" customHeight="false" outlineLevel="0" collapsed="false">
      <c r="A6" s="19" t="s">
        <v>419</v>
      </c>
      <c r="B6" s="16" t="n">
        <f aca="false">B39</f>
        <v>361304.55</v>
      </c>
      <c r="C6" s="16" t="n">
        <f aca="false">B73</f>
        <v>721579.5</v>
      </c>
      <c r="D6" s="16" t="n">
        <f aca="false">B107</f>
        <v>882942.3</v>
      </c>
      <c r="E6" s="2"/>
      <c r="F6" s="2"/>
      <c r="G6" s="2"/>
      <c r="H6" s="2"/>
    </row>
    <row r="7" customFormat="false" ht="15" hidden="false" customHeight="false" outlineLevel="0" collapsed="false">
      <c r="A7" s="19" t="s">
        <v>420</v>
      </c>
      <c r="B7" s="16" t="n">
        <f aca="false">F39</f>
        <v>658593.9</v>
      </c>
      <c r="C7" s="16" t="n">
        <f aca="false">F73</f>
        <v>2506771.3083804</v>
      </c>
      <c r="D7" s="16" t="n">
        <f aca="false">F107</f>
        <v>3260539.05996845</v>
      </c>
      <c r="E7" s="2"/>
      <c r="F7" s="2"/>
      <c r="G7" s="2"/>
      <c r="H7" s="2"/>
    </row>
    <row r="8" customFormat="false" ht="15" hidden="false" customHeight="false" outlineLevel="0" collapsed="false">
      <c r="A8" s="19" t="s">
        <v>421</v>
      </c>
      <c r="B8" s="20" t="n">
        <f aca="false">F35</f>
        <v>11566.8</v>
      </c>
      <c r="C8" s="20" t="n">
        <f aca="false">F69</f>
        <v>41176.8</v>
      </c>
      <c r="D8" s="20" t="n">
        <f aca="false">F103</f>
        <v>51710.4</v>
      </c>
      <c r="E8" s="2"/>
      <c r="F8" s="2"/>
      <c r="G8" s="2"/>
      <c r="H8" s="2"/>
    </row>
    <row r="9" customFormat="false" ht="15" hidden="false" customHeight="false" outlineLevel="0" collapsed="false">
      <c r="A9" s="19" t="s">
        <v>422</v>
      </c>
      <c r="B9" s="22" t="n">
        <f aca="false">F43</f>
        <v>0.366544659025986</v>
      </c>
      <c r="C9" s="22" t="n">
        <f aca="false">F77</f>
        <v>0.495846660036828</v>
      </c>
      <c r="D9" s="22" t="n">
        <f aca="false">F111</f>
        <v>0.536410723915071</v>
      </c>
      <c r="E9" s="2"/>
      <c r="F9" s="2"/>
      <c r="G9" s="2"/>
      <c r="H9" s="2"/>
    </row>
    <row r="10" customFormat="false" ht="15" hidden="false" customHeight="false" outlineLevel="0" collapsed="false">
      <c r="A10" s="19" t="s">
        <v>423</v>
      </c>
      <c r="B10" s="16" t="n">
        <f aca="false">B45</f>
        <v>-63084.07125</v>
      </c>
      <c r="C10" s="16" t="n">
        <f aca="false">B79</f>
        <v>109188.19044552</v>
      </c>
      <c r="D10" s="16" t="n">
        <f aca="false">B113</f>
        <v>222079.60194552</v>
      </c>
      <c r="E10" s="2"/>
      <c r="F10" s="2"/>
      <c r="G10" s="2"/>
      <c r="H10" s="2"/>
    </row>
    <row r="11" customFormat="false" ht="15" hidden="false" customHeight="false" outlineLevel="0" collapsed="false">
      <c r="A11" s="17" t="s">
        <v>424</v>
      </c>
      <c r="B11" s="23" t="n">
        <f aca="false">B49</f>
        <v>-78084.07125</v>
      </c>
      <c r="C11" s="23" t="n">
        <f aca="false">B83</f>
        <v>38269.3714009678</v>
      </c>
      <c r="D11" s="23" t="n">
        <f aca="false">B117</f>
        <v>139871.641750968</v>
      </c>
      <c r="E11" s="2"/>
      <c r="F11" s="2"/>
      <c r="G11" s="2"/>
      <c r="H11" s="2"/>
    </row>
    <row r="12" customFormat="false" ht="15" hidden="false" customHeight="false" outlineLevel="0" collapsed="false">
      <c r="A12" s="17" t="s">
        <v>425</v>
      </c>
      <c r="B12" s="23" t="n">
        <f aca="false">F49</f>
        <v>-35290.620542386</v>
      </c>
      <c r="C12" s="23" t="n">
        <f aca="false">F83</f>
        <v>480001.219191603</v>
      </c>
      <c r="D12" s="23" t="n">
        <f aca="false">F117</f>
        <v>812846.500137989</v>
      </c>
      <c r="E12" s="2"/>
      <c r="F12" s="2"/>
      <c r="G12" s="2"/>
      <c r="H12" s="2"/>
    </row>
    <row r="13" customFormat="false" ht="15" hidden="false" customHeight="false" outlineLevel="0" collapsed="false">
      <c r="A13" s="19" t="s">
        <v>426</v>
      </c>
      <c r="B13" s="16" t="n">
        <f aca="false">B48</f>
        <v>15000</v>
      </c>
      <c r="C13" s="16" t="n">
        <f aca="false">B82</f>
        <v>70918.819044552</v>
      </c>
      <c r="D13" s="16" t="n">
        <f aca="false">B116</f>
        <v>82207.960194552</v>
      </c>
      <c r="E13" s="2"/>
      <c r="F13" s="2"/>
      <c r="G13" s="2"/>
      <c r="H13" s="2"/>
    </row>
    <row r="14" customFormat="false" ht="15" hidden="false" customHeight="false" outlineLevel="0" collapsed="false">
      <c r="A14" s="19" t="s">
        <v>427</v>
      </c>
      <c r="B14" s="16" t="n">
        <f aca="false">F48</f>
        <v>0</v>
      </c>
      <c r="C14" s="16" t="n">
        <f aca="false">F82</f>
        <v>133333.468799067</v>
      </c>
      <c r="D14" s="16" t="n">
        <f aca="false">F116</f>
        <v>170316.27779311</v>
      </c>
      <c r="E14" s="2"/>
      <c r="F14" s="2"/>
      <c r="G14" s="2"/>
      <c r="H14" s="2"/>
    </row>
    <row r="15" customFormat="false" ht="15" hidden="false" customHeight="false" outlineLevel="0" collapsed="false">
      <c r="A15" s="17" t="s">
        <v>428</v>
      </c>
      <c r="B15" s="23" t="n">
        <f aca="false">F53</f>
        <v>36709.379457614</v>
      </c>
      <c r="C15" s="23" t="n">
        <f aca="false">F87</f>
        <v>552001.219191603</v>
      </c>
      <c r="D15" s="23" t="n">
        <f aca="false">F121</f>
        <v>884846.500137989</v>
      </c>
      <c r="E15" s="2"/>
      <c r="F15" s="2"/>
      <c r="G15" s="2"/>
      <c r="H15" s="2"/>
    </row>
    <row r="16" customFormat="false" ht="15" hidden="false" customHeight="false" outlineLevel="0" collapsed="false">
      <c r="A16" s="19" t="s">
        <v>429</v>
      </c>
      <c r="B16" s="16" t="n">
        <f aca="false">F52</f>
        <v>-196570.239948206</v>
      </c>
      <c r="C16" s="16" t="n">
        <f aca="false">F86</f>
        <v>1184044.37205517</v>
      </c>
      <c r="D16" s="16" t="n">
        <f aca="false">F120</f>
        <v>2476509.42286937</v>
      </c>
      <c r="E16" s="2"/>
      <c r="F16" s="2"/>
      <c r="G16" s="2"/>
      <c r="H16" s="2"/>
    </row>
    <row r="17" customFormat="false" ht="15" hidden="false" customHeight="false" outlineLevel="0" collapsed="false">
      <c r="A17" s="17" t="s">
        <v>430</v>
      </c>
      <c r="B17" s="23" t="n">
        <f aca="false">F54</f>
        <v>90305.0734657304</v>
      </c>
      <c r="C17" s="23" t="n">
        <f aca="false">F88</f>
        <v>1357922.99921134</v>
      </c>
      <c r="D17" s="23" t="n">
        <f aca="false">F122</f>
        <v>2176722.39033945</v>
      </c>
      <c r="E17" s="2"/>
      <c r="F17" s="2"/>
      <c r="G17" s="2"/>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39" t="s">
        <v>431</v>
      </c>
      <c r="B19" s="2"/>
      <c r="C19" s="2"/>
      <c r="D19" s="2"/>
      <c r="E19" s="2"/>
      <c r="F19" s="2"/>
      <c r="G19" s="2"/>
      <c r="H19" s="2"/>
    </row>
    <row r="20" customFormat="false" ht="15" hidden="false" customHeight="false" outlineLevel="0" collapsed="false">
      <c r="A20" s="2"/>
      <c r="B20" s="2"/>
      <c r="C20" s="2"/>
      <c r="D20" s="2"/>
      <c r="E20" s="2"/>
      <c r="F20" s="2"/>
      <c r="G20" s="2"/>
      <c r="H20" s="2"/>
    </row>
    <row r="21" customFormat="false" ht="15" hidden="false" customHeight="false" outlineLevel="0" collapsed="false">
      <c r="A21" s="2"/>
      <c r="B21" s="2"/>
      <c r="C21" s="2"/>
      <c r="D21" s="2"/>
      <c r="E21" s="2"/>
      <c r="F21" s="2"/>
      <c r="G21" s="2"/>
      <c r="H21" s="2"/>
    </row>
    <row r="22" customFormat="false" ht="42" hidden="false" customHeight="true" outlineLevel="0" collapsed="false">
      <c r="A22" s="4" t="s">
        <v>432</v>
      </c>
      <c r="B22" s="5"/>
      <c r="C22" s="5"/>
      <c r="D22" s="5"/>
      <c r="E22" s="5"/>
      <c r="F22" s="5"/>
      <c r="G22" s="2"/>
      <c r="H22" s="40" t="s">
        <v>433</v>
      </c>
    </row>
    <row r="23" customFormat="false" ht="15" hidden="false" customHeight="false" outlineLevel="0" collapsed="false">
      <c r="A23" s="29" t="s">
        <v>434</v>
      </c>
      <c r="B23" s="29" t="s">
        <v>188</v>
      </c>
      <c r="C23" s="29" t="s">
        <v>189</v>
      </c>
      <c r="D23" s="29" t="s">
        <v>342</v>
      </c>
      <c r="E23" s="29" t="s">
        <v>343</v>
      </c>
      <c r="F23" s="29" t="s">
        <v>344</v>
      </c>
      <c r="G23" s="2"/>
      <c r="H23" s="2"/>
    </row>
    <row r="24" customFormat="false" ht="15" hidden="false" customHeight="false" outlineLevel="0" collapsed="false">
      <c r="A24" s="19" t="s">
        <v>349</v>
      </c>
      <c r="B24" s="33" t="n">
        <v>1</v>
      </c>
      <c r="C24" s="33" t="n">
        <v>1</v>
      </c>
      <c r="D24" s="33" t="n">
        <v>1.5</v>
      </c>
      <c r="E24" s="33" t="n">
        <v>1.5</v>
      </c>
      <c r="F24" s="33" t="n">
        <v>1.5</v>
      </c>
      <c r="G24" s="2"/>
      <c r="H24" s="7" t="s">
        <v>435</v>
      </c>
    </row>
    <row r="25" customFormat="false" ht="15" hidden="false" customHeight="false" outlineLevel="0" collapsed="false">
      <c r="A25" s="19" t="s">
        <v>436</v>
      </c>
      <c r="B25" s="13" t="n">
        <v>0.55</v>
      </c>
      <c r="C25" s="13" t="n">
        <v>0.7</v>
      </c>
      <c r="D25" s="13" t="n">
        <v>0.8</v>
      </c>
      <c r="E25" s="13" t="n">
        <v>0.85</v>
      </c>
      <c r="F25" s="13" t="n">
        <v>0.85</v>
      </c>
      <c r="G25" s="2"/>
      <c r="H25" s="7" t="s">
        <v>437</v>
      </c>
    </row>
    <row r="26" customFormat="false" ht="15" hidden="false" customHeight="false" outlineLevel="0" collapsed="false">
      <c r="A26" s="19" t="s">
        <v>438</v>
      </c>
      <c r="B26" s="12" t="n">
        <v>36</v>
      </c>
      <c r="C26" s="12" t="n">
        <v>36</v>
      </c>
      <c r="D26" s="12" t="n">
        <v>36</v>
      </c>
      <c r="E26" s="12" t="n">
        <v>36</v>
      </c>
      <c r="F26" s="12" t="n">
        <v>36</v>
      </c>
      <c r="G26" s="2"/>
      <c r="H26" s="7" t="s">
        <v>439</v>
      </c>
    </row>
    <row r="27" customFormat="false" ht="15" hidden="false" customHeight="false" outlineLevel="0" collapsed="false">
      <c r="A27" s="19" t="s">
        <v>299</v>
      </c>
      <c r="B27" s="9" t="n">
        <v>48</v>
      </c>
      <c r="C27" s="16" t="n">
        <f aca="false">B27*(1+$B$28)</f>
        <v>48</v>
      </c>
      <c r="D27" s="16" t="n">
        <f aca="false">C27*(1+$B$28)</f>
        <v>48</v>
      </c>
      <c r="E27" s="16" t="n">
        <f aca="false">D27*(1+$B$28)</f>
        <v>48</v>
      </c>
      <c r="F27" s="16" t="n">
        <f aca="false">E27*(1+$B$28)</f>
        <v>48</v>
      </c>
      <c r="G27" s="2"/>
      <c r="H27" s="2"/>
    </row>
    <row r="28" customFormat="false" ht="15" hidden="false" customHeight="false" outlineLevel="0" collapsed="false">
      <c r="A28" s="19" t="s">
        <v>440</v>
      </c>
      <c r="B28" s="13" t="n">
        <v>0</v>
      </c>
      <c r="C28" s="13" t="n">
        <v>0</v>
      </c>
      <c r="D28" s="13" t="n">
        <v>0</v>
      </c>
      <c r="E28" s="13" t="n">
        <v>0</v>
      </c>
      <c r="F28" s="13" t="n">
        <v>0</v>
      </c>
      <c r="G28" s="2"/>
      <c r="H28" s="2"/>
    </row>
    <row r="29" customFormat="false" ht="15" hidden="false" customHeight="false" outlineLevel="0" collapsed="false">
      <c r="A29" s="19" t="s">
        <v>441</v>
      </c>
      <c r="B29" s="12" t="n">
        <v>45</v>
      </c>
      <c r="C29" s="12" t="n">
        <v>95</v>
      </c>
      <c r="D29" s="12" t="n">
        <v>150</v>
      </c>
      <c r="E29" s="12" t="n">
        <v>200</v>
      </c>
      <c r="F29" s="12" t="n">
        <v>250</v>
      </c>
      <c r="G29" s="2"/>
      <c r="H29" s="2"/>
    </row>
    <row r="30" customFormat="false" ht="15" hidden="false" customHeight="false" outlineLevel="0" collapsed="false">
      <c r="A30" s="19" t="s">
        <v>442</v>
      </c>
      <c r="B30" s="13" t="n">
        <v>0.075</v>
      </c>
      <c r="C30" s="13" t="n">
        <v>0.075</v>
      </c>
      <c r="D30" s="13" t="n">
        <v>0.075</v>
      </c>
      <c r="E30" s="13" t="n">
        <v>0.075</v>
      </c>
      <c r="F30" s="13" t="n">
        <v>0.075</v>
      </c>
      <c r="G30" s="2"/>
      <c r="H30" s="2"/>
    </row>
    <row r="31" customFormat="false" ht="15" hidden="false" customHeight="false" outlineLevel="0" collapsed="false">
      <c r="A31" s="19" t="s">
        <v>443</v>
      </c>
      <c r="B31" s="9" t="n">
        <v>24000</v>
      </c>
      <c r="C31" s="9" t="n">
        <v>24000</v>
      </c>
      <c r="D31" s="9" t="n">
        <v>24000</v>
      </c>
      <c r="E31" s="9" t="n">
        <v>24000</v>
      </c>
      <c r="F31" s="9" t="n">
        <v>24000</v>
      </c>
      <c r="G31" s="2"/>
      <c r="H31" s="2"/>
    </row>
    <row r="32" customFormat="false" ht="15" hidden="false" customHeight="false" outlineLevel="0" collapsed="false">
      <c r="A32" s="19" t="s">
        <v>444</v>
      </c>
      <c r="B32" s="9" t="n">
        <v>0</v>
      </c>
      <c r="C32" s="9" t="n">
        <v>0</v>
      </c>
      <c r="D32" s="9" t="n">
        <v>24000</v>
      </c>
      <c r="E32" s="9" t="n">
        <v>42000</v>
      </c>
      <c r="F32" s="9" t="n">
        <v>44000</v>
      </c>
      <c r="G32" s="2"/>
      <c r="H32" s="7" t="s">
        <v>445</v>
      </c>
    </row>
    <row r="33" customFormat="false" ht="15" hidden="false" customHeight="false" outlineLevel="0" collapsed="false">
      <c r="A33" s="41" t="s">
        <v>446</v>
      </c>
      <c r="B33" s="42"/>
      <c r="C33" s="42"/>
      <c r="D33" s="42"/>
      <c r="E33" s="42"/>
      <c r="F33" s="42"/>
      <c r="G33" s="2"/>
      <c r="H33" s="42"/>
    </row>
    <row r="34" customFormat="false" ht="15" hidden="false" customHeight="false" outlineLevel="0" collapsed="false">
      <c r="A34" s="19" t="s">
        <v>447</v>
      </c>
      <c r="B34" s="20" t="n">
        <f aca="false">B24*Assumptions!$B$8*12</f>
        <v>252</v>
      </c>
      <c r="C34" s="20" t="n">
        <f aca="false">C24*Assumptions!$B$8*12</f>
        <v>252</v>
      </c>
      <c r="D34" s="20" t="n">
        <f aca="false">D24*Assumptions!$B$8*12</f>
        <v>378</v>
      </c>
      <c r="E34" s="20" t="n">
        <f aca="false">E24*Assumptions!$B$8*12</f>
        <v>378</v>
      </c>
      <c r="F34" s="20" t="n">
        <f aca="false">F24*Assumptions!$B$8*12</f>
        <v>378</v>
      </c>
      <c r="G34" s="2"/>
      <c r="H34" s="2"/>
    </row>
    <row r="35" customFormat="false" ht="15" hidden="false" customHeight="false" outlineLevel="0" collapsed="false">
      <c r="A35" s="17" t="s">
        <v>448</v>
      </c>
      <c r="B35" s="21" t="n">
        <f aca="false">B34*B25*B26</f>
        <v>4989.6</v>
      </c>
      <c r="C35" s="21" t="n">
        <f aca="false">C34*C25*C26</f>
        <v>6350.4</v>
      </c>
      <c r="D35" s="21" t="n">
        <f aca="false">D34*D25*D26</f>
        <v>10886.4</v>
      </c>
      <c r="E35" s="21" t="n">
        <f aca="false">E34*E25*E26</f>
        <v>11566.8</v>
      </c>
      <c r="F35" s="21" t="n">
        <f aca="false">F34*F25*F26</f>
        <v>11566.8</v>
      </c>
      <c r="G35" s="2"/>
      <c r="H35" s="2"/>
    </row>
    <row r="36" customFormat="false" ht="15" hidden="false" customHeight="false" outlineLevel="0" collapsed="false">
      <c r="A36" s="19" t="s">
        <v>449</v>
      </c>
      <c r="B36" s="16" t="n">
        <f aca="false">B35*B27</f>
        <v>239500.8</v>
      </c>
      <c r="C36" s="16" t="n">
        <f aca="false">C35*C27</f>
        <v>304819.2</v>
      </c>
      <c r="D36" s="16" t="n">
        <f aca="false">D35*D27</f>
        <v>522547.2</v>
      </c>
      <c r="E36" s="16" t="n">
        <f aca="false">E35*E27</f>
        <v>555206.4</v>
      </c>
      <c r="F36" s="16" t="n">
        <f aca="false">F35*F27</f>
        <v>555206.4</v>
      </c>
      <c r="G36" s="2"/>
      <c r="H36" s="2"/>
    </row>
    <row r="37" customFormat="false" ht="15" hidden="false" customHeight="false" outlineLevel="0" collapsed="false">
      <c r="A37" s="19" t="s">
        <v>450</v>
      </c>
      <c r="B37" s="16" t="n">
        <f aca="false">B34*(1-B25)*Assumptions!$B$10</f>
        <v>113400</v>
      </c>
      <c r="C37" s="16" t="n">
        <f aca="false">C34*(1-C25)*Assumptions!$B$10</f>
        <v>75600</v>
      </c>
      <c r="D37" s="16" t="n">
        <f aca="false">D34*(1-D25)*Assumptions!$B$10</f>
        <v>75600</v>
      </c>
      <c r="E37" s="16" t="n">
        <f aca="false">E34*(1-E25)*Assumptions!$B$10</f>
        <v>56700</v>
      </c>
      <c r="F37" s="16" t="n">
        <f aca="false">F34*(1-F25)*Assumptions!$B$10</f>
        <v>56700</v>
      </c>
      <c r="G37" s="2"/>
      <c r="H37" s="2"/>
    </row>
    <row r="38" customFormat="false" ht="15" hidden="false" customHeight="false" outlineLevel="0" collapsed="false">
      <c r="A38" s="19" t="s">
        <v>359</v>
      </c>
      <c r="B38" s="16" t="n">
        <f aca="false">B29*Assumptions!$B$28*Assumptions!$B$31</f>
        <v>8403.75</v>
      </c>
      <c r="C38" s="16" t="n">
        <f aca="false">C29*Assumptions!$B$28*Assumptions!$B$31</f>
        <v>17741.25</v>
      </c>
      <c r="D38" s="16" t="n">
        <f aca="false">D29*Assumptions!$B$28*Assumptions!$B$31</f>
        <v>28012.5</v>
      </c>
      <c r="E38" s="16" t="n">
        <f aca="false">E29*Assumptions!$B$28*Assumptions!$B$31</f>
        <v>37350</v>
      </c>
      <c r="F38" s="16" t="n">
        <f aca="false">F29*Assumptions!$B$28*Assumptions!$B$31</f>
        <v>46687.5</v>
      </c>
      <c r="G38" s="2"/>
      <c r="H38" s="2"/>
    </row>
    <row r="39" customFormat="false" ht="15" hidden="false" customHeight="false" outlineLevel="0" collapsed="false">
      <c r="A39" s="17" t="s">
        <v>215</v>
      </c>
      <c r="B39" s="23" t="n">
        <f aca="false">B36+B37+B38</f>
        <v>361304.55</v>
      </c>
      <c r="C39" s="23" t="n">
        <f aca="false">C36+C37+C38</f>
        <v>398160.45</v>
      </c>
      <c r="D39" s="23" t="n">
        <f aca="false">D36+D37+D38</f>
        <v>626159.7</v>
      </c>
      <c r="E39" s="23" t="n">
        <f aca="false">E36+E37+E38</f>
        <v>649256.4</v>
      </c>
      <c r="F39" s="23" t="n">
        <f aca="false">F36+F37+F38</f>
        <v>658593.9</v>
      </c>
      <c r="G39" s="2"/>
      <c r="H39" s="2"/>
    </row>
    <row r="40" customFormat="false" ht="15" hidden="false" customHeight="false" outlineLevel="0" collapsed="false">
      <c r="A40" s="19" t="s">
        <v>451</v>
      </c>
      <c r="B40" s="16" t="n">
        <f aca="false">B24*(Assumptions!$B$24*Assumptions!$B$25*Assumptions!$B$21+Assumptions!$B$25*Assumptions!$B$22)*(1+Assumptions!$B$23)*12*1.03^MAX(0,COLUMN(B1)-2)</f>
        <v>166848.12</v>
      </c>
      <c r="C40" s="16" t="n">
        <f aca="false">C24*(Assumptions!$B$24*Assumptions!$B$25*Assumptions!$B$21+Assumptions!$B$25*Assumptions!$B$22)*(1+Assumptions!$B$23)*12*1.03^MAX(0,COLUMN(C1)-2)</f>
        <v>171853.5636</v>
      </c>
      <c r="D40" s="16" t="n">
        <f aca="false">D24*(Assumptions!$B$24*Assumptions!$B$25*Assumptions!$B$21+Assumptions!$B$25*Assumptions!$B$22)*(1+Assumptions!$B$23)*12*1.03^MAX(0,COLUMN(D1)-2)</f>
        <v>265513.755762</v>
      </c>
      <c r="E40" s="16" t="n">
        <f aca="false">E24*(Assumptions!$B$24*Assumptions!$B$25*Assumptions!$B$21+Assumptions!$B$25*Assumptions!$B$22)*(1+Assumptions!$B$23)*12*1.03^MAX(0,COLUMN(E1)-2)</f>
        <v>273479.16843486</v>
      </c>
      <c r="F40" s="16" t="n">
        <f aca="false">F24*(Assumptions!$B$24*Assumptions!$B$25*Assumptions!$B$21+Assumptions!$B$25*Assumptions!$B$22)*(1+Assumptions!$B$23)*12*1.03^MAX(0,COLUMN(F1)-2)</f>
        <v>281683.543487906</v>
      </c>
      <c r="G40" s="2"/>
      <c r="H40" s="2"/>
    </row>
    <row r="41" customFormat="false" ht="15" hidden="false" customHeight="false" outlineLevel="0" collapsed="false">
      <c r="A41" s="19" t="s">
        <v>452</v>
      </c>
      <c r="B41" s="16" t="n">
        <f aca="false">(B36+B37)*Assumptions!$B$20+B29*Assumptions!$B$31*Assumptions!$B$35</f>
        <v>72942.66</v>
      </c>
      <c r="C41" s="16" t="n">
        <f aca="false">(C36+C37)*Assumptions!$B$20+C29*Assumptions!$B$31*Assumptions!$B$35</f>
        <v>81071.34</v>
      </c>
      <c r="D41" s="16" t="n">
        <f aca="false">(D36+D37)*Assumptions!$B$20+D29*Assumptions!$B$31*Assumptions!$B$35</f>
        <v>127504.44</v>
      </c>
      <c r="E41" s="16" t="n">
        <f aca="false">(E36+E37)*Assumptions!$B$20+E29*Assumptions!$B$31*Assumptions!$B$35</f>
        <v>132881.28</v>
      </c>
      <c r="F41" s="16" t="n">
        <f aca="false">(F36+F37)*Assumptions!$B$20+F29*Assumptions!$B$31*Assumptions!$B$35</f>
        <v>135506.28</v>
      </c>
      <c r="G41" s="2"/>
      <c r="H41" s="2"/>
    </row>
    <row r="42" customFormat="false" ht="15" hidden="false" customHeight="false" outlineLevel="0" collapsed="false">
      <c r="A42" s="17" t="s">
        <v>222</v>
      </c>
      <c r="B42" s="23" t="n">
        <f aca="false">B39-B40-B41</f>
        <v>121513.77</v>
      </c>
      <c r="C42" s="23" t="n">
        <f aca="false">C39-C40-C41</f>
        <v>145235.5464</v>
      </c>
      <c r="D42" s="23" t="n">
        <f aca="false">D39-D40-D41</f>
        <v>233141.504238</v>
      </c>
      <c r="E42" s="23" t="n">
        <f aca="false">E39-E40-E41</f>
        <v>242895.95156514</v>
      </c>
      <c r="F42" s="23" t="n">
        <f aca="false">F39-F40-F41</f>
        <v>241404.076512094</v>
      </c>
      <c r="G42" s="2"/>
      <c r="H42" s="2"/>
    </row>
    <row r="43" customFormat="false" ht="15" hidden="false" customHeight="false" outlineLevel="0" collapsed="false">
      <c r="A43" s="19" t="s">
        <v>263</v>
      </c>
      <c r="B43" s="22" t="n">
        <f aca="false">IF(B39=0,0,B42/B39)</f>
        <v>0.336319512167782</v>
      </c>
      <c r="C43" s="22" t="n">
        <f aca="false">IF(C39=0,0,C42/C39)</f>
        <v>0.364766380990377</v>
      </c>
      <c r="D43" s="22" t="n">
        <f aca="false">IF(D39=0,0,D42/D39)</f>
        <v>0.37233553075677</v>
      </c>
      <c r="E43" s="22" t="n">
        <f aca="false">IF(E39=0,0,E42/E39)</f>
        <v>0.374114065822285</v>
      </c>
      <c r="F43" s="22" t="n">
        <f aca="false">IF(F39=0,0,F42/F39)</f>
        <v>0.366544659025986</v>
      </c>
      <c r="G43" s="2"/>
      <c r="H43" s="2"/>
    </row>
    <row r="44" customFormat="false" ht="15" hidden="false" customHeight="false" outlineLevel="0" collapsed="false">
      <c r="A44" s="19" t="s">
        <v>453</v>
      </c>
      <c r="B44" s="16" t="n">
        <f aca="false">(Assumptions!$B$76+Assumptions!$B$78+Assumptions!$B$79+Assumptions!$B$80+Assumptions!$B$81)*12+B24*B31+B32+B39*B30+Assumptions!$B$82*Assumptions!$B$83*12+'Equipment plan'!$H$10*12*MAX(0,B24-1)</f>
        <v>184597.84125</v>
      </c>
      <c r="C44" s="16" t="n">
        <f aca="false">(Assumptions!$B$76+Assumptions!$B$78+Assumptions!$B$79+Assumptions!$B$80+Assumptions!$B$81)*12+C24*C31+C32+C39*C30+Assumptions!$B$82*Assumptions!$B$83*12+'Equipment plan'!$H$10*12*MAX(0,C24-1)</f>
        <v>187362.03375</v>
      </c>
      <c r="D44" s="16" t="n">
        <f aca="false">(Assumptions!$B$76+Assumptions!$B$78+Assumptions!$B$79+Assumptions!$B$80+Assumptions!$B$81)*12+D24*D31+D32+D39*D30+Assumptions!$B$82*Assumptions!$B$83*12+'Equipment plan'!$H$10*12*MAX(0,D24-1)</f>
        <v>254262.13205448</v>
      </c>
      <c r="E44" s="16" t="n">
        <f aca="false">(Assumptions!$B$76+Assumptions!$B$78+Assumptions!$B$79+Assumptions!$B$80+Assumptions!$B$81)*12+E24*E31+E32+E39*E30+Assumptions!$B$82*Assumptions!$B$83*12+'Equipment plan'!$H$10*12*MAX(0,E24-1)</f>
        <v>273994.38455448</v>
      </c>
      <c r="F44" s="16" t="n">
        <f aca="false">(Assumptions!$B$76+Assumptions!$B$78+Assumptions!$B$79+Assumptions!$B$80+Assumptions!$B$81)*12+F24*F31+F32+F39*F30+Assumptions!$B$82*Assumptions!$B$83*12+'Equipment plan'!$H$10*12*MAX(0,F24-1)</f>
        <v>276694.69705448</v>
      </c>
      <c r="G44" s="2"/>
      <c r="H44" s="7" t="s">
        <v>454</v>
      </c>
    </row>
    <row r="45" customFormat="false" ht="15" hidden="false" customHeight="false" outlineLevel="0" collapsed="false">
      <c r="A45" s="17" t="s">
        <v>455</v>
      </c>
      <c r="B45" s="23" t="n">
        <f aca="false">B42-B44</f>
        <v>-63084.07125</v>
      </c>
      <c r="C45" s="23" t="n">
        <f aca="false">C42-C44</f>
        <v>-42126.4873500001</v>
      </c>
      <c r="D45" s="23" t="n">
        <f aca="false">D42-D44</f>
        <v>-21120.6278164801</v>
      </c>
      <c r="E45" s="23" t="n">
        <f aca="false">E42-E44</f>
        <v>-31098.4329893402</v>
      </c>
      <c r="F45" s="23" t="n">
        <f aca="false">F42-F44</f>
        <v>-35290.620542386</v>
      </c>
      <c r="G45" s="2"/>
      <c r="H45" s="2"/>
    </row>
    <row r="46" customFormat="false" ht="15" hidden="false" customHeight="false" outlineLevel="0" collapsed="false">
      <c r="A46" s="19" t="s">
        <v>456</v>
      </c>
      <c r="B46" s="9" t="n">
        <v>15000</v>
      </c>
      <c r="C46" s="9" t="n">
        <v>0</v>
      </c>
      <c r="D46" s="9" t="n">
        <v>0</v>
      </c>
      <c r="E46" s="9" t="n">
        <v>0</v>
      </c>
      <c r="F46" s="9" t="n">
        <v>0</v>
      </c>
      <c r="G46" s="2"/>
      <c r="H46" s="7" t="s">
        <v>457</v>
      </c>
    </row>
    <row r="47" customFormat="false" ht="15" hidden="false" customHeight="false" outlineLevel="0" collapsed="false">
      <c r="A47" s="19" t="s">
        <v>458</v>
      </c>
      <c r="B47" s="13" t="n">
        <v>0.1</v>
      </c>
      <c r="C47" s="13" t="n">
        <v>0.1</v>
      </c>
      <c r="D47" s="13" t="n">
        <v>0.1</v>
      </c>
      <c r="E47" s="13" t="n">
        <v>0.1</v>
      </c>
      <c r="F47" s="13" t="n">
        <v>0.1</v>
      </c>
      <c r="G47" s="2"/>
      <c r="H47" s="7" t="s">
        <v>459</v>
      </c>
    </row>
    <row r="48" customFormat="false" ht="15" hidden="false" customHeight="false" outlineLevel="0" collapsed="false">
      <c r="A48" s="19" t="s">
        <v>460</v>
      </c>
      <c r="B48" s="16" t="n">
        <f aca="false">B46+IF(B46=0,0,B47*MAX(0,B45-MAX(0,'5-year plan'!$B$44)))</f>
        <v>15000</v>
      </c>
      <c r="C48" s="16" t="n">
        <f aca="false">C46+IF(C46=0,0,C47*MAX(0,C45-MAX(0,'5-year plan'!$B$44)))</f>
        <v>0</v>
      </c>
      <c r="D48" s="16" t="n">
        <f aca="false">D46+IF(D46=0,0,D47*MAX(0,D45-MAX(0,'5-year plan'!$B$44)))</f>
        <v>0</v>
      </c>
      <c r="E48" s="16" t="n">
        <f aca="false">E46+IF(E46=0,0,E47*MAX(0,E45-MAX(0,'5-year plan'!$B$44)))</f>
        <v>0</v>
      </c>
      <c r="F48" s="16" t="n">
        <f aca="false">F46+IF(F46=0,0,F47*MAX(0,F45-MAX(0,'5-year plan'!$B$44)))</f>
        <v>0</v>
      </c>
      <c r="G48" s="2"/>
      <c r="H48" s="2"/>
    </row>
    <row r="49" customFormat="false" ht="15" hidden="false" customHeight="false" outlineLevel="0" collapsed="false">
      <c r="A49" s="17" t="s">
        <v>461</v>
      </c>
      <c r="B49" s="23" t="n">
        <f aca="false">B45-B48</f>
        <v>-78084.07125</v>
      </c>
      <c r="C49" s="23" t="n">
        <f aca="false">C45-C48</f>
        <v>-42126.4873500001</v>
      </c>
      <c r="D49" s="23" t="n">
        <f aca="false">D45-D48</f>
        <v>-21120.6278164801</v>
      </c>
      <c r="E49" s="23" t="n">
        <f aca="false">E45-E48</f>
        <v>-31098.4329893402</v>
      </c>
      <c r="F49" s="23" t="n">
        <f aca="false">F45-F48</f>
        <v>-35290.620542386</v>
      </c>
      <c r="G49" s="2"/>
      <c r="H49" s="2"/>
    </row>
    <row r="50" customFormat="false" ht="15" hidden="false" customHeight="false" outlineLevel="0" collapsed="false">
      <c r="A50" s="19" t="s">
        <v>462</v>
      </c>
      <c r="B50" s="22" t="n">
        <f aca="false">IF(B39=0,0,B49/B39)</f>
        <v>-0.216117043779272</v>
      </c>
      <c r="C50" s="22" t="n">
        <f aca="false">IF(C39=0,0,C49/C39)</f>
        <v>-0.105802792190937</v>
      </c>
      <c r="D50" s="22" t="n">
        <f aca="false">IF(D39=0,0,D49/D39)</f>
        <v>-0.0337304170429367</v>
      </c>
      <c r="E50" s="22" t="n">
        <f aca="false">IF(E39=0,0,E49/E39)</f>
        <v>-0.047898538989127</v>
      </c>
      <c r="F50" s="22" t="n">
        <f aca="false">IF(F39=0,0,F49/F39)</f>
        <v>-0.0535847971601104</v>
      </c>
      <c r="G50" s="2"/>
      <c r="H50" s="2"/>
    </row>
    <row r="51" customFormat="false" ht="15" hidden="false" customHeight="false" outlineLevel="0" collapsed="false">
      <c r="A51" s="19" t="s">
        <v>463</v>
      </c>
      <c r="B51" s="16" t="n">
        <f aca="false">MAX(0,B24-1)*'Equipment plan'!$G$10</f>
        <v>0</v>
      </c>
      <c r="C51" s="16" t="n">
        <f aca="false">MAX(0,C24-B24)*'Equipment plan'!$G$10</f>
        <v>0</v>
      </c>
      <c r="D51" s="16" t="n">
        <f aca="false">MAX(0,D24-C24)*'Equipment plan'!$G$10</f>
        <v>13850</v>
      </c>
      <c r="E51" s="16" t="n">
        <f aca="false">MAX(0,E24-D24)*'Equipment plan'!$G$10</f>
        <v>0</v>
      </c>
      <c r="F51" s="16" t="n">
        <f aca="false">MAX(0,F24-E24)*'Equipment plan'!$G$10</f>
        <v>0</v>
      </c>
      <c r="G51" s="2"/>
      <c r="H51" s="2"/>
    </row>
    <row r="52" customFormat="false" ht="15" hidden="false" customHeight="false" outlineLevel="0" collapsed="false">
      <c r="A52" s="17" t="s">
        <v>464</v>
      </c>
      <c r="B52" s="23" t="n">
        <f aca="false">Assumptions!$B$60+B49-B51</f>
        <v>-53084.07125</v>
      </c>
      <c r="C52" s="23" t="n">
        <f aca="false">B52+C49-C51</f>
        <v>-95210.5586000001</v>
      </c>
      <c r="D52" s="23" t="n">
        <f aca="false">C52+D49-D51</f>
        <v>-130181.18641648</v>
      </c>
      <c r="E52" s="23" t="n">
        <f aca="false">D52+E49-E51</f>
        <v>-161279.61940582</v>
      </c>
      <c r="F52" s="23" t="n">
        <f aca="false">E52+F49-F51</f>
        <v>-196570.239948206</v>
      </c>
      <c r="G52" s="2"/>
      <c r="H52" s="7" t="s">
        <v>465</v>
      </c>
    </row>
    <row r="53" customFormat="false" ht="15" hidden="false" customHeight="false" outlineLevel="0" collapsed="false">
      <c r="A53" s="19" t="s">
        <v>466</v>
      </c>
      <c r="B53" s="16" t="n">
        <f aca="false">B49+Assumptions!$B$76*12</f>
        <v>-6084.07125000004</v>
      </c>
      <c r="C53" s="16" t="n">
        <f aca="false">C49+Assumptions!$B$76*12</f>
        <v>29873.5126499999</v>
      </c>
      <c r="D53" s="16" t="n">
        <f aca="false">D49+Assumptions!$B$76*12</f>
        <v>50879.3721835199</v>
      </c>
      <c r="E53" s="16" t="n">
        <f aca="false">E49+Assumptions!$B$76*12</f>
        <v>40901.5670106598</v>
      </c>
      <c r="F53" s="16" t="n">
        <f aca="false">F49+Assumptions!$B$76*12</f>
        <v>36709.379457614</v>
      </c>
      <c r="G53" s="2"/>
      <c r="H53" s="2"/>
    </row>
    <row r="54" customFormat="false" ht="15" hidden="false" customHeight="false" outlineLevel="0" collapsed="false">
      <c r="A54" s="19" t="s">
        <v>467</v>
      </c>
      <c r="B54" s="16" t="n">
        <f aca="false">MAX(0,B53)*2.46</f>
        <v>0</v>
      </c>
      <c r="C54" s="16" t="n">
        <f aca="false">MAX(0,C53)*2.46</f>
        <v>73488.8411189998</v>
      </c>
      <c r="D54" s="16" t="n">
        <f aca="false">MAX(0,D53)*2.46</f>
        <v>125163.255571459</v>
      </c>
      <c r="E54" s="16" t="n">
        <f aca="false">MAX(0,E53)*2.46</f>
        <v>100617.854846223</v>
      </c>
      <c r="F54" s="16" t="n">
        <f aca="false">MAX(0,F53)*2.46</f>
        <v>90305.0734657304</v>
      </c>
      <c r="G54" s="2"/>
      <c r="H54" s="7" t="s">
        <v>468</v>
      </c>
    </row>
    <row r="55" customFormat="false" ht="15" hidden="false" customHeight="false" outlineLevel="0" collapsed="false">
      <c r="A55" s="2"/>
      <c r="B55" s="2"/>
      <c r="C55" s="2"/>
      <c r="D55" s="2"/>
      <c r="E55" s="2"/>
      <c r="F55" s="2"/>
      <c r="G55" s="2"/>
      <c r="H55" s="2"/>
    </row>
    <row r="56" customFormat="false" ht="42" hidden="false" customHeight="true" outlineLevel="0" collapsed="false">
      <c r="A56" s="4" t="s">
        <v>469</v>
      </c>
      <c r="B56" s="5"/>
      <c r="C56" s="5"/>
      <c r="D56" s="5"/>
      <c r="E56" s="5"/>
      <c r="F56" s="5"/>
      <c r="G56" s="2"/>
      <c r="H56" s="40" t="s">
        <v>470</v>
      </c>
    </row>
    <row r="57" customFormat="false" ht="15" hidden="false" customHeight="false" outlineLevel="0" collapsed="false">
      <c r="A57" s="29" t="s">
        <v>434</v>
      </c>
      <c r="B57" s="29" t="s">
        <v>188</v>
      </c>
      <c r="C57" s="29" t="s">
        <v>189</v>
      </c>
      <c r="D57" s="29" t="s">
        <v>342</v>
      </c>
      <c r="E57" s="29" t="s">
        <v>343</v>
      </c>
      <c r="F57" s="29" t="s">
        <v>344</v>
      </c>
      <c r="G57" s="2"/>
      <c r="H57" s="2"/>
    </row>
    <row r="58" customFormat="false" ht="15" hidden="false" customHeight="false" outlineLevel="0" collapsed="false">
      <c r="A58" s="19" t="s">
        <v>349</v>
      </c>
      <c r="B58" s="33" t="n">
        <v>1.5</v>
      </c>
      <c r="C58" s="33" t="n">
        <v>2</v>
      </c>
      <c r="D58" s="33" t="n">
        <v>2.5</v>
      </c>
      <c r="E58" s="33" t="n">
        <v>3.5</v>
      </c>
      <c r="F58" s="33" t="n">
        <v>4</v>
      </c>
      <c r="G58" s="2"/>
      <c r="H58" s="7" t="s">
        <v>435</v>
      </c>
    </row>
    <row r="59" customFormat="false" ht="15" hidden="false" customHeight="false" outlineLevel="0" collapsed="false">
      <c r="A59" s="19" t="s">
        <v>436</v>
      </c>
      <c r="B59" s="13" t="n">
        <v>0.75</v>
      </c>
      <c r="C59" s="13" t="n">
        <v>0.9</v>
      </c>
      <c r="D59" s="13" t="n">
        <v>0.95</v>
      </c>
      <c r="E59" s="13" t="n">
        <v>0.95</v>
      </c>
      <c r="F59" s="13" t="n">
        <v>0.95</v>
      </c>
      <c r="G59" s="2"/>
      <c r="H59" s="7" t="s">
        <v>437</v>
      </c>
    </row>
    <row r="60" customFormat="false" ht="15" hidden="false" customHeight="false" outlineLevel="0" collapsed="false">
      <c r="A60" s="19" t="s">
        <v>438</v>
      </c>
      <c r="B60" s="12" t="n">
        <v>43</v>
      </c>
      <c r="C60" s="12" t="n">
        <v>43</v>
      </c>
      <c r="D60" s="12" t="n">
        <v>43</v>
      </c>
      <c r="E60" s="12" t="n">
        <v>43</v>
      </c>
      <c r="F60" s="12" t="n">
        <v>43</v>
      </c>
      <c r="G60" s="2"/>
      <c r="H60" s="7" t="s">
        <v>439</v>
      </c>
    </row>
    <row r="61" customFormat="false" ht="15" hidden="false" customHeight="false" outlineLevel="0" collapsed="false">
      <c r="A61" s="19" t="s">
        <v>299</v>
      </c>
      <c r="B61" s="9" t="n">
        <v>50</v>
      </c>
      <c r="C61" s="16" t="n">
        <f aca="false">B61*(1+$B$62)</f>
        <v>51.5</v>
      </c>
      <c r="D61" s="16" t="n">
        <f aca="false">C61*(1+$B$62)</f>
        <v>53.045</v>
      </c>
      <c r="E61" s="16" t="n">
        <f aca="false">D61*(1+$B$62)</f>
        <v>54.63635</v>
      </c>
      <c r="F61" s="16" t="n">
        <f aca="false">E61*(1+$B$62)</f>
        <v>56.2754405</v>
      </c>
      <c r="G61" s="2"/>
      <c r="H61" s="2"/>
    </row>
    <row r="62" customFormat="false" ht="15" hidden="false" customHeight="false" outlineLevel="0" collapsed="false">
      <c r="A62" s="19" t="s">
        <v>440</v>
      </c>
      <c r="B62" s="13" t="n">
        <v>0.03</v>
      </c>
      <c r="C62" s="13" t="n">
        <v>0.03</v>
      </c>
      <c r="D62" s="13" t="n">
        <v>0.03</v>
      </c>
      <c r="E62" s="13" t="n">
        <v>0.03</v>
      </c>
      <c r="F62" s="13" t="n">
        <v>0.03</v>
      </c>
      <c r="G62" s="2"/>
      <c r="H62" s="2"/>
    </row>
    <row r="63" customFormat="false" ht="15" hidden="false" customHeight="false" outlineLevel="0" collapsed="false">
      <c r="A63" s="19" t="s">
        <v>441</v>
      </c>
      <c r="B63" s="12" t="n">
        <v>94</v>
      </c>
      <c r="C63" s="12" t="n">
        <v>216</v>
      </c>
      <c r="D63" s="12" t="n">
        <v>355</v>
      </c>
      <c r="E63" s="12" t="n">
        <v>540</v>
      </c>
      <c r="F63" s="12" t="n">
        <v>745</v>
      </c>
      <c r="G63" s="2"/>
      <c r="H63" s="2"/>
    </row>
    <row r="64" customFormat="false" ht="15" hidden="false" customHeight="false" outlineLevel="0" collapsed="false">
      <c r="A64" s="19" t="s">
        <v>442</v>
      </c>
      <c r="B64" s="13" t="n">
        <v>0.05</v>
      </c>
      <c r="C64" s="13" t="n">
        <v>0.05</v>
      </c>
      <c r="D64" s="13" t="n">
        <v>0.05</v>
      </c>
      <c r="E64" s="13" t="n">
        <v>0.05</v>
      </c>
      <c r="F64" s="13" t="n">
        <v>0.05</v>
      </c>
      <c r="G64" s="2"/>
      <c r="H64" s="2"/>
    </row>
    <row r="65" customFormat="false" ht="15" hidden="false" customHeight="false" outlineLevel="0" collapsed="false">
      <c r="A65" s="19" t="s">
        <v>443</v>
      </c>
      <c r="B65" s="9" t="n">
        <v>22000</v>
      </c>
      <c r="C65" s="9" t="n">
        <v>22000</v>
      </c>
      <c r="D65" s="9" t="n">
        <v>22000</v>
      </c>
      <c r="E65" s="9" t="n">
        <v>22000</v>
      </c>
      <c r="F65" s="9" t="n">
        <v>22000</v>
      </c>
      <c r="G65" s="2"/>
      <c r="H65" s="2"/>
    </row>
    <row r="66" customFormat="false" ht="15" hidden="false" customHeight="false" outlineLevel="0" collapsed="false">
      <c r="A66" s="19" t="s">
        <v>444</v>
      </c>
      <c r="B66" s="9" t="n">
        <v>0</v>
      </c>
      <c r="C66" s="9" t="n">
        <v>30000</v>
      </c>
      <c r="D66" s="9" t="n">
        <v>102750</v>
      </c>
      <c r="E66" s="9" t="n">
        <v>191000</v>
      </c>
      <c r="F66" s="9" t="n">
        <v>200000</v>
      </c>
      <c r="G66" s="2"/>
      <c r="H66" s="7" t="s">
        <v>445</v>
      </c>
    </row>
    <row r="67" customFormat="false" ht="15" hidden="false" customHeight="false" outlineLevel="0" collapsed="false">
      <c r="A67" s="41" t="s">
        <v>446</v>
      </c>
      <c r="B67" s="42"/>
      <c r="C67" s="42"/>
      <c r="D67" s="42"/>
      <c r="E67" s="42"/>
      <c r="F67" s="42"/>
      <c r="G67" s="2"/>
      <c r="H67" s="42"/>
    </row>
    <row r="68" customFormat="false" ht="15" hidden="false" customHeight="false" outlineLevel="0" collapsed="false">
      <c r="A68" s="19" t="s">
        <v>447</v>
      </c>
      <c r="B68" s="20" t="n">
        <f aca="false">B58*Assumptions!$B$8*12</f>
        <v>378</v>
      </c>
      <c r="C68" s="20" t="n">
        <f aca="false">C58*Assumptions!$B$8*12</f>
        <v>504</v>
      </c>
      <c r="D68" s="20" t="n">
        <f aca="false">D58*Assumptions!$B$8*12</f>
        <v>630</v>
      </c>
      <c r="E68" s="20" t="n">
        <f aca="false">E58*Assumptions!$B$8*12</f>
        <v>882</v>
      </c>
      <c r="F68" s="20" t="n">
        <f aca="false">F58*Assumptions!$B$8*12</f>
        <v>1008</v>
      </c>
      <c r="G68" s="2"/>
      <c r="H68" s="2"/>
    </row>
    <row r="69" customFormat="false" ht="15" hidden="false" customHeight="false" outlineLevel="0" collapsed="false">
      <c r="A69" s="17" t="s">
        <v>448</v>
      </c>
      <c r="B69" s="21" t="n">
        <f aca="false">B68*B59*B60</f>
        <v>12190.5</v>
      </c>
      <c r="C69" s="21" t="n">
        <f aca="false">C68*C59*C60</f>
        <v>19504.8</v>
      </c>
      <c r="D69" s="21" t="n">
        <f aca="false">D68*D59*D60</f>
        <v>25735.5</v>
      </c>
      <c r="E69" s="21" t="n">
        <f aca="false">E68*E59*E60</f>
        <v>36029.7</v>
      </c>
      <c r="F69" s="21" t="n">
        <f aca="false">F68*F59*F60</f>
        <v>41176.8</v>
      </c>
      <c r="G69" s="2"/>
      <c r="H69" s="2"/>
    </row>
    <row r="70" customFormat="false" ht="15" hidden="false" customHeight="false" outlineLevel="0" collapsed="false">
      <c r="A70" s="19" t="s">
        <v>449</v>
      </c>
      <c r="B70" s="16" t="n">
        <f aca="false">B69*B61</f>
        <v>609525</v>
      </c>
      <c r="C70" s="16" t="n">
        <f aca="false">C69*C61</f>
        <v>1004497.2</v>
      </c>
      <c r="D70" s="16" t="n">
        <f aca="false">D69*D61</f>
        <v>1365139.5975</v>
      </c>
      <c r="E70" s="16" t="n">
        <f aca="false">E69*E61</f>
        <v>1968531.299595</v>
      </c>
      <c r="F70" s="16" t="n">
        <f aca="false">F69*F61</f>
        <v>2317242.5583804</v>
      </c>
      <c r="G70" s="2"/>
      <c r="H70" s="2"/>
    </row>
    <row r="71" customFormat="false" ht="15" hidden="false" customHeight="false" outlineLevel="0" collapsed="false">
      <c r="A71" s="19" t="s">
        <v>450</v>
      </c>
      <c r="B71" s="16" t="n">
        <f aca="false">B68*(1-B59)*Assumptions!$B$10</f>
        <v>94500</v>
      </c>
      <c r="C71" s="16" t="n">
        <f aca="false">C68*(1-C59)*Assumptions!$B$10</f>
        <v>50400</v>
      </c>
      <c r="D71" s="16" t="n">
        <f aca="false">D68*(1-D59)*Assumptions!$B$10</f>
        <v>31500</v>
      </c>
      <c r="E71" s="16" t="n">
        <f aca="false">E68*(1-E59)*Assumptions!$B$10</f>
        <v>44100</v>
      </c>
      <c r="F71" s="16" t="n">
        <f aca="false">F68*(1-F59)*Assumptions!$B$10</f>
        <v>50400.0000000001</v>
      </c>
      <c r="G71" s="2"/>
      <c r="H71" s="2"/>
    </row>
    <row r="72" customFormat="false" ht="15" hidden="false" customHeight="false" outlineLevel="0" collapsed="false">
      <c r="A72" s="19" t="s">
        <v>359</v>
      </c>
      <c r="B72" s="16" t="n">
        <f aca="false">B63*Assumptions!$B$28*Assumptions!$B$31</f>
        <v>17554.5</v>
      </c>
      <c r="C72" s="16" t="n">
        <f aca="false">C63*Assumptions!$B$28*Assumptions!$B$31</f>
        <v>40338</v>
      </c>
      <c r="D72" s="16" t="n">
        <f aca="false">D63*Assumptions!$B$28*Assumptions!$B$31</f>
        <v>66296.25</v>
      </c>
      <c r="E72" s="16" t="n">
        <f aca="false">E63*Assumptions!$B$28*Assumptions!$B$31</f>
        <v>100845</v>
      </c>
      <c r="F72" s="16" t="n">
        <f aca="false">F63*Assumptions!$B$28*Assumptions!$B$31</f>
        <v>139128.75</v>
      </c>
      <c r="G72" s="2"/>
      <c r="H72" s="2"/>
    </row>
    <row r="73" customFormat="false" ht="15" hidden="false" customHeight="false" outlineLevel="0" collapsed="false">
      <c r="A73" s="17" t="s">
        <v>215</v>
      </c>
      <c r="B73" s="23" t="n">
        <f aca="false">B70+B71+B72</f>
        <v>721579.5</v>
      </c>
      <c r="C73" s="23" t="n">
        <f aca="false">C70+C71+C72</f>
        <v>1095235.2</v>
      </c>
      <c r="D73" s="23" t="n">
        <f aca="false">D70+D71+D72</f>
        <v>1462935.8475</v>
      </c>
      <c r="E73" s="23" t="n">
        <f aca="false">E70+E71+E72</f>
        <v>2113476.299595</v>
      </c>
      <c r="F73" s="23" t="n">
        <f aca="false">F70+F71+F72</f>
        <v>2506771.3083804</v>
      </c>
      <c r="G73" s="2"/>
      <c r="H73" s="2"/>
    </row>
    <row r="74" customFormat="false" ht="15" hidden="false" customHeight="false" outlineLevel="0" collapsed="false">
      <c r="A74" s="19" t="s">
        <v>451</v>
      </c>
      <c r="B74" s="16" t="n">
        <f aca="false">B58*(Assumptions!$B$24*Assumptions!$B$25*Assumptions!$B$21+Assumptions!$B$25*Assumptions!$B$22)*(1+Assumptions!$B$23)*12*1.03^MAX(0,COLUMN(B1)-2)</f>
        <v>250272.18</v>
      </c>
      <c r="C74" s="16" t="n">
        <f aca="false">C58*(Assumptions!$B$24*Assumptions!$B$25*Assumptions!$B$21+Assumptions!$B$25*Assumptions!$B$22)*(1+Assumptions!$B$23)*12*1.03^MAX(0,COLUMN(C1)-2)</f>
        <v>343707.1272</v>
      </c>
      <c r="D74" s="16" t="n">
        <f aca="false">D58*(Assumptions!$B$24*Assumptions!$B$25*Assumptions!$B$21+Assumptions!$B$25*Assumptions!$B$22)*(1+Assumptions!$B$23)*12*1.03^MAX(0,COLUMN(D1)-2)</f>
        <v>442522.92627</v>
      </c>
      <c r="E74" s="16" t="n">
        <f aca="false">E58*(Assumptions!$B$24*Assumptions!$B$25*Assumptions!$B$21+Assumptions!$B$25*Assumptions!$B$22)*(1+Assumptions!$B$23)*12*1.03^MAX(0,COLUMN(E1)-2)</f>
        <v>638118.05968134</v>
      </c>
      <c r="F74" s="16" t="n">
        <f aca="false">F58*(Assumptions!$B$24*Assumptions!$B$25*Assumptions!$B$21+Assumptions!$B$25*Assumptions!$B$22)*(1+Assumptions!$B$23)*12*1.03^MAX(0,COLUMN(F1)-2)</f>
        <v>751156.115967749</v>
      </c>
      <c r="G74" s="2"/>
      <c r="H74" s="2"/>
    </row>
    <row r="75" customFormat="false" ht="15" hidden="false" customHeight="false" outlineLevel="0" collapsed="false">
      <c r="A75" s="19" t="s">
        <v>452</v>
      </c>
      <c r="B75" s="16" t="n">
        <f aca="false">(B70+B71)*Assumptions!$B$20+B63*Assumptions!$B$31*Assumptions!$B$35</f>
        <v>145740</v>
      </c>
      <c r="C75" s="16" t="n">
        <f aca="false">(C70+C71)*Assumptions!$B$20+C63*Assumptions!$B$31*Assumptions!$B$35</f>
        <v>222319.44</v>
      </c>
      <c r="D75" s="16" t="n">
        <f aca="false">(D70+D71)*Assumptions!$B$20+D63*Assumptions!$B$31*Assumptions!$B$35</f>
        <v>297965.4195</v>
      </c>
      <c r="E75" s="16" t="n">
        <f aca="false">(E70+E71)*Assumptions!$B$20+E63*Assumptions!$B$31*Assumptions!$B$35</f>
        <v>430876.259919</v>
      </c>
      <c r="F75" s="16" t="n">
        <f aca="false">(F70+F71)*Assumptions!$B$20+F63*Assumptions!$B$31*Assumptions!$B$35</f>
        <v>512641.01167608</v>
      </c>
      <c r="G75" s="2"/>
      <c r="H75" s="2"/>
    </row>
    <row r="76" customFormat="false" ht="15" hidden="false" customHeight="false" outlineLevel="0" collapsed="false">
      <c r="A76" s="17" t="s">
        <v>222</v>
      </c>
      <c r="B76" s="23" t="n">
        <f aca="false">B73-B74-B75</f>
        <v>325567.32</v>
      </c>
      <c r="C76" s="23" t="n">
        <f aca="false">C73-C74-C75</f>
        <v>529208.6328</v>
      </c>
      <c r="D76" s="23" t="n">
        <f aca="false">D73-D74-D75</f>
        <v>722447.50173</v>
      </c>
      <c r="E76" s="23" t="n">
        <f aca="false">E73-E74-E75</f>
        <v>1044481.97999466</v>
      </c>
      <c r="F76" s="23" t="n">
        <f aca="false">F73-F74-F75</f>
        <v>1242974.18073657</v>
      </c>
      <c r="G76" s="2"/>
      <c r="H76" s="2"/>
    </row>
    <row r="77" customFormat="false" ht="15" hidden="false" customHeight="false" outlineLevel="0" collapsed="false">
      <c r="A77" s="19" t="s">
        <v>263</v>
      </c>
      <c r="B77" s="22" t="n">
        <f aca="false">IF(B73=0,0,B76/B73)</f>
        <v>0.451187041760471</v>
      </c>
      <c r="C77" s="22" t="n">
        <f aca="false">IF(C73=0,0,C76/C73)</f>
        <v>0.483191768124326</v>
      </c>
      <c r="D77" s="22" t="n">
        <f aca="false">IF(D73=0,0,D76/D73)</f>
        <v>0.493834027626423</v>
      </c>
      <c r="E77" s="22" t="n">
        <f aca="false">IF(E73=0,0,E76/E73)</f>
        <v>0.494200942870668</v>
      </c>
      <c r="F77" s="22" t="n">
        <f aca="false">IF(F73=0,0,F76/F73)</f>
        <v>0.495846660036828</v>
      </c>
      <c r="G77" s="2"/>
      <c r="H77" s="2"/>
    </row>
    <row r="78" customFormat="false" ht="15" hidden="false" customHeight="false" outlineLevel="0" collapsed="false">
      <c r="A78" s="19" t="s">
        <v>453</v>
      </c>
      <c r="B78" s="16" t="n">
        <f aca="false">(Assumptions!$B$76+Assumptions!$B$78+Assumptions!$B$79+Assumptions!$B$80+Assumptions!$B$81)*12+B58*B65+B66+B73*B64+Assumptions!$B$82*Assumptions!$B$83*12+'Equipment plan'!$H$10*12*MAX(0,B58-1)</f>
        <v>216379.12955448</v>
      </c>
      <c r="C78" s="16" t="n">
        <f aca="false">(Assumptions!$B$76+Assumptions!$B$78+Assumptions!$B$79+Assumptions!$B$80+Assumptions!$B$81)*12+C58*C65+C66+C73*C64+Assumptions!$B$82*Assumptions!$B$83*12+'Equipment plan'!$H$10*12*MAX(0,C58-1)</f>
        <v>289862.06910896</v>
      </c>
      <c r="D78" s="16" t="n">
        <f aca="false">(Assumptions!$B$76+Assumptions!$B$78+Assumptions!$B$79+Assumptions!$B$80+Assumptions!$B$81)*12+D58*D65+D66+D73*D64+Assumptions!$B$82*Assumptions!$B$83*12+'Equipment plan'!$H$10*12*MAX(0,D58-1)</f>
        <v>405797.25603844</v>
      </c>
      <c r="E78" s="16" t="n">
        <f aca="false">(Assumptions!$B$76+Assumptions!$B$78+Assumptions!$B$79+Assumptions!$B$80+Assumptions!$B$81)*12+E58*E65+E66+E73*E64+Assumptions!$B$82*Assumptions!$B$83*12+'Equipment plan'!$H$10*12*MAX(0,E58-1)</f>
        <v>576174.587752151</v>
      </c>
      <c r="F78" s="16" t="n">
        <f aca="false">(Assumptions!$B$76+Assumptions!$B$78+Assumptions!$B$79+Assumptions!$B$80+Assumptions!$B$81)*12+F58*F65+F66+F73*F64+Assumptions!$B$82*Assumptions!$B$83*12+'Equipment plan'!$H$10*12*MAX(0,F58-1)</f>
        <v>629639.492745901</v>
      </c>
      <c r="G78" s="2"/>
      <c r="H78" s="7" t="s">
        <v>454</v>
      </c>
    </row>
    <row r="79" customFormat="false" ht="15" hidden="false" customHeight="false" outlineLevel="0" collapsed="false">
      <c r="A79" s="17" t="s">
        <v>455</v>
      </c>
      <c r="B79" s="23" t="n">
        <f aca="false">B76-B78</f>
        <v>109188.19044552</v>
      </c>
      <c r="C79" s="23" t="n">
        <f aca="false">C76-C78</f>
        <v>239346.56369104</v>
      </c>
      <c r="D79" s="23" t="n">
        <f aca="false">D76-D78</f>
        <v>316650.24569156</v>
      </c>
      <c r="E79" s="23" t="n">
        <f aca="false">E76-E78</f>
        <v>468307.392242509</v>
      </c>
      <c r="F79" s="23" t="n">
        <f aca="false">F76-F78</f>
        <v>613334.68799067</v>
      </c>
      <c r="G79" s="2"/>
      <c r="H79" s="2"/>
    </row>
    <row r="80" customFormat="false" ht="15" hidden="false" customHeight="false" outlineLevel="0" collapsed="false">
      <c r="A80" s="19" t="s">
        <v>456</v>
      </c>
      <c r="B80" s="9" t="n">
        <v>60000</v>
      </c>
      <c r="C80" s="9" t="n">
        <v>60000</v>
      </c>
      <c r="D80" s="9" t="n">
        <v>66000</v>
      </c>
      <c r="E80" s="9" t="n">
        <v>72000</v>
      </c>
      <c r="F80" s="9" t="n">
        <v>72000</v>
      </c>
      <c r="G80" s="2"/>
      <c r="H80" s="7" t="s">
        <v>457</v>
      </c>
    </row>
    <row r="81" customFormat="false" ht="15" hidden="false" customHeight="false" outlineLevel="0" collapsed="false">
      <c r="A81" s="19" t="s">
        <v>458</v>
      </c>
      <c r="B81" s="13" t="n">
        <v>0.1</v>
      </c>
      <c r="C81" s="13" t="n">
        <v>0.1</v>
      </c>
      <c r="D81" s="13" t="n">
        <v>0.1</v>
      </c>
      <c r="E81" s="13" t="n">
        <v>0.1</v>
      </c>
      <c r="F81" s="13" t="n">
        <v>0.1</v>
      </c>
      <c r="G81" s="2"/>
      <c r="H81" s="7" t="s">
        <v>459</v>
      </c>
    </row>
    <row r="82" customFormat="false" ht="15" hidden="false" customHeight="false" outlineLevel="0" collapsed="false">
      <c r="A82" s="19" t="s">
        <v>460</v>
      </c>
      <c r="B82" s="16" t="n">
        <f aca="false">B80+IF(B80=0,0,B81*MAX(0,B79-MAX(0,'5-year plan'!$B$44)))</f>
        <v>70918.819044552</v>
      </c>
      <c r="C82" s="16" t="n">
        <f aca="false">C80+IF(C80=0,0,C81*MAX(0,C79-MAX(0,'5-year plan'!$B$44)))</f>
        <v>83934.656369104</v>
      </c>
      <c r="D82" s="16" t="n">
        <f aca="false">D80+IF(D80=0,0,D81*MAX(0,D79-MAX(0,'5-year plan'!$B$44)))</f>
        <v>97665.024569156</v>
      </c>
      <c r="E82" s="16" t="n">
        <f aca="false">E80+IF(E80=0,0,E81*MAX(0,E79-MAX(0,'5-year plan'!$B$44)))</f>
        <v>118830.739224251</v>
      </c>
      <c r="F82" s="16" t="n">
        <f aca="false">F80+IF(F80=0,0,F81*MAX(0,F79-MAX(0,'5-year plan'!$B$44)))</f>
        <v>133333.468799067</v>
      </c>
      <c r="G82" s="2"/>
      <c r="H82" s="2"/>
    </row>
    <row r="83" customFormat="false" ht="15" hidden="false" customHeight="false" outlineLevel="0" collapsed="false">
      <c r="A83" s="17" t="s">
        <v>461</v>
      </c>
      <c r="B83" s="23" t="n">
        <f aca="false">B79-B82</f>
        <v>38269.3714009678</v>
      </c>
      <c r="C83" s="23" t="n">
        <f aca="false">C79-C82</f>
        <v>155411.907321936</v>
      </c>
      <c r="D83" s="23" t="n">
        <f aca="false">D79-D82</f>
        <v>218985.221122404</v>
      </c>
      <c r="E83" s="23" t="n">
        <f aca="false">E79-E82</f>
        <v>349476.653018258</v>
      </c>
      <c r="F83" s="23" t="n">
        <f aca="false">F79-F82</f>
        <v>480001.219191603</v>
      </c>
      <c r="G83" s="2"/>
      <c r="H83" s="2"/>
    </row>
    <row r="84" customFormat="false" ht="15" hidden="false" customHeight="false" outlineLevel="0" collapsed="false">
      <c r="A84" s="19" t="s">
        <v>462</v>
      </c>
      <c r="B84" s="22" t="n">
        <f aca="false">IF(B73=0,0,B83/B73)</f>
        <v>0.0530355579682735</v>
      </c>
      <c r="C84" s="22" t="n">
        <f aca="false">IF(C73=0,0,C83/C73)</f>
        <v>0.141898203529192</v>
      </c>
      <c r="D84" s="22" t="n">
        <f aca="false">IF(D73=0,0,D83/D73)</f>
        <v>0.149688874940501</v>
      </c>
      <c r="E84" s="22" t="n">
        <f aca="false">IF(E73=0,0,E83/E73)</f>
        <v>0.16535631513125</v>
      </c>
      <c r="F84" s="22" t="n">
        <f aca="false">IF(F73=0,0,F83/F73)</f>
        <v>0.191481854601937</v>
      </c>
      <c r="G84" s="2"/>
      <c r="H84" s="2"/>
    </row>
    <row r="85" customFormat="false" ht="15" hidden="false" customHeight="false" outlineLevel="0" collapsed="false">
      <c r="A85" s="19" t="s">
        <v>463</v>
      </c>
      <c r="B85" s="16" t="n">
        <f aca="false">MAX(0,B58-1)*'Equipment plan'!$G$10</f>
        <v>13850</v>
      </c>
      <c r="C85" s="16" t="n">
        <f aca="false">MAX(0,C58-B58)*'Equipment plan'!$G$10</f>
        <v>13850</v>
      </c>
      <c r="D85" s="16" t="n">
        <f aca="false">MAX(0,D58-C58)*'Equipment plan'!$G$10</f>
        <v>13850</v>
      </c>
      <c r="E85" s="16" t="n">
        <f aca="false">MAX(0,E58-D58)*'Equipment plan'!$G$10</f>
        <v>27700</v>
      </c>
      <c r="F85" s="16" t="n">
        <f aca="false">MAX(0,F58-E58)*'Equipment plan'!$G$10</f>
        <v>13850</v>
      </c>
      <c r="G85" s="2"/>
      <c r="H85" s="2"/>
    </row>
    <row r="86" customFormat="false" ht="15" hidden="false" customHeight="false" outlineLevel="0" collapsed="false">
      <c r="A86" s="17" t="s">
        <v>464</v>
      </c>
      <c r="B86" s="23" t="n">
        <f aca="false">Assumptions!$B$60+B83-B85</f>
        <v>49419.3714009678</v>
      </c>
      <c r="C86" s="23" t="n">
        <f aca="false">B86+C83-C85</f>
        <v>190981.278722904</v>
      </c>
      <c r="D86" s="23" t="n">
        <f aca="false">C86+D83-D85</f>
        <v>396116.499845307</v>
      </c>
      <c r="E86" s="23" t="n">
        <f aca="false">D86+E83-E85</f>
        <v>717893.152863565</v>
      </c>
      <c r="F86" s="23" t="n">
        <f aca="false">E86+F83-F85</f>
        <v>1184044.37205517</v>
      </c>
      <c r="G86" s="2"/>
      <c r="H86" s="7" t="s">
        <v>465</v>
      </c>
    </row>
    <row r="87" customFormat="false" ht="15" hidden="false" customHeight="false" outlineLevel="0" collapsed="false">
      <c r="A87" s="19" t="s">
        <v>466</v>
      </c>
      <c r="B87" s="16" t="n">
        <f aca="false">B83+Assumptions!$B$76*12</f>
        <v>110269.371400968</v>
      </c>
      <c r="C87" s="16" t="n">
        <f aca="false">C83+Assumptions!$B$76*12</f>
        <v>227411.907321936</v>
      </c>
      <c r="D87" s="16" t="n">
        <f aca="false">D83+Assumptions!$B$76*12</f>
        <v>290985.221122404</v>
      </c>
      <c r="E87" s="16" t="n">
        <f aca="false">E83+Assumptions!$B$76*12</f>
        <v>421476.653018258</v>
      </c>
      <c r="F87" s="16" t="n">
        <f aca="false">F83+Assumptions!$B$76*12</f>
        <v>552001.219191603</v>
      </c>
      <c r="G87" s="2"/>
      <c r="H87" s="2"/>
    </row>
    <row r="88" customFormat="false" ht="15" hidden="false" customHeight="false" outlineLevel="0" collapsed="false">
      <c r="A88" s="19" t="s">
        <v>467</v>
      </c>
      <c r="B88" s="16" t="n">
        <f aca="false">MAX(0,B87)*2.46</f>
        <v>271262.653646381</v>
      </c>
      <c r="C88" s="16" t="n">
        <f aca="false">MAX(0,C87)*2.46</f>
        <v>559433.292011962</v>
      </c>
      <c r="D88" s="16" t="n">
        <f aca="false">MAX(0,D87)*2.46</f>
        <v>715823.643961113</v>
      </c>
      <c r="E88" s="16" t="n">
        <f aca="false">MAX(0,E87)*2.46</f>
        <v>1036832.56642491</v>
      </c>
      <c r="F88" s="16" t="n">
        <f aca="false">MAX(0,F87)*2.46</f>
        <v>1357922.99921134</v>
      </c>
      <c r="G88" s="2"/>
      <c r="H88" s="7" t="s">
        <v>468</v>
      </c>
    </row>
    <row r="89" customFormat="false" ht="15" hidden="false" customHeight="false" outlineLevel="0" collapsed="false">
      <c r="A89" s="2"/>
      <c r="B89" s="2"/>
      <c r="C89" s="2"/>
      <c r="D89" s="2"/>
      <c r="E89" s="2"/>
      <c r="F89" s="2"/>
      <c r="G89" s="2"/>
      <c r="H89" s="2"/>
    </row>
    <row r="90" customFormat="false" ht="42" hidden="false" customHeight="true" outlineLevel="0" collapsed="false">
      <c r="A90" s="4" t="s">
        <v>471</v>
      </c>
      <c r="B90" s="5"/>
      <c r="C90" s="5"/>
      <c r="D90" s="5"/>
      <c r="E90" s="5"/>
      <c r="F90" s="5"/>
      <c r="G90" s="2"/>
      <c r="H90" s="40" t="s">
        <v>472</v>
      </c>
    </row>
    <row r="91" customFormat="false" ht="15" hidden="false" customHeight="false" outlineLevel="0" collapsed="false">
      <c r="A91" s="29" t="s">
        <v>434</v>
      </c>
      <c r="B91" s="29" t="s">
        <v>188</v>
      </c>
      <c r="C91" s="29" t="s">
        <v>189</v>
      </c>
      <c r="D91" s="29" t="s">
        <v>342</v>
      </c>
      <c r="E91" s="29" t="s">
        <v>343</v>
      </c>
      <c r="F91" s="29" t="s">
        <v>344</v>
      </c>
      <c r="G91" s="2"/>
      <c r="H91" s="2"/>
    </row>
    <row r="92" customFormat="false" ht="15" hidden="false" customHeight="false" outlineLevel="0" collapsed="false">
      <c r="A92" s="19" t="s">
        <v>349</v>
      </c>
      <c r="B92" s="33" t="n">
        <v>1.5</v>
      </c>
      <c r="C92" s="33" t="n">
        <v>2.5</v>
      </c>
      <c r="D92" s="33" t="n">
        <v>3.5</v>
      </c>
      <c r="E92" s="33" t="n">
        <v>4</v>
      </c>
      <c r="F92" s="33" t="n">
        <v>4.5</v>
      </c>
      <c r="G92" s="2"/>
      <c r="H92" s="7" t="s">
        <v>435</v>
      </c>
    </row>
    <row r="93" customFormat="false" ht="15" hidden="false" customHeight="false" outlineLevel="0" collapsed="false">
      <c r="A93" s="19" t="s">
        <v>436</v>
      </c>
      <c r="B93" s="13" t="n">
        <v>0.85</v>
      </c>
      <c r="C93" s="13" t="n">
        <v>0.95</v>
      </c>
      <c r="D93" s="13" t="n">
        <v>0.95</v>
      </c>
      <c r="E93" s="13" t="n">
        <v>0.95</v>
      </c>
      <c r="F93" s="13" t="n">
        <v>0.95</v>
      </c>
      <c r="G93" s="2"/>
      <c r="H93" s="7" t="s">
        <v>437</v>
      </c>
    </row>
    <row r="94" customFormat="false" ht="15" hidden="false" customHeight="false" outlineLevel="0" collapsed="false">
      <c r="A94" s="19" t="s">
        <v>438</v>
      </c>
      <c r="B94" s="12" t="n">
        <v>48</v>
      </c>
      <c r="C94" s="12" t="n">
        <v>48</v>
      </c>
      <c r="D94" s="12" t="n">
        <v>48</v>
      </c>
      <c r="E94" s="12" t="n">
        <v>48</v>
      </c>
      <c r="F94" s="12" t="n">
        <v>48</v>
      </c>
      <c r="G94" s="2"/>
      <c r="H94" s="7" t="s">
        <v>439</v>
      </c>
    </row>
    <row r="95" customFormat="false" ht="15" hidden="false" customHeight="false" outlineLevel="0" collapsed="false">
      <c r="A95" s="19" t="s">
        <v>299</v>
      </c>
      <c r="B95" s="9" t="n">
        <v>52</v>
      </c>
      <c r="C95" s="16" t="n">
        <f aca="false">B95*(1+$B$96)</f>
        <v>53.56</v>
      </c>
      <c r="D95" s="16" t="n">
        <f aca="false">C95*(1+$B$96)</f>
        <v>55.1668</v>
      </c>
      <c r="E95" s="16" t="n">
        <f aca="false">D95*(1+$B$96)</f>
        <v>56.821804</v>
      </c>
      <c r="F95" s="16" t="n">
        <f aca="false">E95*(1+$B$96)</f>
        <v>58.52645812</v>
      </c>
      <c r="G95" s="2"/>
      <c r="H95" s="2"/>
    </row>
    <row r="96" customFormat="false" ht="15" hidden="false" customHeight="false" outlineLevel="0" collapsed="false">
      <c r="A96" s="19" t="s">
        <v>440</v>
      </c>
      <c r="B96" s="13" t="n">
        <v>0.03</v>
      </c>
      <c r="C96" s="13" t="n">
        <v>0.03</v>
      </c>
      <c r="D96" s="13" t="n">
        <v>0.03</v>
      </c>
      <c r="E96" s="13" t="n">
        <v>0.03</v>
      </c>
      <c r="F96" s="13" t="n">
        <v>0.03</v>
      </c>
      <c r="G96" s="2"/>
      <c r="H96" s="2"/>
    </row>
    <row r="97" customFormat="false" ht="15" hidden="false" customHeight="false" outlineLevel="0" collapsed="false">
      <c r="A97" s="19" t="s">
        <v>441</v>
      </c>
      <c r="B97" s="12" t="n">
        <v>130</v>
      </c>
      <c r="C97" s="12" t="n">
        <v>300</v>
      </c>
      <c r="D97" s="12" t="n">
        <v>500</v>
      </c>
      <c r="E97" s="12" t="n">
        <v>720</v>
      </c>
      <c r="F97" s="12" t="n">
        <v>950</v>
      </c>
      <c r="G97" s="2"/>
      <c r="H97" s="2"/>
    </row>
    <row r="98" customFormat="false" ht="15" hidden="false" customHeight="false" outlineLevel="0" collapsed="false">
      <c r="A98" s="19" t="s">
        <v>442</v>
      </c>
      <c r="B98" s="13" t="n">
        <v>0.045</v>
      </c>
      <c r="C98" s="13" t="n">
        <v>0.045</v>
      </c>
      <c r="D98" s="13" t="n">
        <v>0.045</v>
      </c>
      <c r="E98" s="13" t="n">
        <v>0.045</v>
      </c>
      <c r="F98" s="13" t="n">
        <v>0.045</v>
      </c>
      <c r="G98" s="2"/>
      <c r="H98" s="2"/>
    </row>
    <row r="99" customFormat="false" ht="15" hidden="false" customHeight="false" outlineLevel="0" collapsed="false">
      <c r="A99" s="19" t="s">
        <v>443</v>
      </c>
      <c r="B99" s="9" t="n">
        <v>22000</v>
      </c>
      <c r="C99" s="9" t="n">
        <v>22000</v>
      </c>
      <c r="D99" s="9" t="n">
        <v>22000</v>
      </c>
      <c r="E99" s="9" t="n">
        <v>22000</v>
      </c>
      <c r="F99" s="9" t="n">
        <v>22000</v>
      </c>
      <c r="G99" s="2"/>
      <c r="H99" s="2"/>
    </row>
    <row r="100" customFormat="false" ht="15" hidden="false" customHeight="false" outlineLevel="0" collapsed="false">
      <c r="A100" s="19" t="s">
        <v>444</v>
      </c>
      <c r="B100" s="9" t="n">
        <v>12000</v>
      </c>
      <c r="C100" s="9" t="n">
        <v>54000</v>
      </c>
      <c r="D100" s="9" t="n">
        <v>191000</v>
      </c>
      <c r="E100" s="9" t="n">
        <v>265000</v>
      </c>
      <c r="F100" s="9" t="n">
        <v>290000</v>
      </c>
      <c r="G100" s="2"/>
      <c r="H100" s="7" t="s">
        <v>445</v>
      </c>
    </row>
    <row r="101" customFormat="false" ht="15" hidden="false" customHeight="false" outlineLevel="0" collapsed="false">
      <c r="A101" s="41" t="s">
        <v>446</v>
      </c>
      <c r="B101" s="42"/>
      <c r="C101" s="42"/>
      <c r="D101" s="42"/>
      <c r="E101" s="42"/>
      <c r="F101" s="42"/>
      <c r="G101" s="2"/>
      <c r="H101" s="42"/>
    </row>
    <row r="102" customFormat="false" ht="15" hidden="false" customHeight="false" outlineLevel="0" collapsed="false">
      <c r="A102" s="19" t="s">
        <v>447</v>
      </c>
      <c r="B102" s="20" t="n">
        <f aca="false">B92*Assumptions!$B$8*12</f>
        <v>378</v>
      </c>
      <c r="C102" s="20" t="n">
        <f aca="false">C92*Assumptions!$B$8*12</f>
        <v>630</v>
      </c>
      <c r="D102" s="20" t="n">
        <f aca="false">D92*Assumptions!$B$8*12</f>
        <v>882</v>
      </c>
      <c r="E102" s="20" t="n">
        <f aca="false">E92*Assumptions!$B$8*12</f>
        <v>1008</v>
      </c>
      <c r="F102" s="20" t="n">
        <f aca="false">F92*Assumptions!$B$8*12</f>
        <v>1134</v>
      </c>
      <c r="G102" s="2"/>
      <c r="H102" s="2"/>
    </row>
    <row r="103" customFormat="false" ht="15" hidden="false" customHeight="false" outlineLevel="0" collapsed="false">
      <c r="A103" s="17" t="s">
        <v>448</v>
      </c>
      <c r="B103" s="21" t="n">
        <f aca="false">B102*B93*B94</f>
        <v>15422.4</v>
      </c>
      <c r="C103" s="21" t="n">
        <f aca="false">C102*C93*C94</f>
        <v>28728</v>
      </c>
      <c r="D103" s="21" t="n">
        <f aca="false">D102*D93*D94</f>
        <v>40219.2</v>
      </c>
      <c r="E103" s="21" t="n">
        <f aca="false">E102*E93*E94</f>
        <v>45964.8</v>
      </c>
      <c r="F103" s="21" t="n">
        <f aca="false">F102*F93*F94</f>
        <v>51710.4</v>
      </c>
      <c r="G103" s="2"/>
      <c r="H103" s="2"/>
    </row>
    <row r="104" customFormat="false" ht="15" hidden="false" customHeight="false" outlineLevel="0" collapsed="false">
      <c r="A104" s="19" t="s">
        <v>449</v>
      </c>
      <c r="B104" s="16" t="n">
        <f aca="false">B103*B95</f>
        <v>801964.8</v>
      </c>
      <c r="C104" s="16" t="n">
        <f aca="false">C103*C95</f>
        <v>1538671.68</v>
      </c>
      <c r="D104" s="16" t="n">
        <f aca="false">D103*D95</f>
        <v>2218764.56256</v>
      </c>
      <c r="E104" s="16" t="n">
        <f aca="false">E103*E95</f>
        <v>2611802.8564992</v>
      </c>
      <c r="F104" s="16" t="n">
        <f aca="false">F103*F95</f>
        <v>3026426.55996845</v>
      </c>
      <c r="G104" s="2"/>
      <c r="H104" s="2"/>
    </row>
    <row r="105" customFormat="false" ht="15" hidden="false" customHeight="false" outlineLevel="0" collapsed="false">
      <c r="A105" s="19" t="s">
        <v>450</v>
      </c>
      <c r="B105" s="16" t="n">
        <f aca="false">B102*(1-B93)*Assumptions!$B$10</f>
        <v>56700</v>
      </c>
      <c r="C105" s="16" t="n">
        <f aca="false">C102*(1-C93)*Assumptions!$B$10</f>
        <v>31500</v>
      </c>
      <c r="D105" s="16" t="n">
        <f aca="false">D102*(1-D93)*Assumptions!$B$10</f>
        <v>44100</v>
      </c>
      <c r="E105" s="16" t="n">
        <f aca="false">E102*(1-E93)*Assumptions!$B$10</f>
        <v>50400.0000000001</v>
      </c>
      <c r="F105" s="16" t="n">
        <f aca="false">F102*(1-F93)*Assumptions!$B$10</f>
        <v>56700.0000000001</v>
      </c>
      <c r="G105" s="2"/>
      <c r="H105" s="2"/>
    </row>
    <row r="106" customFormat="false" ht="15" hidden="false" customHeight="false" outlineLevel="0" collapsed="false">
      <c r="A106" s="19" t="s">
        <v>359</v>
      </c>
      <c r="B106" s="16" t="n">
        <f aca="false">B97*Assumptions!$B$28*Assumptions!$B$31</f>
        <v>24277.5</v>
      </c>
      <c r="C106" s="16" t="n">
        <f aca="false">C97*Assumptions!$B$28*Assumptions!$B$31</f>
        <v>56025</v>
      </c>
      <c r="D106" s="16" t="n">
        <f aca="false">D97*Assumptions!$B$28*Assumptions!$B$31</f>
        <v>93375</v>
      </c>
      <c r="E106" s="16" t="n">
        <f aca="false">E97*Assumptions!$B$28*Assumptions!$B$31</f>
        <v>134460</v>
      </c>
      <c r="F106" s="16" t="n">
        <f aca="false">F97*Assumptions!$B$28*Assumptions!$B$31</f>
        <v>177412.5</v>
      </c>
      <c r="G106" s="2"/>
      <c r="H106" s="2"/>
    </row>
    <row r="107" customFormat="false" ht="15" hidden="false" customHeight="false" outlineLevel="0" collapsed="false">
      <c r="A107" s="17" t="s">
        <v>215</v>
      </c>
      <c r="B107" s="23" t="n">
        <f aca="false">B104+B105+B106</f>
        <v>882942.3</v>
      </c>
      <c r="C107" s="23" t="n">
        <f aca="false">C104+C105+C106</f>
        <v>1626196.68</v>
      </c>
      <c r="D107" s="23" t="n">
        <f aca="false">D104+D105+D106</f>
        <v>2356239.56256</v>
      </c>
      <c r="E107" s="23" t="n">
        <f aca="false">E104+E105+E106</f>
        <v>2796662.8564992</v>
      </c>
      <c r="F107" s="23" t="n">
        <f aca="false">F104+F105+F106</f>
        <v>3260539.05996845</v>
      </c>
      <c r="G107" s="2"/>
      <c r="H107" s="2"/>
    </row>
    <row r="108" customFormat="false" ht="15" hidden="false" customHeight="false" outlineLevel="0" collapsed="false">
      <c r="A108" s="19" t="s">
        <v>451</v>
      </c>
      <c r="B108" s="16" t="n">
        <f aca="false">B92*(Assumptions!$B$24*Assumptions!$B$25*Assumptions!$B$21+Assumptions!$B$25*Assumptions!$B$22)*(1+Assumptions!$B$23)*12*1.03^MAX(0,COLUMN(B1)-2)</f>
        <v>250272.18</v>
      </c>
      <c r="C108" s="16" t="n">
        <f aca="false">C92*(Assumptions!$B$24*Assumptions!$B$25*Assumptions!$B$21+Assumptions!$B$25*Assumptions!$B$22)*(1+Assumptions!$B$23)*12*1.03^MAX(0,COLUMN(C1)-2)</f>
        <v>429633.909</v>
      </c>
      <c r="D108" s="16" t="n">
        <f aca="false">D92*(Assumptions!$B$24*Assumptions!$B$25*Assumptions!$B$21+Assumptions!$B$25*Assumptions!$B$22)*(1+Assumptions!$B$23)*12*1.03^MAX(0,COLUMN(D1)-2)</f>
        <v>619532.096778</v>
      </c>
      <c r="E108" s="16" t="n">
        <f aca="false">E92*(Assumptions!$B$24*Assumptions!$B$25*Assumptions!$B$21+Assumptions!$B$25*Assumptions!$B$22)*(1+Assumptions!$B$23)*12*1.03^MAX(0,COLUMN(E1)-2)</f>
        <v>729277.78249296</v>
      </c>
      <c r="F108" s="16" t="n">
        <f aca="false">F92*(Assumptions!$B$24*Assumptions!$B$25*Assumptions!$B$21+Assumptions!$B$25*Assumptions!$B$22)*(1+Assumptions!$B$23)*12*1.03^MAX(0,COLUMN(F1)-2)</f>
        <v>845050.630463718</v>
      </c>
      <c r="G108" s="2"/>
      <c r="H108" s="2"/>
    </row>
    <row r="109" customFormat="false" ht="15" hidden="false" customHeight="false" outlineLevel="0" collapsed="false">
      <c r="A109" s="19" t="s">
        <v>452</v>
      </c>
      <c r="B109" s="16" t="n">
        <f aca="false">(B104+B105)*Assumptions!$B$20+B97*Assumptions!$B$31*Assumptions!$B$35</f>
        <v>178557.96</v>
      </c>
      <c r="C109" s="16" t="n">
        <f aca="false">(C104+C105)*Assumptions!$B$20+C97*Assumptions!$B$31*Assumptions!$B$35</f>
        <v>329784.336</v>
      </c>
      <c r="D109" s="16" t="n">
        <f aca="false">(D104+D105)*Assumptions!$B$20+D97*Assumptions!$B$31*Assumptions!$B$35</f>
        <v>478822.912512</v>
      </c>
      <c r="E109" s="16" t="n">
        <f aca="false">(E104+E105)*Assumptions!$B$20+E97*Assumptions!$B$31*Assumptions!$B$35</f>
        <v>570240.57129984</v>
      </c>
      <c r="F109" s="16" t="n">
        <f aca="false">(F104+F105)*Assumptions!$B$20+F97*Assumptions!$B$31*Assumptions!$B$35</f>
        <v>666500.31199369</v>
      </c>
      <c r="G109" s="2"/>
      <c r="H109" s="2"/>
    </row>
    <row r="110" customFormat="false" ht="15" hidden="false" customHeight="false" outlineLevel="0" collapsed="false">
      <c r="A110" s="17" t="s">
        <v>222</v>
      </c>
      <c r="B110" s="23" t="n">
        <f aca="false">B107-B108-B109</f>
        <v>454112.16</v>
      </c>
      <c r="C110" s="23" t="n">
        <f aca="false">C107-C108-C109</f>
        <v>866778.435</v>
      </c>
      <c r="D110" s="23" t="n">
        <f aca="false">D107-D108-D109</f>
        <v>1257884.55327</v>
      </c>
      <c r="E110" s="23" t="n">
        <f aca="false">E107-E108-E109</f>
        <v>1497144.5027064</v>
      </c>
      <c r="F110" s="23" t="n">
        <f aca="false">F107-F108-F109</f>
        <v>1748988.11751104</v>
      </c>
      <c r="G110" s="2"/>
      <c r="H110" s="2"/>
    </row>
    <row r="111" customFormat="false" ht="15" hidden="false" customHeight="false" outlineLevel="0" collapsed="false">
      <c r="A111" s="19" t="s">
        <v>263</v>
      </c>
      <c r="B111" s="22" t="n">
        <f aca="false">IF(B107=0,0,B110/B107)</f>
        <v>0.514316915159688</v>
      </c>
      <c r="C111" s="22" t="n">
        <f aca="false">IF(C107=0,0,C110/C107)</f>
        <v>0.533009595739674</v>
      </c>
      <c r="D111" s="22" t="n">
        <f aca="false">IF(D107=0,0,D110/D107)</f>
        <v>0.533852573081889</v>
      </c>
      <c r="E111" s="22" t="n">
        <f aca="false">IF(E107=0,0,E110/E107)</f>
        <v>0.535332494307337</v>
      </c>
      <c r="F111" s="22" t="n">
        <f aca="false">IF(F107=0,0,F110/F107)</f>
        <v>0.536410723915071</v>
      </c>
      <c r="G111" s="2"/>
      <c r="H111" s="2"/>
    </row>
    <row r="112" customFormat="false" ht="15" hidden="false" customHeight="false" outlineLevel="0" collapsed="false">
      <c r="A112" s="19" t="s">
        <v>453</v>
      </c>
      <c r="B112" s="16" t="n">
        <f aca="false">(Assumptions!$B$76+Assumptions!$B$78+Assumptions!$B$79+Assumptions!$B$80+Assumptions!$B$81)*12+B92*B99+B100+B107*B98+Assumptions!$B$82*Assumptions!$B$83*12+'Equipment plan'!$H$10*12*MAX(0,B92-1)</f>
        <v>232032.55805448</v>
      </c>
      <c r="C112" s="16" t="n">
        <f aca="false">(Assumptions!$B$76+Assumptions!$B$78+Assumptions!$B$79+Assumptions!$B$80+Assumptions!$B$81)*12+C92*C99+C100+C107*C98+Assumptions!$B$82*Assumptions!$B$83*12+'Equipment plan'!$H$10*12*MAX(0,C92-1)</f>
        <v>357079.31426344</v>
      </c>
      <c r="D112" s="16" t="n">
        <f aca="false">(Assumptions!$B$76+Assumptions!$B$78+Assumptions!$B$79+Assumptions!$B$80+Assumptions!$B$81)*12+D92*D99+D100+D107*D98+Assumptions!$B$82*Assumptions!$B$83*12+'Equipment plan'!$H$10*12*MAX(0,D92-1)</f>
        <v>576531.553087601</v>
      </c>
      <c r="E112" s="16" t="n">
        <f aca="false">(Assumptions!$B$76+Assumptions!$B$78+Assumptions!$B$79+Assumptions!$B$80+Assumptions!$B$81)*12+E92*E99+E100+E107*E98+Assumptions!$B$82*Assumptions!$B$83*12+'Equipment plan'!$H$10*12*MAX(0,E92-1)</f>
        <v>695150.755869345</v>
      </c>
      <c r="F112" s="16" t="n">
        <f aca="false">(Assumptions!$B$76+Assumptions!$B$78+Assumptions!$B$79+Assumptions!$B$80+Assumptions!$B$81)*12+F92*F99+F100+F107*F98+Assumptions!$B$82*Assumptions!$B$83*12+'Equipment plan'!$H$10*12*MAX(0,F92-1)</f>
        <v>765825.339579941</v>
      </c>
      <c r="G112" s="2"/>
      <c r="H112" s="7" t="s">
        <v>454</v>
      </c>
    </row>
    <row r="113" customFormat="false" ht="15" hidden="false" customHeight="false" outlineLevel="0" collapsed="false">
      <c r="A113" s="17" t="s">
        <v>455</v>
      </c>
      <c r="B113" s="23" t="n">
        <f aca="false">B110-B112</f>
        <v>222079.60194552</v>
      </c>
      <c r="C113" s="23" t="n">
        <f aca="false">C110-C112</f>
        <v>509699.12073656</v>
      </c>
      <c r="D113" s="23" t="n">
        <f aca="false">D110-D112</f>
        <v>681353.000182399</v>
      </c>
      <c r="E113" s="23" t="n">
        <f aca="false">E110-E112</f>
        <v>801993.746837055</v>
      </c>
      <c r="F113" s="23" t="n">
        <f aca="false">F110-F112</f>
        <v>983162.777931099</v>
      </c>
      <c r="G113" s="2"/>
      <c r="H113" s="2"/>
    </row>
    <row r="114" customFormat="false" ht="15" hidden="false" customHeight="false" outlineLevel="0" collapsed="false">
      <c r="A114" s="19" t="s">
        <v>456</v>
      </c>
      <c r="B114" s="9" t="n">
        <v>60000</v>
      </c>
      <c r="C114" s="9" t="n">
        <v>60000</v>
      </c>
      <c r="D114" s="9" t="n">
        <v>66000</v>
      </c>
      <c r="E114" s="9" t="n">
        <v>72000</v>
      </c>
      <c r="F114" s="9" t="n">
        <v>72000</v>
      </c>
      <c r="G114" s="2"/>
      <c r="H114" s="7" t="s">
        <v>457</v>
      </c>
    </row>
    <row r="115" customFormat="false" ht="15" hidden="false" customHeight="false" outlineLevel="0" collapsed="false">
      <c r="A115" s="19" t="s">
        <v>458</v>
      </c>
      <c r="B115" s="13" t="n">
        <v>0.1</v>
      </c>
      <c r="C115" s="13" t="n">
        <v>0.1</v>
      </c>
      <c r="D115" s="13" t="n">
        <v>0.1</v>
      </c>
      <c r="E115" s="13" t="n">
        <v>0.1</v>
      </c>
      <c r="F115" s="13" t="n">
        <v>0.1</v>
      </c>
      <c r="G115" s="2"/>
      <c r="H115" s="7" t="s">
        <v>459</v>
      </c>
    </row>
    <row r="116" customFormat="false" ht="15" hidden="false" customHeight="false" outlineLevel="0" collapsed="false">
      <c r="A116" s="19" t="s">
        <v>460</v>
      </c>
      <c r="B116" s="16" t="n">
        <f aca="false">B114+IF(B114=0,0,B115*MAX(0,B113-MAX(0,'5-year plan'!$B$44)))</f>
        <v>82207.960194552</v>
      </c>
      <c r="C116" s="16" t="n">
        <f aca="false">C114+IF(C114=0,0,C115*MAX(0,C113-MAX(0,'5-year plan'!$B$44)))</f>
        <v>110969.912073656</v>
      </c>
      <c r="D116" s="16" t="n">
        <f aca="false">D114+IF(D114=0,0,D115*MAX(0,D113-MAX(0,'5-year plan'!$B$44)))</f>
        <v>134135.30001824</v>
      </c>
      <c r="E116" s="16" t="n">
        <f aca="false">E114+IF(E114=0,0,E115*MAX(0,E113-MAX(0,'5-year plan'!$B$44)))</f>
        <v>152199.374683706</v>
      </c>
      <c r="F116" s="16" t="n">
        <f aca="false">F114+IF(F114=0,0,F115*MAX(0,F113-MAX(0,'5-year plan'!$B$44)))</f>
        <v>170316.27779311</v>
      </c>
      <c r="G116" s="2"/>
      <c r="H116" s="2"/>
    </row>
    <row r="117" customFormat="false" ht="15" hidden="false" customHeight="false" outlineLevel="0" collapsed="false">
      <c r="A117" s="17" t="s">
        <v>461</v>
      </c>
      <c r="B117" s="23" t="n">
        <f aca="false">B113-B116</f>
        <v>139871.641750968</v>
      </c>
      <c r="C117" s="23" t="n">
        <f aca="false">C113-C116</f>
        <v>398729.208662904</v>
      </c>
      <c r="D117" s="23" t="n">
        <f aca="false">D113-D116</f>
        <v>547217.700164159</v>
      </c>
      <c r="E117" s="23" t="n">
        <f aca="false">E113-E116</f>
        <v>649794.372153349</v>
      </c>
      <c r="F117" s="23" t="n">
        <f aca="false">F113-F116</f>
        <v>812846.500137989</v>
      </c>
      <c r="G117" s="2"/>
      <c r="H117" s="2"/>
    </row>
    <row r="118" customFormat="false" ht="15" hidden="false" customHeight="false" outlineLevel="0" collapsed="false">
      <c r="A118" s="19" t="s">
        <v>462</v>
      </c>
      <c r="B118" s="22" t="n">
        <f aca="false">IF(B107=0,0,B117/B107)</f>
        <v>0.158415382014168</v>
      </c>
      <c r="C118" s="22" t="n">
        <f aca="false">IF(C107=0,0,C117/C107)</f>
        <v>0.245191257347115</v>
      </c>
      <c r="D118" s="22" t="n">
        <f aca="false">IF(D107=0,0,D117/D107)</f>
        <v>0.23224196251489</v>
      </c>
      <c r="E118" s="22" t="n">
        <f aca="false">IF(E107=0,0,E117/E107)</f>
        <v>0.232346337579907</v>
      </c>
      <c r="F118" s="22" t="n">
        <f aca="false">IF(F107=0,0,F117/F107)</f>
        <v>0.24929819431326</v>
      </c>
      <c r="G118" s="2"/>
      <c r="H118" s="2"/>
    </row>
    <row r="119" customFormat="false" ht="15" hidden="false" customHeight="false" outlineLevel="0" collapsed="false">
      <c r="A119" s="19" t="s">
        <v>463</v>
      </c>
      <c r="B119" s="16" t="n">
        <f aca="false">MAX(0,B92-1)*'Equipment plan'!$G$10</f>
        <v>13850</v>
      </c>
      <c r="C119" s="16" t="n">
        <f aca="false">MAX(0,C92-B92)*'Equipment plan'!$G$10</f>
        <v>27700</v>
      </c>
      <c r="D119" s="16" t="n">
        <f aca="false">MAX(0,D92-C92)*'Equipment plan'!$G$10</f>
        <v>27700</v>
      </c>
      <c r="E119" s="16" t="n">
        <f aca="false">MAX(0,E92-D92)*'Equipment plan'!$G$10</f>
        <v>13850</v>
      </c>
      <c r="F119" s="16" t="n">
        <f aca="false">MAX(0,F92-E92)*'Equipment plan'!$G$10</f>
        <v>13850</v>
      </c>
      <c r="G119" s="2"/>
      <c r="H119" s="2"/>
    </row>
    <row r="120" customFormat="false" ht="15" hidden="false" customHeight="false" outlineLevel="0" collapsed="false">
      <c r="A120" s="17" t="s">
        <v>464</v>
      </c>
      <c r="B120" s="23" t="n">
        <f aca="false">Assumptions!$B$60+B117-B119</f>
        <v>151021.641750968</v>
      </c>
      <c r="C120" s="23" t="n">
        <f aca="false">B120+C117-C119</f>
        <v>522050.850413871</v>
      </c>
      <c r="D120" s="23" t="n">
        <f aca="false">C120+D117-D119</f>
        <v>1041568.55057803</v>
      </c>
      <c r="E120" s="23" t="n">
        <f aca="false">D120+E117-E119</f>
        <v>1677512.92273138</v>
      </c>
      <c r="F120" s="23" t="n">
        <f aca="false">E120+F117-F119</f>
        <v>2476509.42286937</v>
      </c>
      <c r="G120" s="2"/>
      <c r="H120" s="7" t="s">
        <v>465</v>
      </c>
    </row>
    <row r="121" customFormat="false" ht="15" hidden="false" customHeight="false" outlineLevel="0" collapsed="false">
      <c r="A121" s="19" t="s">
        <v>466</v>
      </c>
      <c r="B121" s="16" t="n">
        <f aca="false">B117+Assumptions!$B$76*12</f>
        <v>211871.641750968</v>
      </c>
      <c r="C121" s="16" t="n">
        <f aca="false">C117+Assumptions!$B$76*12</f>
        <v>470729.208662904</v>
      </c>
      <c r="D121" s="16" t="n">
        <f aca="false">D117+Assumptions!$B$76*12</f>
        <v>619217.700164159</v>
      </c>
      <c r="E121" s="16" t="n">
        <f aca="false">E117+Assumptions!$B$76*12</f>
        <v>721794.372153349</v>
      </c>
      <c r="F121" s="16" t="n">
        <f aca="false">F117+Assumptions!$B$76*12</f>
        <v>884846.500137989</v>
      </c>
      <c r="G121" s="2"/>
      <c r="H121" s="2"/>
    </row>
    <row r="122" customFormat="false" ht="15" hidden="false" customHeight="false" outlineLevel="0" collapsed="false">
      <c r="A122" s="19" t="s">
        <v>467</v>
      </c>
      <c r="B122" s="16" t="n">
        <f aca="false">MAX(0,B121)*2.46</f>
        <v>521204.238707381</v>
      </c>
      <c r="C122" s="16" t="n">
        <f aca="false">MAX(0,C121)*2.46</f>
        <v>1157993.85331074</v>
      </c>
      <c r="D122" s="16" t="n">
        <f aca="false">MAX(0,D121)*2.46</f>
        <v>1523275.54240383</v>
      </c>
      <c r="E122" s="16" t="n">
        <f aca="false">MAX(0,E121)*2.46</f>
        <v>1775614.15549724</v>
      </c>
      <c r="F122" s="16" t="n">
        <f aca="false">MAX(0,F121)*2.46</f>
        <v>2176722.39033945</v>
      </c>
      <c r="G122" s="2"/>
      <c r="H122" s="7" t="s">
        <v>468</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54"/>
  </cols>
  <sheetData>
    <row r="1" customFormat="false" ht="17.35" hidden="false" customHeight="false" outlineLevel="0" collapsed="false">
      <c r="A1" s="1" t="s">
        <v>473</v>
      </c>
      <c r="B1" s="2"/>
      <c r="C1" s="2"/>
      <c r="D1" s="2"/>
      <c r="E1" s="2"/>
      <c r="F1" s="2"/>
      <c r="G1" s="2"/>
      <c r="H1" s="2"/>
      <c r="I1" s="2"/>
      <c r="J1" s="2"/>
      <c r="K1" s="2"/>
      <c r="L1" s="2"/>
      <c r="M1" s="2"/>
      <c r="N1" s="2"/>
      <c r="O1" s="2"/>
      <c r="P1" s="2"/>
      <c r="Q1" s="2"/>
      <c r="R1" s="2"/>
    </row>
    <row r="2" customFormat="false" ht="15" hidden="false" customHeight="false" outlineLevel="0" collapsed="false">
      <c r="A2" s="3" t="s">
        <v>474</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475</v>
      </c>
      <c r="B4" s="5"/>
      <c r="C4" s="5"/>
      <c r="D4" s="5"/>
      <c r="E4" s="5"/>
      <c r="F4" s="5"/>
      <c r="G4" s="5"/>
      <c r="H4" s="5"/>
      <c r="I4" s="5"/>
      <c r="J4" s="5"/>
      <c r="K4" s="5"/>
      <c r="L4" s="5"/>
      <c r="M4" s="5"/>
      <c r="N4" s="5"/>
      <c r="O4" s="5"/>
      <c r="P4" s="5"/>
      <c r="Q4" s="2"/>
      <c r="R4" s="5"/>
    </row>
    <row r="5" customFormat="false" ht="15" hidden="false" customHeight="false" outlineLevel="0" collapsed="false">
      <c r="A5" s="7" t="s">
        <v>476</v>
      </c>
      <c r="B5" s="2"/>
      <c r="C5" s="2"/>
      <c r="D5" s="2"/>
      <c r="E5" s="7" t="s">
        <v>477</v>
      </c>
      <c r="F5" s="2"/>
      <c r="G5" s="2"/>
      <c r="H5" s="2"/>
      <c r="I5" s="7" t="s">
        <v>478</v>
      </c>
      <c r="J5" s="2"/>
      <c r="K5" s="2"/>
      <c r="L5" s="2"/>
      <c r="M5" s="7" t="s">
        <v>479</v>
      </c>
      <c r="N5" s="2"/>
      <c r="O5" s="2"/>
      <c r="P5" s="2"/>
      <c r="Q5" s="2"/>
      <c r="R5" s="2"/>
    </row>
    <row r="6" customFormat="false" ht="15" hidden="false" customHeight="false" outlineLevel="0" collapsed="false">
      <c r="A6" s="43" t="n">
        <f aca="false">Assumptions!$B$37</f>
        <v>10</v>
      </c>
      <c r="B6" s="2"/>
      <c r="C6" s="2"/>
      <c r="D6" s="2"/>
      <c r="E6" s="44" t="n">
        <f aca="false">INDEX(B17:P17,Assumptions!$B$37)</f>
        <v>6.5</v>
      </c>
      <c r="F6" s="2"/>
      <c r="G6" s="2"/>
      <c r="H6" s="2"/>
      <c r="I6" s="43" t="n">
        <f aca="false">INDEX(B36:P36,Assumptions!$B$37)</f>
        <v>32</v>
      </c>
      <c r="J6" s="2"/>
      <c r="K6" s="2"/>
      <c r="L6" s="2"/>
      <c r="M6" s="45" t="n">
        <f aca="false">INDEX(B38:P38,Assumptions!$B$37)</f>
        <v>4779961.21117206</v>
      </c>
      <c r="N6" s="2"/>
      <c r="O6" s="2"/>
      <c r="P6" s="2"/>
      <c r="Q6" s="2"/>
      <c r="R6" s="2"/>
    </row>
    <row r="7" customFormat="false" ht="15" hidden="false" customHeight="false" outlineLevel="0" collapsed="false">
      <c r="A7" s="7" t="s">
        <v>480</v>
      </c>
      <c r="B7" s="2"/>
      <c r="C7" s="2"/>
      <c r="D7" s="2"/>
      <c r="E7" s="7" t="s">
        <v>481</v>
      </c>
      <c r="F7" s="2"/>
      <c r="G7" s="2"/>
      <c r="H7" s="2"/>
      <c r="I7" s="7" t="s">
        <v>482</v>
      </c>
      <c r="J7" s="2"/>
      <c r="K7" s="2"/>
      <c r="L7" s="2"/>
      <c r="M7" s="7" t="s">
        <v>483</v>
      </c>
      <c r="N7" s="2"/>
      <c r="O7" s="2"/>
      <c r="P7" s="2"/>
      <c r="Q7" s="2"/>
      <c r="R7" s="2"/>
    </row>
    <row r="8" customFormat="false" ht="15" hidden="false" customHeight="false" outlineLevel="0" collapsed="false">
      <c r="A8" s="43" t="n">
        <f aca="false">INDEX(B33:P33,Assumptions!$B$37)</f>
        <v>1944.19225419726</v>
      </c>
      <c r="B8" s="2"/>
      <c r="C8" s="2"/>
      <c r="D8" s="2"/>
      <c r="E8" s="45" t="n">
        <f aca="false">INDEX(B45:P45,Assumptions!$B$37)</f>
        <v>1170543.16713639</v>
      </c>
      <c r="F8" s="2"/>
      <c r="G8" s="2"/>
      <c r="H8" s="2"/>
      <c r="I8" s="45" t="n">
        <f aca="false">INDEX(B53:P53,Assumptions!$B$37)</f>
        <v>2167943.33789319</v>
      </c>
      <c r="J8" s="2"/>
      <c r="K8" s="2"/>
      <c r="L8" s="2"/>
      <c r="M8" s="45" t="n">
        <f aca="false">INDEX(B49:P49,Assumptions!$B$37)</f>
        <v>362941.498692156</v>
      </c>
      <c r="N8" s="2"/>
      <c r="O8" s="2"/>
      <c r="P8" s="2"/>
      <c r="Q8" s="2"/>
      <c r="R8" s="2"/>
    </row>
    <row r="9" customFormat="false" ht="15" hidden="false" customHeight="false" outlineLevel="0" collapsed="false">
      <c r="A9" s="7" t="s">
        <v>484</v>
      </c>
      <c r="B9" s="2"/>
      <c r="C9" s="2"/>
      <c r="D9" s="2"/>
      <c r="E9" s="7" t="s">
        <v>485</v>
      </c>
      <c r="F9" s="2"/>
      <c r="G9" s="2"/>
      <c r="H9" s="2"/>
      <c r="I9" s="7" t="s">
        <v>486</v>
      </c>
      <c r="J9" s="2"/>
      <c r="K9" s="2"/>
      <c r="L9" s="2"/>
      <c r="M9" s="7" t="s">
        <v>487</v>
      </c>
      <c r="N9" s="2"/>
      <c r="O9" s="2"/>
      <c r="P9" s="2"/>
      <c r="Q9" s="2"/>
      <c r="R9" s="2"/>
    </row>
    <row r="10" customFormat="false" ht="15" hidden="false" customHeight="false" outlineLevel="0" collapsed="false">
      <c r="A10" s="45" t="n">
        <f aca="false">INDEX(B52:P52,Assumptions!$B$37)</f>
        <v>3442940.00683979</v>
      </c>
      <c r="B10" s="2"/>
      <c r="C10" s="2"/>
      <c r="D10" s="2"/>
      <c r="E10" s="45" t="n">
        <f aca="false">INDEX(B56:P56,Assumptions!$B$37)</f>
        <v>5336676.09449134</v>
      </c>
      <c r="F10" s="2"/>
      <c r="G10" s="2"/>
      <c r="H10" s="2"/>
      <c r="I10" s="45" t="n">
        <f aca="false">INDEX(B57:P57,Assumptions!$B$37)</f>
        <v>3839631.31704085</v>
      </c>
      <c r="J10" s="2"/>
      <c r="K10" s="2"/>
      <c r="L10" s="2"/>
      <c r="M10" s="45" t="n">
        <f aca="false">INDEX(B58:P58,Assumptions!$B$37)</f>
        <v>1497044.77745049</v>
      </c>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39" t="s">
        <v>488</v>
      </c>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489</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345</v>
      </c>
    </row>
    <row r="16" customFormat="false" ht="15" hidden="false" customHeight="false" outlineLevel="0" collapsed="false">
      <c r="A16" s="4" t="s">
        <v>490</v>
      </c>
      <c r="B16" s="5"/>
      <c r="C16" s="5"/>
      <c r="D16" s="5"/>
      <c r="E16" s="5"/>
      <c r="F16" s="5"/>
      <c r="G16" s="5"/>
      <c r="H16" s="5"/>
      <c r="I16" s="5"/>
      <c r="J16" s="5"/>
      <c r="K16" s="5"/>
      <c r="L16" s="5"/>
      <c r="M16" s="5"/>
      <c r="N16" s="5"/>
      <c r="O16" s="5"/>
      <c r="P16" s="5"/>
      <c r="Q16" s="2"/>
      <c r="R16" s="5"/>
    </row>
    <row r="17" customFormat="false" ht="15" hidden="false" customHeight="false" outlineLevel="0" collapsed="false">
      <c r="A17" s="19" t="s">
        <v>477</v>
      </c>
      <c r="B17" s="15" t="n">
        <f aca="false">'5-year plan'!C7</f>
        <v>1.5</v>
      </c>
      <c r="C17" s="15" t="n">
        <f aca="false">'5-year plan'!D7</f>
        <v>2</v>
      </c>
      <c r="D17" s="15" t="n">
        <f aca="false">'5-year plan'!E7</f>
        <v>2.5</v>
      </c>
      <c r="E17" s="15" t="n">
        <f aca="false">'5-year plan'!F7</f>
        <v>3.5</v>
      </c>
      <c r="F17" s="15" t="n">
        <f aca="false">'5-year plan'!G7</f>
        <v>4</v>
      </c>
      <c r="G17" s="15" t="n">
        <f aca="false">MIN(Assumptions!$B$39,F17+Assumptions!$B$38)</f>
        <v>4.5</v>
      </c>
      <c r="H17" s="15" t="n">
        <f aca="false">MIN(Assumptions!$B$39,G17+Assumptions!$B$38)</f>
        <v>5</v>
      </c>
      <c r="I17" s="15" t="n">
        <f aca="false">MIN(Assumptions!$B$39,H17+Assumptions!$B$38)</f>
        <v>5.5</v>
      </c>
      <c r="J17" s="15" t="n">
        <f aca="false">MIN(Assumptions!$B$39,I17+Assumptions!$B$38)</f>
        <v>6</v>
      </c>
      <c r="K17" s="15" t="n">
        <f aca="false">MIN(Assumptions!$B$39,J17+Assumptions!$B$38)</f>
        <v>6.5</v>
      </c>
      <c r="L17" s="15" t="n">
        <f aca="false">MIN(Assumptions!$B$39,K17+Assumptions!$B$38)</f>
        <v>7</v>
      </c>
      <c r="M17" s="15" t="n">
        <f aca="false">MIN(Assumptions!$B$39,L17+Assumptions!$B$38)</f>
        <v>7.5</v>
      </c>
      <c r="N17" s="15" t="n">
        <f aca="false">MIN(Assumptions!$B$39,M17+Assumptions!$B$38)</f>
        <v>8</v>
      </c>
      <c r="O17" s="15" t="n">
        <f aca="false">MIN(Assumptions!$B$39,N17+Assumptions!$B$38)</f>
        <v>8</v>
      </c>
      <c r="P17" s="15" t="n">
        <f aca="false">MIN(Assumptions!$B$39,O17+Assumptions!$B$38)</f>
        <v>8</v>
      </c>
      <c r="Q17" s="2"/>
      <c r="R17" s="7" t="s">
        <v>491</v>
      </c>
    </row>
    <row r="18" customFormat="false" ht="15" hidden="false" customHeight="false" outlineLevel="0" collapsed="false">
      <c r="A18" s="19" t="s">
        <v>438</v>
      </c>
      <c r="B18" s="20" t="n">
        <f aca="false">Assumptions!$B$9</f>
        <v>43</v>
      </c>
      <c r="C18" s="20" t="n">
        <f aca="false">B18</f>
        <v>43</v>
      </c>
      <c r="D18" s="20" t="n">
        <f aca="false">C18</f>
        <v>43</v>
      </c>
      <c r="E18" s="20" t="n">
        <f aca="false">D18</f>
        <v>43</v>
      </c>
      <c r="F18" s="20" t="n">
        <f aca="false">E18</f>
        <v>43</v>
      </c>
      <c r="G18" s="20" t="n">
        <f aca="false">F18</f>
        <v>43</v>
      </c>
      <c r="H18" s="20" t="n">
        <f aca="false">G18</f>
        <v>43</v>
      </c>
      <c r="I18" s="20" t="n">
        <f aca="false">H18</f>
        <v>43</v>
      </c>
      <c r="J18" s="20" t="n">
        <f aca="false">I18</f>
        <v>43</v>
      </c>
      <c r="K18" s="20" t="n">
        <f aca="false">J18</f>
        <v>43</v>
      </c>
      <c r="L18" s="20" t="n">
        <f aca="false">K18</f>
        <v>43</v>
      </c>
      <c r="M18" s="20" t="n">
        <f aca="false">L18</f>
        <v>43</v>
      </c>
      <c r="N18" s="20" t="n">
        <f aca="false">M18</f>
        <v>43</v>
      </c>
      <c r="O18" s="20" t="n">
        <f aca="false">N18</f>
        <v>43</v>
      </c>
      <c r="P18" s="20" t="n">
        <f aca="false">O18</f>
        <v>43</v>
      </c>
      <c r="Q18" s="2"/>
      <c r="R18" s="7" t="s">
        <v>492</v>
      </c>
    </row>
    <row r="19" customFormat="false" ht="15" hidden="false" customHeight="false" outlineLevel="0" collapsed="false">
      <c r="A19" s="19" t="s">
        <v>493</v>
      </c>
      <c r="B19" s="13" t="n">
        <v>0.75</v>
      </c>
      <c r="C19" s="13" t="n">
        <v>0.9</v>
      </c>
      <c r="D19" s="13" t="n">
        <v>0.95</v>
      </c>
      <c r="E19" s="13" t="n">
        <v>0.95</v>
      </c>
      <c r="F19" s="13" t="n">
        <v>0.95</v>
      </c>
      <c r="G19" s="13" t="n">
        <v>0.95</v>
      </c>
      <c r="H19" s="13" t="n">
        <v>0.95</v>
      </c>
      <c r="I19" s="13" t="n">
        <v>0.95</v>
      </c>
      <c r="J19" s="13" t="n">
        <v>0.95</v>
      </c>
      <c r="K19" s="13" t="n">
        <v>0.95</v>
      </c>
      <c r="L19" s="13" t="n">
        <v>0.95</v>
      </c>
      <c r="M19" s="13" t="n">
        <v>0.95</v>
      </c>
      <c r="N19" s="13" t="n">
        <v>0.95</v>
      </c>
      <c r="O19" s="13" t="n">
        <v>0.95</v>
      </c>
      <c r="P19" s="13" t="n">
        <v>0.95</v>
      </c>
      <c r="Q19" s="2"/>
      <c r="R19" s="7" t="s">
        <v>494</v>
      </c>
    </row>
    <row r="20" customFormat="false" ht="15" hidden="false" customHeight="false" outlineLevel="0" collapsed="false">
      <c r="A20" s="19" t="s">
        <v>447</v>
      </c>
      <c r="B20" s="20" t="n">
        <f aca="false">B17*Assumptions!$B$8*12</f>
        <v>378</v>
      </c>
      <c r="C20" s="20" t="n">
        <f aca="false">C17*Assumptions!$B$8*12</f>
        <v>504</v>
      </c>
      <c r="D20" s="20" t="n">
        <f aca="false">D17*Assumptions!$B$8*12</f>
        <v>630</v>
      </c>
      <c r="E20" s="20" t="n">
        <f aca="false">E17*Assumptions!$B$8*12</f>
        <v>882</v>
      </c>
      <c r="F20" s="20" t="n">
        <f aca="false">F17*Assumptions!$B$8*12</f>
        <v>1008</v>
      </c>
      <c r="G20" s="20" t="n">
        <f aca="false">G17*Assumptions!$B$8*12</f>
        <v>1134</v>
      </c>
      <c r="H20" s="20" t="n">
        <f aca="false">H17*Assumptions!$B$8*12</f>
        <v>1260</v>
      </c>
      <c r="I20" s="20" t="n">
        <f aca="false">I17*Assumptions!$B$8*12</f>
        <v>1386</v>
      </c>
      <c r="J20" s="20" t="n">
        <f aca="false">J17*Assumptions!$B$8*12</f>
        <v>1512</v>
      </c>
      <c r="K20" s="20" t="n">
        <f aca="false">K17*Assumptions!$B$8*12</f>
        <v>1638</v>
      </c>
      <c r="L20" s="20" t="n">
        <f aca="false">L17*Assumptions!$B$8*12</f>
        <v>1764</v>
      </c>
      <c r="M20" s="20" t="n">
        <f aca="false">M17*Assumptions!$B$8*12</f>
        <v>1890</v>
      </c>
      <c r="N20" s="20" t="n">
        <f aca="false">N17*Assumptions!$B$8*12</f>
        <v>2016</v>
      </c>
      <c r="O20" s="20" t="n">
        <f aca="false">O17*Assumptions!$B$8*12</f>
        <v>2016</v>
      </c>
      <c r="P20" s="20" t="n">
        <f aca="false">P17*Assumptions!$B$8*12</f>
        <v>2016</v>
      </c>
      <c r="Q20" s="2"/>
      <c r="R20" s="2"/>
    </row>
    <row r="21" customFormat="false" ht="15" hidden="false" customHeight="false" outlineLevel="0" collapsed="false">
      <c r="A21" s="17" t="s">
        <v>448</v>
      </c>
      <c r="B21" s="21" t="n">
        <f aca="false">B20*B19*B18</f>
        <v>12190.5</v>
      </c>
      <c r="C21" s="21" t="n">
        <f aca="false">C20*C19*C18</f>
        <v>19504.8</v>
      </c>
      <c r="D21" s="21" t="n">
        <f aca="false">D20*D19*D18</f>
        <v>25735.5</v>
      </c>
      <c r="E21" s="21" t="n">
        <f aca="false">E20*E19*E18</f>
        <v>36029.7</v>
      </c>
      <c r="F21" s="21" t="n">
        <f aca="false">F20*F19*F18</f>
        <v>41176.8</v>
      </c>
      <c r="G21" s="21" t="n">
        <f aca="false">G20*G19*G18</f>
        <v>46323.9</v>
      </c>
      <c r="H21" s="21" t="n">
        <f aca="false">H20*H19*H18</f>
        <v>51471</v>
      </c>
      <c r="I21" s="21" t="n">
        <f aca="false">I20*I19*I18</f>
        <v>56618.1</v>
      </c>
      <c r="J21" s="21" t="n">
        <f aca="false">J20*J19*J18</f>
        <v>61765.2</v>
      </c>
      <c r="K21" s="21" t="n">
        <f aca="false">K20*K19*K18</f>
        <v>66912.3</v>
      </c>
      <c r="L21" s="21" t="n">
        <f aca="false">L20*L19*L18</f>
        <v>72059.4</v>
      </c>
      <c r="M21" s="21" t="n">
        <f aca="false">M20*M19*M18</f>
        <v>77206.5</v>
      </c>
      <c r="N21" s="21" t="n">
        <f aca="false">N20*N19*N18</f>
        <v>82353.6</v>
      </c>
      <c r="O21" s="21" t="n">
        <f aca="false">O20*O19*O18</f>
        <v>82353.6</v>
      </c>
      <c r="P21" s="21" t="n">
        <f aca="false">P20*P19*P18</f>
        <v>82353.6</v>
      </c>
      <c r="Q21" s="2"/>
      <c r="R21" s="2"/>
    </row>
    <row r="22" customFormat="false" ht="15" hidden="false" customHeight="false" outlineLevel="0" collapsed="false">
      <c r="A22" s="41" t="s">
        <v>495</v>
      </c>
      <c r="B22" s="42"/>
      <c r="C22" s="42"/>
      <c r="D22" s="42"/>
      <c r="E22" s="42"/>
      <c r="F22" s="42"/>
      <c r="G22" s="42"/>
      <c r="H22" s="42"/>
      <c r="I22" s="42"/>
      <c r="J22" s="42"/>
      <c r="K22" s="42"/>
      <c r="L22" s="42"/>
      <c r="M22" s="42"/>
      <c r="N22" s="42"/>
      <c r="O22" s="42"/>
      <c r="P22" s="42"/>
      <c r="Q22" s="2"/>
      <c r="R22" s="42"/>
    </row>
    <row r="23" customFormat="false" ht="15" hidden="false" customHeight="false" outlineLevel="0" collapsed="false">
      <c r="A23" s="19" t="s">
        <v>496</v>
      </c>
      <c r="B23" s="20" t="n">
        <f aca="false">ROUND(B17*Assumptions!$B$24,0)</f>
        <v>5</v>
      </c>
      <c r="C23" s="20" t="n">
        <f aca="false">ROUND(C17*Assumptions!$B$24,0)</f>
        <v>6</v>
      </c>
      <c r="D23" s="20" t="n">
        <f aca="false">ROUND(D17*Assumptions!$B$24,0)</f>
        <v>8</v>
      </c>
      <c r="E23" s="20" t="n">
        <f aca="false">ROUND(E17*Assumptions!$B$24,0)</f>
        <v>11</v>
      </c>
      <c r="F23" s="20" t="n">
        <f aca="false">ROUND(F17*Assumptions!$B$24,0)</f>
        <v>12</v>
      </c>
      <c r="G23" s="20" t="n">
        <f aca="false">ROUND(G17*Assumptions!$B$24,0)</f>
        <v>14</v>
      </c>
      <c r="H23" s="20" t="n">
        <f aca="false">ROUND(H17*Assumptions!$B$24,0)</f>
        <v>15</v>
      </c>
      <c r="I23" s="20" t="n">
        <f aca="false">ROUND(I17*Assumptions!$B$24,0)</f>
        <v>17</v>
      </c>
      <c r="J23" s="20" t="n">
        <f aca="false">ROUND(J17*Assumptions!$B$24,0)</f>
        <v>18</v>
      </c>
      <c r="K23" s="20" t="n">
        <f aca="false">ROUND(K17*Assumptions!$B$24,0)</f>
        <v>20</v>
      </c>
      <c r="L23" s="20" t="n">
        <f aca="false">ROUND(L17*Assumptions!$B$24,0)</f>
        <v>21</v>
      </c>
      <c r="M23" s="20" t="n">
        <f aca="false">ROUND(M17*Assumptions!$B$24,0)</f>
        <v>23</v>
      </c>
      <c r="N23" s="20" t="n">
        <f aca="false">ROUND(N17*Assumptions!$B$24,0)</f>
        <v>24</v>
      </c>
      <c r="O23" s="20" t="n">
        <f aca="false">ROUND(O17*Assumptions!$B$24,0)</f>
        <v>24</v>
      </c>
      <c r="P23" s="20" t="n">
        <f aca="false">ROUND(P17*Assumptions!$B$24,0)</f>
        <v>24</v>
      </c>
      <c r="Q23" s="2"/>
      <c r="R23" s="2"/>
    </row>
    <row r="24" customFormat="false" ht="15" hidden="false" customHeight="false" outlineLevel="0" collapsed="false">
      <c r="A24" s="19" t="s">
        <v>497</v>
      </c>
      <c r="B24" s="20" t="n">
        <f aca="false">IF(B17&gt;=2,ROUNDUP(B17/Assumptions!$B$49,0),0)</f>
        <v>0</v>
      </c>
      <c r="C24" s="20" t="n">
        <f aca="false">IF(C17&gt;=2,ROUNDUP(C17/Assumptions!$B$49,0),0)</f>
        <v>1</v>
      </c>
      <c r="D24" s="20" t="n">
        <f aca="false">IF(D17&gt;=2,ROUNDUP(D17/Assumptions!$B$49,0),0)</f>
        <v>2</v>
      </c>
      <c r="E24" s="20" t="n">
        <f aca="false">IF(E17&gt;=2,ROUNDUP(E17/Assumptions!$B$49,0),0)</f>
        <v>2</v>
      </c>
      <c r="F24" s="20" t="n">
        <f aca="false">IF(F17&gt;=2,ROUNDUP(F17/Assumptions!$B$49,0),0)</f>
        <v>2</v>
      </c>
      <c r="G24" s="20" t="n">
        <f aca="false">IF(G17&gt;=2,ROUNDUP(G17/Assumptions!$B$49,0),0)</f>
        <v>3</v>
      </c>
      <c r="H24" s="20" t="n">
        <f aca="false">IF(H17&gt;=2,ROUNDUP(H17/Assumptions!$B$49,0),0)</f>
        <v>3</v>
      </c>
      <c r="I24" s="20" t="n">
        <f aca="false">IF(I17&gt;=2,ROUNDUP(I17/Assumptions!$B$49,0),0)</f>
        <v>3</v>
      </c>
      <c r="J24" s="20" t="n">
        <f aca="false">IF(J17&gt;=2,ROUNDUP(J17/Assumptions!$B$49,0),0)</f>
        <v>3</v>
      </c>
      <c r="K24" s="20" t="n">
        <f aca="false">IF(K17&gt;=2,ROUNDUP(K17/Assumptions!$B$49,0),0)</f>
        <v>4</v>
      </c>
      <c r="L24" s="20" t="n">
        <f aca="false">IF(L17&gt;=2,ROUNDUP(L17/Assumptions!$B$49,0),0)</f>
        <v>4</v>
      </c>
      <c r="M24" s="20" t="n">
        <f aca="false">IF(M17&gt;=2,ROUNDUP(M17/Assumptions!$B$49,0),0)</f>
        <v>4</v>
      </c>
      <c r="N24" s="20" t="n">
        <f aca="false">IF(N17&gt;=2,ROUNDUP(N17/Assumptions!$B$49,0),0)</f>
        <v>4</v>
      </c>
      <c r="O24" s="20" t="n">
        <f aca="false">IF(O17&gt;=2,ROUNDUP(O17/Assumptions!$B$49,0),0)</f>
        <v>4</v>
      </c>
      <c r="P24" s="20" t="n">
        <f aca="false">IF(P17&gt;=2,ROUNDUP(P17/Assumptions!$B$49,0),0)</f>
        <v>4</v>
      </c>
      <c r="Q24" s="2"/>
      <c r="R24" s="2"/>
    </row>
    <row r="25" customFormat="false" ht="15" hidden="false" customHeight="false" outlineLevel="0" collapsed="false">
      <c r="A25" s="19" t="s">
        <v>498</v>
      </c>
      <c r="B25" s="20" t="n">
        <f aca="false">IF(B17&gt;=3,ROUNDUP(B17/Assumptions!$B$50,0),0)</f>
        <v>0</v>
      </c>
      <c r="C25" s="20" t="n">
        <f aca="false">IF(C17&gt;=3,ROUNDUP(C17/Assumptions!$B$50,0),0)</f>
        <v>0</v>
      </c>
      <c r="D25" s="20" t="n">
        <f aca="false">IF(D17&gt;=3,ROUNDUP(D17/Assumptions!$B$50,0),0)</f>
        <v>0</v>
      </c>
      <c r="E25" s="20" t="n">
        <f aca="false">IF(E17&gt;=3,ROUNDUP(E17/Assumptions!$B$50,0),0)</f>
        <v>1</v>
      </c>
      <c r="F25" s="20" t="n">
        <f aca="false">IF(F17&gt;=3,ROUNDUP(F17/Assumptions!$B$50,0),0)</f>
        <v>1</v>
      </c>
      <c r="G25" s="20" t="n">
        <f aca="false">IF(G17&gt;=3,ROUNDUP(G17/Assumptions!$B$50,0),0)</f>
        <v>2</v>
      </c>
      <c r="H25" s="20" t="n">
        <f aca="false">IF(H17&gt;=3,ROUNDUP(H17/Assumptions!$B$50,0),0)</f>
        <v>2</v>
      </c>
      <c r="I25" s="20" t="n">
        <f aca="false">IF(I17&gt;=3,ROUNDUP(I17/Assumptions!$B$50,0),0)</f>
        <v>2</v>
      </c>
      <c r="J25" s="20" t="n">
        <f aca="false">IF(J17&gt;=3,ROUNDUP(J17/Assumptions!$B$50,0),0)</f>
        <v>2</v>
      </c>
      <c r="K25" s="20" t="n">
        <f aca="false">IF(K17&gt;=3,ROUNDUP(K17/Assumptions!$B$50,0),0)</f>
        <v>2</v>
      </c>
      <c r="L25" s="20" t="n">
        <f aca="false">IF(L17&gt;=3,ROUNDUP(L17/Assumptions!$B$50,0),0)</f>
        <v>2</v>
      </c>
      <c r="M25" s="20" t="n">
        <f aca="false">IF(M17&gt;=3,ROUNDUP(M17/Assumptions!$B$50,0),0)</f>
        <v>2</v>
      </c>
      <c r="N25" s="20" t="n">
        <f aca="false">IF(N17&gt;=3,ROUNDUP(N17/Assumptions!$B$50,0),0)</f>
        <v>2</v>
      </c>
      <c r="O25" s="20" t="n">
        <f aca="false">IF(O17&gt;=3,ROUNDUP(O17/Assumptions!$B$50,0),0)</f>
        <v>2</v>
      </c>
      <c r="P25" s="20" t="n">
        <f aca="false">IF(P17&gt;=3,ROUNDUP(P17/Assumptions!$B$50,0),0)</f>
        <v>2</v>
      </c>
      <c r="Q25" s="2"/>
      <c r="R25" s="2"/>
    </row>
    <row r="26" customFormat="false" ht="15" hidden="false" customHeight="false" outlineLevel="0" collapsed="false">
      <c r="A26" s="19" t="s">
        <v>499</v>
      </c>
      <c r="B26" s="20" t="n">
        <f aca="false">IF(B17&gt;=4,ROUNDUP(B17/Assumptions!$B$51,0),0)</f>
        <v>0</v>
      </c>
      <c r="C26" s="20" t="n">
        <f aca="false">IF(C17&gt;=4,ROUNDUP(C17/Assumptions!$B$51,0),0)</f>
        <v>0</v>
      </c>
      <c r="D26" s="20" t="n">
        <f aca="false">IF(D17&gt;=4,ROUNDUP(D17/Assumptions!$B$51,0),0)</f>
        <v>0</v>
      </c>
      <c r="E26" s="20" t="n">
        <f aca="false">IF(E17&gt;=4,ROUNDUP(E17/Assumptions!$B$51,0),0)</f>
        <v>0</v>
      </c>
      <c r="F26" s="20" t="n">
        <f aca="false">IF(F17&gt;=4,ROUNDUP(F17/Assumptions!$B$51,0),0)</f>
        <v>2</v>
      </c>
      <c r="G26" s="20" t="n">
        <f aca="false">IF(G17&gt;=4,ROUNDUP(G17/Assumptions!$B$51,0),0)</f>
        <v>2</v>
      </c>
      <c r="H26" s="20" t="n">
        <f aca="false">IF(H17&gt;=4,ROUNDUP(H17/Assumptions!$B$51,0),0)</f>
        <v>2</v>
      </c>
      <c r="I26" s="20" t="n">
        <f aca="false">IF(I17&gt;=4,ROUNDUP(I17/Assumptions!$B$51,0),0)</f>
        <v>2</v>
      </c>
      <c r="J26" s="20" t="n">
        <f aca="false">IF(J17&gt;=4,ROUNDUP(J17/Assumptions!$B$51,0),0)</f>
        <v>2</v>
      </c>
      <c r="K26" s="20" t="n">
        <f aca="false">IF(K17&gt;=4,ROUNDUP(K17/Assumptions!$B$51,0),0)</f>
        <v>3</v>
      </c>
      <c r="L26" s="20" t="n">
        <f aca="false">IF(L17&gt;=4,ROUNDUP(L17/Assumptions!$B$51,0),0)</f>
        <v>3</v>
      </c>
      <c r="M26" s="20" t="n">
        <f aca="false">IF(M17&gt;=4,ROUNDUP(M17/Assumptions!$B$51,0),0)</f>
        <v>3</v>
      </c>
      <c r="N26" s="20" t="n">
        <f aca="false">IF(N17&gt;=4,ROUNDUP(N17/Assumptions!$B$51,0),0)</f>
        <v>3</v>
      </c>
      <c r="O26" s="20" t="n">
        <f aca="false">IF(O17&gt;=4,ROUNDUP(O17/Assumptions!$B$51,0),0)</f>
        <v>3</v>
      </c>
      <c r="P26" s="20" t="n">
        <f aca="false">IF(P17&gt;=4,ROUNDUP(P17/Assumptions!$B$51,0),0)</f>
        <v>3</v>
      </c>
      <c r="Q26" s="2"/>
      <c r="R26" s="2"/>
    </row>
    <row r="27" customFormat="false" ht="15" hidden="false" customHeight="false" outlineLevel="0" collapsed="false">
      <c r="A27" s="41" t="s">
        <v>206</v>
      </c>
      <c r="B27" s="42"/>
      <c r="C27" s="42"/>
      <c r="D27" s="42"/>
      <c r="E27" s="42"/>
      <c r="F27" s="42"/>
      <c r="G27" s="42"/>
      <c r="H27" s="42"/>
      <c r="I27" s="42"/>
      <c r="J27" s="42"/>
      <c r="K27" s="42"/>
      <c r="L27" s="42"/>
      <c r="M27" s="42"/>
      <c r="N27" s="42"/>
      <c r="O27" s="42"/>
      <c r="P27" s="42"/>
      <c r="Q27" s="2"/>
      <c r="R27" s="42"/>
    </row>
    <row r="28" customFormat="false" ht="15" hidden="false" customHeight="false" outlineLevel="0" collapsed="false">
      <c r="A28" s="19" t="s">
        <v>299</v>
      </c>
      <c r="B28" s="16" t="n">
        <f aca="false">Assumptions!$B$5</f>
        <v>50</v>
      </c>
      <c r="C28" s="16" t="n">
        <f aca="false">B28</f>
        <v>50</v>
      </c>
      <c r="D28" s="16" t="n">
        <f aca="false">C28*(1+Assumptions!$B$40)</f>
        <v>51.5</v>
      </c>
      <c r="E28" s="16" t="n">
        <f aca="false">D28*(1+Assumptions!$B$40)</f>
        <v>53.045</v>
      </c>
      <c r="F28" s="16" t="n">
        <f aca="false">E28*(1+Assumptions!$B$40)</f>
        <v>54.63635</v>
      </c>
      <c r="G28" s="16" t="n">
        <f aca="false">F28*(1+Assumptions!$B$40)</f>
        <v>56.2754405</v>
      </c>
      <c r="H28" s="16" t="n">
        <f aca="false">G28*(1+Assumptions!$B$40)</f>
        <v>57.963703715</v>
      </c>
      <c r="I28" s="16" t="n">
        <f aca="false">H28*(1+Assumptions!$B$40)</f>
        <v>59.70261482645</v>
      </c>
      <c r="J28" s="16" t="n">
        <f aca="false">I28*(1+Assumptions!$B$40)</f>
        <v>61.4936932712435</v>
      </c>
      <c r="K28" s="16" t="n">
        <f aca="false">J28*(1+Assumptions!$B$40)</f>
        <v>63.3385040693808</v>
      </c>
      <c r="L28" s="16" t="n">
        <f aca="false">K28*(1+Assumptions!$B$40)</f>
        <v>65.2386591914622</v>
      </c>
      <c r="M28" s="16" t="n">
        <f aca="false">L28*(1+Assumptions!$B$40)</f>
        <v>67.1958189672061</v>
      </c>
      <c r="N28" s="16" t="n">
        <f aca="false">M28*(1+Assumptions!$B$40)</f>
        <v>69.2116935362223</v>
      </c>
      <c r="O28" s="16" t="n">
        <f aca="false">N28*(1+Assumptions!$B$40)</f>
        <v>71.288044342309</v>
      </c>
      <c r="P28" s="16" t="n">
        <f aca="false">O28*(1+Assumptions!$B$40)</f>
        <v>73.4266856725782</v>
      </c>
      <c r="Q28" s="2"/>
      <c r="R28" s="2"/>
    </row>
    <row r="29" customFormat="false" ht="15" hidden="false" customHeight="false" outlineLevel="0" collapsed="false">
      <c r="A29" s="19" t="s">
        <v>449</v>
      </c>
      <c r="B29" s="16" t="n">
        <f aca="false">B21*B28</f>
        <v>609525</v>
      </c>
      <c r="C29" s="16" t="n">
        <f aca="false">C21*C28</f>
        <v>975240</v>
      </c>
      <c r="D29" s="16" t="n">
        <f aca="false">D21*D28</f>
        <v>1325378.25</v>
      </c>
      <c r="E29" s="16" t="n">
        <f aca="false">E21*E28</f>
        <v>1911195.4365</v>
      </c>
      <c r="F29" s="16" t="n">
        <f aca="false">F21*F28</f>
        <v>2249750.05668</v>
      </c>
      <c r="G29" s="16" t="n">
        <f aca="false">G21*G28</f>
        <v>2606897.87817795</v>
      </c>
      <c r="H29" s="16" t="n">
        <f aca="false">H21*H28</f>
        <v>2983449.79391477</v>
      </c>
      <c r="I29" s="16" t="n">
        <f aca="false">I21*I28</f>
        <v>3380248.61650543</v>
      </c>
      <c r="J29" s="16" t="n">
        <f aca="false">J21*J28</f>
        <v>3798170.26363701</v>
      </c>
      <c r="K29" s="16" t="n">
        <f aca="false">K21*K28</f>
        <v>4238124.98584163</v>
      </c>
      <c r="L29" s="16" t="n">
        <f aca="false">L21*L28</f>
        <v>4701058.63814125</v>
      </c>
      <c r="M29" s="16" t="n">
        <f aca="false">M21*M28</f>
        <v>5187953.9970916</v>
      </c>
      <c r="N29" s="16" t="n">
        <f aca="false">N21*N28</f>
        <v>5699832.12480464</v>
      </c>
      <c r="O29" s="16" t="n">
        <f aca="false">O21*O28</f>
        <v>5870827.08854878</v>
      </c>
      <c r="P29" s="16" t="n">
        <f aca="false">P21*P28</f>
        <v>6046951.90120524</v>
      </c>
      <c r="Q29" s="2"/>
      <c r="R29" s="2"/>
    </row>
    <row r="30" customFormat="false" ht="15" hidden="false" customHeight="false" outlineLevel="0" collapsed="false">
      <c r="A30" s="19" t="s">
        <v>450</v>
      </c>
      <c r="B30" s="16" t="n">
        <f aca="false">B20*(1-B19)*Assumptions!$B$10</f>
        <v>94500</v>
      </c>
      <c r="C30" s="16" t="n">
        <f aca="false">C20*(1-C19)*Assumptions!$B$10</f>
        <v>50400</v>
      </c>
      <c r="D30" s="16" t="n">
        <f aca="false">D20*(1-D19)*Assumptions!$B$10</f>
        <v>31500</v>
      </c>
      <c r="E30" s="16" t="n">
        <f aca="false">E20*(1-E19)*Assumptions!$B$10</f>
        <v>44100</v>
      </c>
      <c r="F30" s="16" t="n">
        <f aca="false">F20*(1-F19)*Assumptions!$B$10</f>
        <v>50400.0000000001</v>
      </c>
      <c r="G30" s="16" t="n">
        <f aca="false">G20*(1-G19)*Assumptions!$B$10</f>
        <v>56700.0000000001</v>
      </c>
      <c r="H30" s="16" t="n">
        <f aca="false">H20*(1-H19)*Assumptions!$B$10</f>
        <v>63000.0000000001</v>
      </c>
      <c r="I30" s="16" t="n">
        <f aca="false">I20*(1-I19)*Assumptions!$B$10</f>
        <v>69300.0000000001</v>
      </c>
      <c r="J30" s="16" t="n">
        <f aca="false">J20*(1-J19)*Assumptions!$B$10</f>
        <v>75600.0000000001</v>
      </c>
      <c r="K30" s="16" t="n">
        <f aca="false">K20*(1-K19)*Assumptions!$B$10</f>
        <v>81900.0000000001</v>
      </c>
      <c r="L30" s="16" t="n">
        <f aca="false">L20*(1-L19)*Assumptions!$B$10</f>
        <v>88200.0000000001</v>
      </c>
      <c r="M30" s="16" t="n">
        <f aca="false">M20*(1-M19)*Assumptions!$B$10</f>
        <v>94500.0000000001</v>
      </c>
      <c r="N30" s="16" t="n">
        <f aca="false">N20*(1-N19)*Assumptions!$B$10</f>
        <v>100800</v>
      </c>
      <c r="O30" s="16" t="n">
        <f aca="false">O20*(1-O19)*Assumptions!$B$10</f>
        <v>100800</v>
      </c>
      <c r="P30" s="16" t="n">
        <f aca="false">P20*(1-P19)*Assumptions!$B$10</f>
        <v>100800</v>
      </c>
      <c r="Q30" s="2"/>
      <c r="R30" s="2"/>
    </row>
    <row r="31" customFormat="false" ht="15" hidden="false" customHeight="false" outlineLevel="0" collapsed="false">
      <c r="A31" s="19" t="s">
        <v>500</v>
      </c>
      <c r="B31" s="20" t="n">
        <f aca="false">B21/Assumptions!$B$15</f>
        <v>121.905</v>
      </c>
      <c r="C31" s="20" t="n">
        <f aca="false">C21/Assumptions!$B$15</f>
        <v>195.048</v>
      </c>
      <c r="D31" s="20" t="n">
        <f aca="false">D21/Assumptions!$B$15</f>
        <v>257.355</v>
      </c>
      <c r="E31" s="20" t="n">
        <f aca="false">E21/Assumptions!$B$15</f>
        <v>360.297</v>
      </c>
      <c r="F31" s="20" t="n">
        <f aca="false">F21/Assumptions!$B$15</f>
        <v>411.768</v>
      </c>
      <c r="G31" s="20" t="n">
        <f aca="false">G21/Assumptions!$B$15</f>
        <v>463.239</v>
      </c>
      <c r="H31" s="20" t="n">
        <f aca="false">H21/Assumptions!$B$15</f>
        <v>514.71</v>
      </c>
      <c r="I31" s="20" t="n">
        <f aca="false">I21/Assumptions!$B$15</f>
        <v>566.181</v>
      </c>
      <c r="J31" s="20" t="n">
        <f aca="false">J21/Assumptions!$B$15</f>
        <v>617.652</v>
      </c>
      <c r="K31" s="20" t="n">
        <f aca="false">K21/Assumptions!$B$15</f>
        <v>669.123</v>
      </c>
      <c r="L31" s="20" t="n">
        <f aca="false">L21/Assumptions!$B$15</f>
        <v>720.594</v>
      </c>
      <c r="M31" s="20" t="n">
        <f aca="false">M21/Assumptions!$B$15</f>
        <v>772.065</v>
      </c>
      <c r="N31" s="20" t="n">
        <f aca="false">N21/Assumptions!$B$15</f>
        <v>823.536</v>
      </c>
      <c r="O31" s="20" t="n">
        <f aca="false">O21/Assumptions!$B$15</f>
        <v>823.536</v>
      </c>
      <c r="P31" s="20" t="n">
        <f aca="false">P21/Assumptions!$B$15</f>
        <v>823.536</v>
      </c>
      <c r="Q31" s="2"/>
      <c r="R31" s="2"/>
    </row>
    <row r="32" customFormat="false" ht="15" hidden="false" customHeight="false" outlineLevel="0" collapsed="false">
      <c r="A32" s="19" t="s">
        <v>501</v>
      </c>
      <c r="B32" s="20" t="n">
        <f aca="false">B31*Assumptions!$B$29</f>
        <v>73.143</v>
      </c>
      <c r="C32" s="20" t="n">
        <f aca="false">C31*Assumptions!$B$29</f>
        <v>117.0288</v>
      </c>
      <c r="D32" s="20" t="n">
        <f aca="false">D31*Assumptions!$B$29</f>
        <v>154.413</v>
      </c>
      <c r="E32" s="20" t="n">
        <f aca="false">E31*Assumptions!$B$29</f>
        <v>216.1782</v>
      </c>
      <c r="F32" s="20" t="n">
        <f aca="false">F31*Assumptions!$B$29</f>
        <v>247.0608</v>
      </c>
      <c r="G32" s="20" t="n">
        <f aca="false">G31*Assumptions!$B$29</f>
        <v>277.9434</v>
      </c>
      <c r="H32" s="20" t="n">
        <f aca="false">H31*Assumptions!$B$29</f>
        <v>308.826</v>
      </c>
      <c r="I32" s="20" t="n">
        <f aca="false">I31*Assumptions!$B$29</f>
        <v>339.7086</v>
      </c>
      <c r="J32" s="20" t="n">
        <f aca="false">J31*Assumptions!$B$29</f>
        <v>370.5912</v>
      </c>
      <c r="K32" s="20" t="n">
        <f aca="false">K31*Assumptions!$B$29</f>
        <v>401.4738</v>
      </c>
      <c r="L32" s="20" t="n">
        <f aca="false">L31*Assumptions!$B$29</f>
        <v>432.3564</v>
      </c>
      <c r="M32" s="20" t="n">
        <f aca="false">M31*Assumptions!$B$29</f>
        <v>463.239</v>
      </c>
      <c r="N32" s="20" t="n">
        <f aca="false">N31*Assumptions!$B$29</f>
        <v>494.1216</v>
      </c>
      <c r="O32" s="20" t="n">
        <f aca="false">O31*Assumptions!$B$29</f>
        <v>494.1216</v>
      </c>
      <c r="P32" s="20" t="n">
        <f aca="false">P31*Assumptions!$B$29</f>
        <v>494.1216</v>
      </c>
      <c r="Q32" s="2"/>
      <c r="R32" s="2"/>
    </row>
    <row r="33" customFormat="false" ht="15" hidden="false" customHeight="false" outlineLevel="0" collapsed="false">
      <c r="A33" s="17" t="s">
        <v>502</v>
      </c>
      <c r="B33" s="21" t="n">
        <f aca="false">B32</f>
        <v>73.143</v>
      </c>
      <c r="C33" s="21" t="n">
        <f aca="false">B33*(1-Assumptions!$B$41)+C32</f>
        <v>184.32036</v>
      </c>
      <c r="D33" s="21" t="n">
        <f aca="false">C33*(1-Assumptions!$B$41)+D32</f>
        <v>323.9877312</v>
      </c>
      <c r="E33" s="21" t="n">
        <f aca="false">D33*(1-Assumptions!$B$41)+E32</f>
        <v>514.246912704</v>
      </c>
      <c r="F33" s="21" t="n">
        <f aca="false">E33*(1-Assumptions!$B$41)+F32</f>
        <v>720.16795968768</v>
      </c>
      <c r="G33" s="21" t="n">
        <f aca="false">F33*(1-Assumptions!$B$41)+G32</f>
        <v>940.497922912666</v>
      </c>
      <c r="H33" s="21" t="n">
        <f aca="false">G33*(1-Assumptions!$B$41)+H32</f>
        <v>1174.08408907965</v>
      </c>
      <c r="I33" s="21" t="n">
        <f aca="false">H33*(1-Assumptions!$B$41)+I32</f>
        <v>1419.86596195328</v>
      </c>
      <c r="J33" s="21" t="n">
        <f aca="false">I33*(1-Assumptions!$B$41)+J32</f>
        <v>1676.86788499702</v>
      </c>
      <c r="K33" s="21" t="n">
        <f aca="false">J33*(1-Assumptions!$B$41)+K32</f>
        <v>1944.19225419726</v>
      </c>
      <c r="L33" s="21" t="n">
        <f aca="false">K33*(1-Assumptions!$B$41)+L32</f>
        <v>2221.01327386148</v>
      </c>
      <c r="M33" s="21" t="n">
        <f aca="false">L33*(1-Assumptions!$B$41)+M32</f>
        <v>2506.57121195256</v>
      </c>
      <c r="N33" s="21" t="n">
        <f aca="false">M33*(1-Assumptions!$B$41)+N32</f>
        <v>2800.16711499635</v>
      </c>
      <c r="O33" s="21" t="n">
        <f aca="false">N33*(1-Assumptions!$B$41)+O32</f>
        <v>3070.27534579665</v>
      </c>
      <c r="P33" s="21" t="n">
        <f aca="false">O33*(1-Assumptions!$B$41)+P32</f>
        <v>3318.77491813291</v>
      </c>
      <c r="Q33" s="2"/>
      <c r="R33" s="7" t="s">
        <v>503</v>
      </c>
    </row>
    <row r="34" customFormat="false" ht="15" hidden="false" customHeight="false" outlineLevel="0" collapsed="false">
      <c r="A34" s="19" t="s">
        <v>273</v>
      </c>
      <c r="B34" s="16" t="n">
        <f aca="false">Assumptions!$B$28</f>
        <v>249</v>
      </c>
      <c r="C34" s="16" t="n">
        <f aca="false">B34</f>
        <v>249</v>
      </c>
      <c r="D34" s="16" t="n">
        <f aca="false">C34*(1+Assumptions!$B$40)</f>
        <v>256.47</v>
      </c>
      <c r="E34" s="16" t="n">
        <f aca="false">D34*(1+Assumptions!$B$40)</f>
        <v>264.1641</v>
      </c>
      <c r="F34" s="16" t="n">
        <f aca="false">E34*(1+Assumptions!$B$40)</f>
        <v>272.089023</v>
      </c>
      <c r="G34" s="16" t="n">
        <f aca="false">F34*(1+Assumptions!$B$40)</f>
        <v>280.25169369</v>
      </c>
      <c r="H34" s="16" t="n">
        <f aca="false">G34*(1+Assumptions!$B$40)</f>
        <v>288.6592445007</v>
      </c>
      <c r="I34" s="16" t="n">
        <f aca="false">H34*(1+Assumptions!$B$40)</f>
        <v>297.319021835721</v>
      </c>
      <c r="J34" s="16" t="n">
        <f aca="false">I34*(1+Assumptions!$B$40)</f>
        <v>306.238592490793</v>
      </c>
      <c r="K34" s="16" t="n">
        <f aca="false">J34*(1+Assumptions!$B$40)</f>
        <v>315.425750265517</v>
      </c>
      <c r="L34" s="16" t="n">
        <f aca="false">K34*(1+Assumptions!$B$40)</f>
        <v>324.888522773482</v>
      </c>
      <c r="M34" s="16" t="n">
        <f aca="false">L34*(1+Assumptions!$B$40)</f>
        <v>334.635178456687</v>
      </c>
      <c r="N34" s="16" t="n">
        <f aca="false">M34*(1+Assumptions!$B$40)</f>
        <v>344.674233810387</v>
      </c>
      <c r="O34" s="16" t="n">
        <f aca="false">N34*(1+Assumptions!$B$40)</f>
        <v>355.014460824699</v>
      </c>
      <c r="P34" s="16" t="n">
        <f aca="false">O34*(1+Assumptions!$B$40)</f>
        <v>365.66489464944</v>
      </c>
      <c r="Q34" s="2"/>
      <c r="R34" s="2"/>
    </row>
    <row r="35" customFormat="false" ht="15" hidden="false" customHeight="false" outlineLevel="0" collapsed="false">
      <c r="A35" s="19" t="s">
        <v>504</v>
      </c>
      <c r="B35" s="20" t="n">
        <f aca="false">ROUNDUP(B33*Assumptions!$B$31/Assumptions!$B$52,0)</f>
        <v>1</v>
      </c>
      <c r="C35" s="20" t="n">
        <f aca="false">ROUNDUP(C33*Assumptions!$B$31/Assumptions!$B$52,0)</f>
        <v>1</v>
      </c>
      <c r="D35" s="20" t="n">
        <f aca="false">ROUNDUP(D33*Assumptions!$B$31/Assumptions!$B$52,0)</f>
        <v>1</v>
      </c>
      <c r="E35" s="20" t="n">
        <f aca="false">ROUNDUP(E33*Assumptions!$B$31/Assumptions!$B$52,0)</f>
        <v>1</v>
      </c>
      <c r="F35" s="20" t="n">
        <f aca="false">ROUNDUP(F33*Assumptions!$B$31/Assumptions!$B$52,0)</f>
        <v>1</v>
      </c>
      <c r="G35" s="20" t="n">
        <f aca="false">ROUNDUP(G33*Assumptions!$B$31/Assumptions!$B$52,0)</f>
        <v>1</v>
      </c>
      <c r="H35" s="20" t="n">
        <f aca="false">ROUNDUP(H33*Assumptions!$B$31/Assumptions!$B$52,0)</f>
        <v>1</v>
      </c>
      <c r="I35" s="20" t="n">
        <f aca="false">ROUNDUP(I33*Assumptions!$B$31/Assumptions!$B$52,0)</f>
        <v>2</v>
      </c>
      <c r="J35" s="20" t="n">
        <f aca="false">ROUNDUP(J33*Assumptions!$B$31/Assumptions!$B$52,0)</f>
        <v>2</v>
      </c>
      <c r="K35" s="20" t="n">
        <f aca="false">ROUNDUP(K33*Assumptions!$B$31/Assumptions!$B$52,0)</f>
        <v>2</v>
      </c>
      <c r="L35" s="20" t="n">
        <f aca="false">ROUNDUP(L33*Assumptions!$B$31/Assumptions!$B$52,0)</f>
        <v>2</v>
      </c>
      <c r="M35" s="20" t="n">
        <f aca="false">ROUNDUP(M33*Assumptions!$B$31/Assumptions!$B$52,0)</f>
        <v>3</v>
      </c>
      <c r="N35" s="20" t="n">
        <f aca="false">ROUNDUP(N33*Assumptions!$B$31/Assumptions!$B$52,0)</f>
        <v>3</v>
      </c>
      <c r="O35" s="20" t="n">
        <f aca="false">ROUNDUP(O33*Assumptions!$B$31/Assumptions!$B$52,0)</f>
        <v>3</v>
      </c>
      <c r="P35" s="20" t="n">
        <f aca="false">ROUNDUP(P33*Assumptions!$B$31/Assumptions!$B$52,0)</f>
        <v>3</v>
      </c>
      <c r="Q35" s="2"/>
      <c r="R35" s="7" t="s">
        <v>505</v>
      </c>
    </row>
    <row r="36" customFormat="false" ht="15" hidden="false" customHeight="false" outlineLevel="0" collapsed="false">
      <c r="A36" s="17" t="s">
        <v>506</v>
      </c>
      <c r="B36" s="21" t="n">
        <f aca="false">1+B23+B24+B25+B26+B35</f>
        <v>7</v>
      </c>
      <c r="C36" s="21" t="n">
        <f aca="false">1+C23+C24+C25+C26+C35</f>
        <v>9</v>
      </c>
      <c r="D36" s="21" t="n">
        <f aca="false">1+D23+D24+D25+D26+D35</f>
        <v>12</v>
      </c>
      <c r="E36" s="21" t="n">
        <f aca="false">1+E23+E24+E25+E26+E35</f>
        <v>16</v>
      </c>
      <c r="F36" s="21" t="n">
        <f aca="false">1+F23+F24+F25+F26+F35</f>
        <v>19</v>
      </c>
      <c r="G36" s="21" t="n">
        <f aca="false">1+G23+G24+G25+G26+G35</f>
        <v>23</v>
      </c>
      <c r="H36" s="21" t="n">
        <f aca="false">1+H23+H24+H25+H26+H35</f>
        <v>24</v>
      </c>
      <c r="I36" s="21" t="n">
        <f aca="false">1+I23+I24+I25+I26+I35</f>
        <v>27</v>
      </c>
      <c r="J36" s="21" t="n">
        <f aca="false">1+J23+J24+J25+J26+J35</f>
        <v>28</v>
      </c>
      <c r="K36" s="21" t="n">
        <f aca="false">1+K23+K24+K25+K26+K35</f>
        <v>32</v>
      </c>
      <c r="L36" s="21" t="n">
        <f aca="false">1+L23+L24+L25+L26+L35</f>
        <v>33</v>
      </c>
      <c r="M36" s="21" t="n">
        <f aca="false">1+M23+M24+M25+M26+M35</f>
        <v>36</v>
      </c>
      <c r="N36" s="21" t="n">
        <f aca="false">1+N23+N24+N25+N26+N35</f>
        <v>37</v>
      </c>
      <c r="O36" s="21" t="n">
        <f aca="false">1+O23+O24+O25+O26+O35</f>
        <v>37</v>
      </c>
      <c r="P36" s="21" t="n">
        <f aca="false">1+P23+P24+P25+P26+P35</f>
        <v>37</v>
      </c>
      <c r="Q36" s="2"/>
      <c r="R36" s="2"/>
    </row>
    <row r="37" customFormat="false" ht="15" hidden="false" customHeight="false" outlineLevel="0" collapsed="false">
      <c r="A37" s="19" t="s">
        <v>507</v>
      </c>
      <c r="B37" s="16" t="n">
        <f aca="false">B33*Assumptions!$B$31*B34</f>
        <v>13659.45525</v>
      </c>
      <c r="C37" s="16" t="n">
        <f aca="false">C33*Assumptions!$B$31*C34</f>
        <v>34421.82723</v>
      </c>
      <c r="D37" s="16" t="n">
        <f aca="false">D33*Assumptions!$B$31*D34</f>
        <v>62319.850065648</v>
      </c>
      <c r="E37" s="16" t="n">
        <f aca="false">E33*Assumptions!$B$31*E34</f>
        <v>101884.179654173</v>
      </c>
      <c r="F37" s="16" t="n">
        <f aca="false">F33*Assumptions!$B$31*F34</f>
        <v>146962.347410493</v>
      </c>
      <c r="G37" s="16" t="n">
        <f aca="false">G33*Assumptions!$B$31*G34</f>
        <v>197682.101856151</v>
      </c>
      <c r="H37" s="16" t="n">
        <f aca="false">H33*Assumptions!$B$31*H34</f>
        <v>254182.669600519</v>
      </c>
      <c r="I37" s="16" t="n">
        <f aca="false">I33*Assumptions!$B$31*I34</f>
        <v>316614.869209338</v>
      </c>
      <c r="J37" s="16" t="n">
        <f aca="false">J33*Assumptions!$B$31*J34</f>
        <v>385141.245670874</v>
      </c>
      <c r="K37" s="16" t="n">
        <f aca="false">K33*Assumptions!$B$31*K34</f>
        <v>459936.225330432</v>
      </c>
      <c r="L37" s="16" t="n">
        <f aca="false">L33*Assumptions!$B$31*L34</f>
        <v>541186.291203863</v>
      </c>
      <c r="M37" s="16" t="n">
        <f aca="false">M33*Assumptions!$B$31*M34</f>
        <v>629090.178619603</v>
      </c>
      <c r="N37" s="16" t="n">
        <f aca="false">N33*Assumptions!$B$31*N34</f>
        <v>723859.091176808</v>
      </c>
      <c r="O37" s="16" t="n">
        <f aca="false">O33*Assumptions!$B$31*O34</f>
        <v>817494.109853521</v>
      </c>
      <c r="P37" s="16" t="n">
        <f aca="false">P33*Assumptions!$B$31*P34</f>
        <v>910169.610603206</v>
      </c>
      <c r="Q37" s="2"/>
      <c r="R37" s="2"/>
    </row>
    <row r="38" customFormat="false" ht="15" hidden="false" customHeight="false" outlineLevel="0" collapsed="false">
      <c r="A38" s="17" t="s">
        <v>215</v>
      </c>
      <c r="B38" s="23" t="n">
        <f aca="false">B29+B30+B37</f>
        <v>717684.45525</v>
      </c>
      <c r="C38" s="23" t="n">
        <f aca="false">C29+C30+C37</f>
        <v>1060061.82723</v>
      </c>
      <c r="D38" s="23" t="n">
        <f aca="false">D29+D30+D37</f>
        <v>1419198.10006565</v>
      </c>
      <c r="E38" s="23" t="n">
        <f aca="false">E29+E30+E37</f>
        <v>2057179.61615417</v>
      </c>
      <c r="F38" s="23" t="n">
        <f aca="false">F29+F30+F37</f>
        <v>2447112.40409049</v>
      </c>
      <c r="G38" s="23" t="n">
        <f aca="false">G29+G30+G37</f>
        <v>2861279.9800341</v>
      </c>
      <c r="H38" s="23" t="n">
        <f aca="false">H29+H30+H37</f>
        <v>3300632.46351528</v>
      </c>
      <c r="I38" s="23" t="n">
        <f aca="false">I29+I30+I37</f>
        <v>3766163.48571477</v>
      </c>
      <c r="J38" s="23" t="n">
        <f aca="false">J29+J30+J37</f>
        <v>4258911.50930788</v>
      </c>
      <c r="K38" s="23" t="n">
        <f aca="false">K29+K30+K37</f>
        <v>4779961.21117206</v>
      </c>
      <c r="L38" s="23" t="n">
        <f aca="false">L29+L30+L37</f>
        <v>5330444.92934512</v>
      </c>
      <c r="M38" s="23" t="n">
        <f aca="false">M29+M30+M37</f>
        <v>5911544.1757112</v>
      </c>
      <c r="N38" s="23" t="n">
        <f aca="false">N29+N30+N37</f>
        <v>6524491.21598144</v>
      </c>
      <c r="O38" s="23" t="n">
        <f aca="false">O29+O30+O37</f>
        <v>6789121.1984023</v>
      </c>
      <c r="P38" s="23" t="n">
        <f aca="false">P29+P30+P37</f>
        <v>7057921.51180844</v>
      </c>
      <c r="Q38" s="2"/>
      <c r="R38" s="2"/>
    </row>
    <row r="39" customFormat="false" ht="15" hidden="false" customHeight="false" outlineLevel="0" collapsed="false">
      <c r="A39" s="41" t="s">
        <v>508</v>
      </c>
      <c r="B39" s="42"/>
      <c r="C39" s="42"/>
      <c r="D39" s="42"/>
      <c r="E39" s="42"/>
      <c r="F39" s="42"/>
      <c r="G39" s="42"/>
      <c r="H39" s="42"/>
      <c r="I39" s="42"/>
      <c r="J39" s="42"/>
      <c r="K39" s="42"/>
      <c r="L39" s="42"/>
      <c r="M39" s="42"/>
      <c r="N39" s="42"/>
      <c r="O39" s="42"/>
      <c r="P39" s="42"/>
      <c r="Q39" s="2"/>
      <c r="R39" s="42"/>
    </row>
    <row r="40" customFormat="false" ht="15" hidden="false" customHeight="false" outlineLevel="0" collapsed="false">
      <c r="A40" s="19" t="s">
        <v>509</v>
      </c>
      <c r="B40" s="16" t="n">
        <f aca="false">B17*(Assumptions!$B$24*Assumptions!$B$25*Assumptions!$B$21+Assumptions!$B$25*Assumptions!$B$22)*(1+Assumptions!$B$23)*12</f>
        <v>250272.18</v>
      </c>
      <c r="C40" s="16" t="n">
        <f aca="false">C17*(Assumptions!$B$24*Assumptions!$B$25*Assumptions!$B$21+Assumptions!$B$25*Assumptions!$B$22)*(1+Assumptions!$B$23)*12*(1+Assumptions!$B$40)^1</f>
        <v>343707.1272</v>
      </c>
      <c r="D40" s="16" t="n">
        <f aca="false">D17*(Assumptions!$B$24*Assumptions!$B$25*Assumptions!$B$21+Assumptions!$B$25*Assumptions!$B$22)*(1+Assumptions!$B$23)*12*(1+Assumptions!$B$40)^2</f>
        <v>442522.92627</v>
      </c>
      <c r="E40" s="16" t="n">
        <f aca="false">E17*(Assumptions!$B$24*Assumptions!$B$25*Assumptions!$B$21+Assumptions!$B$25*Assumptions!$B$22)*(1+Assumptions!$B$23)*12*(1+Assumptions!$B$40)^3</f>
        <v>638118.05968134</v>
      </c>
      <c r="F40" s="16" t="n">
        <f aca="false">F17*(Assumptions!$B$24*Assumptions!$B$25*Assumptions!$B$21+Assumptions!$B$25*Assumptions!$B$22)*(1+Assumptions!$B$23)*12*(1+Assumptions!$B$40)^4</f>
        <v>751156.115967749</v>
      </c>
      <c r="G40" s="16" t="n">
        <f aca="false">G17*(Assumptions!$B$24*Assumptions!$B$25*Assumptions!$B$21+Assumptions!$B$25*Assumptions!$B$22)*(1+Assumptions!$B$23)*12*(1+Assumptions!$B$40)^5</f>
        <v>870402.149377629</v>
      </c>
      <c r="H40" s="16" t="n">
        <f aca="false">H17*(Assumptions!$B$24*Assumptions!$B$25*Assumptions!$B$21+Assumptions!$B$25*Assumptions!$B$22)*(1+Assumptions!$B$23)*12*(1+Assumptions!$B$40)^6</f>
        <v>996126.904287731</v>
      </c>
      <c r="I40" s="16" t="n">
        <f aca="false">I17*(Assumptions!$B$24*Assumptions!$B$25*Assumptions!$B$21+Assumptions!$B$25*Assumptions!$B$22)*(1+Assumptions!$B$23)*12*(1+Assumptions!$B$40)^7</f>
        <v>1128611.782558</v>
      </c>
      <c r="J40" s="16" t="n">
        <f aca="false">J17*(Assumptions!$B$24*Assumptions!$B$25*Assumptions!$B$21+Assumptions!$B$25*Assumptions!$B$22)*(1+Assumptions!$B$23)*12*(1+Assumptions!$B$40)^8</f>
        <v>1268149.23931063</v>
      </c>
      <c r="K40" s="16" t="n">
        <f aca="false">K17*(Assumptions!$B$24*Assumptions!$B$25*Assumptions!$B$21+Assumptions!$B$25*Assumptions!$B$22)*(1+Assumptions!$B$23)*12*(1+Assumptions!$B$40)^9</f>
        <v>1415043.19286411</v>
      </c>
      <c r="L40" s="16" t="n">
        <f aca="false">L17*(Assumptions!$B$24*Assumptions!$B$25*Assumptions!$B$21+Assumptions!$B$25*Assumptions!$B$22)*(1+Assumptions!$B$23)*12*(1+Assumptions!$B$40)^10</f>
        <v>1569609.44931542</v>
      </c>
      <c r="M40" s="16" t="n">
        <f aca="false">M17*(Assumptions!$B$24*Assumptions!$B$25*Assumptions!$B$21+Assumptions!$B$25*Assumptions!$B$22)*(1+Assumptions!$B$23)*12*(1+Assumptions!$B$40)^11</f>
        <v>1732176.14228023</v>
      </c>
      <c r="N40" s="16" t="n">
        <f aca="false">N17*(Assumptions!$B$24*Assumptions!$B$25*Assumptions!$B$21+Assumptions!$B$25*Assumptions!$B$22)*(1+Assumptions!$B$23)*12*(1+Assumptions!$B$40)^12</f>
        <v>1903084.18831854</v>
      </c>
      <c r="O40" s="16" t="n">
        <f aca="false">O17*(Assumptions!$B$24*Assumptions!$B$25*Assumptions!$B$21+Assumptions!$B$25*Assumptions!$B$22)*(1+Assumptions!$B$23)*12*(1+Assumptions!$B$40)^13</f>
        <v>1960176.7139681</v>
      </c>
      <c r="P40" s="16" t="n">
        <f aca="false">P17*(Assumptions!$B$24*Assumptions!$B$25*Assumptions!$B$21+Assumptions!$B$25*Assumptions!$B$22)*(1+Assumptions!$B$23)*12*(1+Assumptions!$B$40)^14</f>
        <v>2018982.01538714</v>
      </c>
      <c r="Q40" s="2"/>
      <c r="R40" s="2"/>
    </row>
    <row r="41" customFormat="false" ht="15" hidden="false" customHeight="false" outlineLevel="0" collapsed="false">
      <c r="A41" s="19" t="s">
        <v>452</v>
      </c>
      <c r="B41" s="16" t="n">
        <f aca="false">(B29+B30)*Assumptions!$B$20+B33*Assumptions!$B$31*Assumptions!$B$35</f>
        <v>144645.0075</v>
      </c>
      <c r="C41" s="16" t="n">
        <f aca="false">(C29+C30)*Assumptions!$B$20+C33*Assumptions!$B$31*Assumptions!$B$35</f>
        <v>214804.8189</v>
      </c>
      <c r="D41" s="16" t="n">
        <f aca="false">(D29+D30)*Assumptions!$B$20+D33*Assumptions!$B$31*Assumptions!$B$35</f>
        <v>288385.005888</v>
      </c>
      <c r="E41" s="16" t="n">
        <f aca="false">(E29+E30)*Assumptions!$B$20+E33*Assumptions!$B$31*Assumptions!$B$35</f>
        <v>418057.05021696</v>
      </c>
      <c r="F41" s="16" t="n">
        <f aca="false">(F29+F30)*Assumptions!$B$20+F33*Assumptions!$B$31*Assumptions!$B$35</f>
        <v>497838.829219603</v>
      </c>
      <c r="G41" s="16" t="n">
        <f aca="false">(G29+G30)*Assumptions!$B$20+G33*Assumptions!$B$31*Assumptions!$B$35</f>
        <v>582095.716588505</v>
      </c>
      <c r="H41" s="16" t="n">
        <f aca="false">(H29+H30)*Assumptions!$B$20+H33*Assumptions!$B$31*Assumptions!$B$35</f>
        <v>670929.373459635</v>
      </c>
      <c r="I41" s="16" t="n">
        <f aca="false">(I29+I30)*Assumptions!$B$20+I33*Assumptions!$B$31*Assumptions!$B$35</f>
        <v>764452.686303633</v>
      </c>
      <c r="J41" s="16" t="n">
        <f aca="false">(J29+J30)*Assumptions!$B$20+J33*Assumptions!$B$31*Assumptions!$B$35</f>
        <v>862789.616689745</v>
      </c>
      <c r="K41" s="16" t="n">
        <f aca="false">(K29+K30)*Assumptions!$B$20+K33*Assumptions!$B$31*Assumptions!$B$35</f>
        <v>966075.090513682</v>
      </c>
      <c r="L41" s="16" t="n">
        <f aca="false">(L29+L30)*Assumptions!$B$20+L33*Assumptions!$B$31*Assumptions!$B$35</f>
        <v>1074454.92450598</v>
      </c>
      <c r="M41" s="16" t="n">
        <f aca="false">(M29+M30)*Assumptions!$B$20+M33*Assumptions!$B$31*Assumptions!$B$35</f>
        <v>1188085.78804583</v>
      </c>
      <c r="N41" s="16" t="n">
        <f aca="false">(N29+N30)*Assumptions!$B$20+N33*Assumptions!$B$31*Assumptions!$B$35</f>
        <v>1307135.19849824</v>
      </c>
      <c r="O41" s="16" t="n">
        <f aca="false">(O29+O30)*Assumptions!$B$20+O33*Assumptions!$B$31*Assumptions!$B$35</f>
        <v>1355514.87336408</v>
      </c>
      <c r="P41" s="16" t="n">
        <f aca="false">(P29+P30)*Assumptions!$B$20+P33*Assumptions!$B$31*Assumptions!$B$35</f>
        <v>1403786.06344303</v>
      </c>
      <c r="Q41" s="2"/>
      <c r="R41" s="2"/>
    </row>
    <row r="42" customFormat="false" ht="15" hidden="false" customHeight="false" outlineLevel="0" collapsed="false">
      <c r="A42" s="17" t="s">
        <v>222</v>
      </c>
      <c r="B42" s="23" t="n">
        <f aca="false">B38-B40-B41</f>
        <v>322767.26775</v>
      </c>
      <c r="C42" s="23" t="n">
        <f aca="false">C38-C40-C41</f>
        <v>501549.88113</v>
      </c>
      <c r="D42" s="23" t="n">
        <f aca="false">D38-D40-D41</f>
        <v>688290.167907648</v>
      </c>
      <c r="E42" s="23" t="n">
        <f aca="false">E38-E40-E41</f>
        <v>1001004.50625587</v>
      </c>
      <c r="F42" s="23" t="n">
        <f aca="false">F38-F40-F41</f>
        <v>1198117.45890314</v>
      </c>
      <c r="G42" s="23" t="n">
        <f aca="false">G38-G40-G41</f>
        <v>1408782.11406797</v>
      </c>
      <c r="H42" s="23" t="n">
        <f aca="false">H38-H40-H41</f>
        <v>1633576.18576792</v>
      </c>
      <c r="I42" s="23" t="n">
        <f aca="false">I38-I40-I41</f>
        <v>1873099.01685313</v>
      </c>
      <c r="J42" s="23" t="n">
        <f aca="false">J38-J40-J41</f>
        <v>2127972.65330751</v>
      </c>
      <c r="K42" s="23" t="n">
        <f aca="false">K38-K40-K41</f>
        <v>2398842.92779427</v>
      </c>
      <c r="L42" s="23" t="n">
        <f aca="false">L38-L40-L41</f>
        <v>2686380.55552372</v>
      </c>
      <c r="M42" s="23" t="n">
        <f aca="false">M38-M40-M41</f>
        <v>2991282.24538515</v>
      </c>
      <c r="N42" s="23" t="n">
        <f aca="false">N38-N40-N41</f>
        <v>3314271.82916467</v>
      </c>
      <c r="O42" s="23" t="n">
        <f aca="false">O38-O40-O41</f>
        <v>3473429.61107012</v>
      </c>
      <c r="P42" s="23" t="n">
        <f aca="false">P38-P40-P41</f>
        <v>3635153.43297828</v>
      </c>
      <c r="Q42" s="2"/>
      <c r="R42" s="2"/>
    </row>
    <row r="43" customFormat="false" ht="15" hidden="false" customHeight="false" outlineLevel="0" collapsed="false">
      <c r="A43" s="19" t="s">
        <v>510</v>
      </c>
      <c r="B43" s="16" t="n">
        <f aca="false">(B24*Assumptions!$B$53+B25*Assumptions!$B$54+B26*Assumptions!$B$55)</f>
        <v>0</v>
      </c>
      <c r="C43" s="16" t="n">
        <f aca="false">(C24*Assumptions!$B$53+C25*Assumptions!$B$54+C26*Assumptions!$B$55)</f>
        <v>48000</v>
      </c>
      <c r="D43" s="16" t="n">
        <f aca="false">(D24*Assumptions!$B$53+D25*Assumptions!$B$54+D26*Assumptions!$B$55)</f>
        <v>96000</v>
      </c>
      <c r="E43" s="16" t="n">
        <f aca="false">(E24*Assumptions!$B$53+E25*Assumptions!$B$54+E26*Assumptions!$B$55)</f>
        <v>168000</v>
      </c>
      <c r="F43" s="16" t="n">
        <f aca="false">(F24*Assumptions!$B$53+F25*Assumptions!$B$54+F26*Assumptions!$B$55)</f>
        <v>284000</v>
      </c>
      <c r="G43" s="16" t="n">
        <f aca="false">(G24*Assumptions!$B$53+G25*Assumptions!$B$54+G26*Assumptions!$B$55)</f>
        <v>404000</v>
      </c>
      <c r="H43" s="16" t="n">
        <f aca="false">(H24*Assumptions!$B$53+H25*Assumptions!$B$54+H26*Assumptions!$B$55)</f>
        <v>404000</v>
      </c>
      <c r="I43" s="16" t="n">
        <f aca="false">(I24*Assumptions!$B$53+I25*Assumptions!$B$54+I26*Assumptions!$B$55)</f>
        <v>404000</v>
      </c>
      <c r="J43" s="16" t="n">
        <f aca="false">(J24*Assumptions!$B$53+J25*Assumptions!$B$54+J26*Assumptions!$B$55)</f>
        <v>404000</v>
      </c>
      <c r="K43" s="16" t="n">
        <f aca="false">(K24*Assumptions!$B$53+K25*Assumptions!$B$54+K26*Assumptions!$B$55)</f>
        <v>510000</v>
      </c>
      <c r="L43" s="16" t="n">
        <f aca="false">(L24*Assumptions!$B$53+L25*Assumptions!$B$54+L26*Assumptions!$B$55)</f>
        <v>510000</v>
      </c>
      <c r="M43" s="16" t="n">
        <f aca="false">(M24*Assumptions!$B$53+M25*Assumptions!$B$54+M26*Assumptions!$B$55)</f>
        <v>510000</v>
      </c>
      <c r="N43" s="16" t="n">
        <f aca="false">(N24*Assumptions!$B$53+N25*Assumptions!$B$54+N26*Assumptions!$B$55)</f>
        <v>510000</v>
      </c>
      <c r="O43" s="16" t="n">
        <f aca="false">(O24*Assumptions!$B$53+O25*Assumptions!$B$54+O26*Assumptions!$B$55)</f>
        <v>510000</v>
      </c>
      <c r="P43" s="16" t="n">
        <f aca="false">(P24*Assumptions!$B$53+P25*Assumptions!$B$54+P26*Assumptions!$B$55)</f>
        <v>510000</v>
      </c>
      <c r="Q43" s="2"/>
      <c r="R43" s="2"/>
    </row>
    <row r="44" customFormat="false" ht="15" hidden="false" customHeight="false" outlineLevel="0" collapsed="false">
      <c r="A44" s="19" t="s">
        <v>511</v>
      </c>
      <c r="B44" s="16" t="n">
        <f aca="false">(Assumptions!$B$76+Assumptions!$B$78+Assumptions!$B$79+Assumptions!$B$80+Assumptions!$B$81)*12+B17*22000+B38*0.05+Assumptions!$B$82*Assumptions!$B$83*12+'Equipment plan'!$H$10*12*MAX(0,B17-1)</f>
        <v>216184.37731698</v>
      </c>
      <c r="C44" s="16" t="n">
        <f aca="false">(Assumptions!$B$76+Assumptions!$B$78+Assumptions!$B$79+Assumptions!$B$80+Assumptions!$B$81)*12+C17*22000+C38*0.05+Assumptions!$B$82*Assumptions!$B$83*12*MIN(3,C17/2)+'Equipment plan'!$H$10*12*MAX(0,C17-1)</f>
        <v>258103.40047046</v>
      </c>
      <c r="D44" s="16" t="n">
        <f aca="false">(Assumptions!$B$76+Assumptions!$B$78+Assumptions!$B$79+Assumptions!$B$80+Assumptions!$B$81)*12+D17*22000+D38*0.05+Assumptions!$B$82*Assumptions!$B$83*12*MIN(3,D17/2)+'Equipment plan'!$H$10*12*MAX(0,D17-1)</f>
        <v>307235.368666723</v>
      </c>
      <c r="E44" s="16" t="n">
        <f aca="false">(Assumptions!$B$76+Assumptions!$B$78+Assumptions!$B$79+Assumptions!$B$80+Assumptions!$B$81)*12+E17*22000+E38*0.05+Assumptions!$B$82*Assumptions!$B$83*12*MIN(3,E17/2)+'Equipment plan'!$H$10*12*MAX(0,E17-1)</f>
        <v>401484.753580109</v>
      </c>
      <c r="F44" s="16" t="n">
        <f aca="false">(Assumptions!$B$76+Assumptions!$B$78+Assumptions!$B$79+Assumptions!$B$80+Assumptions!$B$81)*12+F17*22000+F38*0.05+Assumptions!$B$82*Assumptions!$B$83*12*MIN(3,F17/2)+'Equipment plan'!$H$10*12*MAX(0,F17-1)</f>
        <v>452156.547531406</v>
      </c>
      <c r="G44" s="16" t="n">
        <f aca="false">(Assumptions!$B$76+Assumptions!$B$78+Assumptions!$B$79+Assumptions!$B$80+Assumptions!$B$81)*12+G17*22000+G38*0.05+Assumptions!$B$82*Assumptions!$B$83*12*MIN(3,G17/2)+'Equipment plan'!$H$10*12*MAX(0,G17-1)</f>
        <v>504040.080883066</v>
      </c>
      <c r="H44" s="16" t="n">
        <f aca="false">(Assumptions!$B$76+Assumptions!$B$78+Assumptions!$B$79+Assumptions!$B$80+Assumptions!$B$81)*12+H17*22000+H38*0.05+Assumptions!$B$82*Assumptions!$B$83*12*MIN(3,H17/2)+'Equipment plan'!$H$10*12*MAX(0,H17-1)</f>
        <v>557182.859611605</v>
      </c>
      <c r="I44" s="16" t="n">
        <f aca="false">(Assumptions!$B$76+Assumptions!$B$78+Assumptions!$B$79+Assumptions!$B$80+Assumptions!$B$81)*12+I17*22000+I38*0.05+Assumptions!$B$82*Assumptions!$B$83*12*MIN(3,I17/2)+'Equipment plan'!$H$10*12*MAX(0,I17-1)</f>
        <v>611634.56527606</v>
      </c>
      <c r="J44" s="16" t="n">
        <f aca="false">(Assumptions!$B$76+Assumptions!$B$78+Assumptions!$B$79+Assumptions!$B$80+Assumptions!$B$81)*12+J17*22000+J38*0.05+Assumptions!$B$82*Assumptions!$B$83*12*MIN(3,J17/2)+'Equipment plan'!$H$10*12*MAX(0,J17-1)</f>
        <v>667447.121010196</v>
      </c>
      <c r="K44" s="16" t="n">
        <f aca="false">(Assumptions!$B$76+Assumptions!$B$78+Assumptions!$B$79+Assumptions!$B$80+Assumptions!$B$81)*12+K17*22000+K38*0.05+Assumptions!$B$82*Assumptions!$B$83*12*MIN(3,K17/2)+'Equipment plan'!$H$10*12*MAX(0,K17-1)</f>
        <v>718299.760657885</v>
      </c>
      <c r="L44" s="16" t="n">
        <f aca="false">(Assumptions!$B$76+Assumptions!$B$78+Assumptions!$B$79+Assumptions!$B$80+Assumptions!$B$81)*12+L17*22000+L38*0.05+Assumptions!$B$82*Assumptions!$B$83*12*MIN(3,L17/2)+'Equipment plan'!$H$10*12*MAX(0,L17-1)</f>
        <v>770624.101121018</v>
      </c>
      <c r="M44" s="16" t="n">
        <f aca="false">(Assumptions!$B$76+Assumptions!$B$78+Assumptions!$B$79+Assumptions!$B$80+Assumptions!$B$81)*12+M17*22000+M38*0.05+Assumptions!$B$82*Assumptions!$B$83*12*MIN(3,M17/2)+'Equipment plan'!$H$10*12*MAX(0,M17-1)</f>
        <v>824479.217993802</v>
      </c>
      <c r="N44" s="16" t="n">
        <f aca="false">(Assumptions!$B$76+Assumptions!$B$78+Assumptions!$B$79+Assumptions!$B$80+Assumptions!$B$81)*12+N17*22000+N38*0.05+Assumptions!$B$82*Assumptions!$B$83*12*MIN(3,N17/2)+'Equipment plan'!$H$10*12*MAX(0,N17-1)</f>
        <v>879926.724561794</v>
      </c>
      <c r="O44" s="16" t="n">
        <f aca="false">(Assumptions!$B$76+Assumptions!$B$78+Assumptions!$B$79+Assumptions!$B$80+Assumptions!$B$81)*12+O17*22000+O38*0.05+Assumptions!$B$82*Assumptions!$B$83*12*MIN(3,O17/2)+'Equipment plan'!$H$10*12*MAX(0,O17-1)</f>
        <v>893158.223682837</v>
      </c>
      <c r="P44" s="16" t="n">
        <f aca="false">(Assumptions!$B$76+Assumptions!$B$78+Assumptions!$B$79+Assumptions!$B$80+Assumptions!$B$81)*12+P17*22000+P38*0.05+Assumptions!$B$82*Assumptions!$B$83*12*MIN(3,P17/2)+'Equipment plan'!$H$10*12*MAX(0,P17-1)</f>
        <v>906598.239353144</v>
      </c>
      <c r="Q44" s="2"/>
      <c r="R44" s="7" t="s">
        <v>512</v>
      </c>
    </row>
    <row r="45" customFormat="false" ht="15" hidden="false" customHeight="false" outlineLevel="0" collapsed="false">
      <c r="A45" s="17" t="s">
        <v>513</v>
      </c>
      <c r="B45" s="23" t="n">
        <f aca="false">B42-B43-B44</f>
        <v>106582.89043302</v>
      </c>
      <c r="C45" s="23" t="n">
        <f aca="false">C42-C43-C44</f>
        <v>195446.48065954</v>
      </c>
      <c r="D45" s="23" t="n">
        <f aca="false">D42-D43-D44</f>
        <v>285054.799240925</v>
      </c>
      <c r="E45" s="23" t="n">
        <f aca="false">E42-E43-E44</f>
        <v>431519.752675763</v>
      </c>
      <c r="F45" s="23" t="n">
        <f aca="false">F42-F43-F44</f>
        <v>461960.911371735</v>
      </c>
      <c r="G45" s="23" t="n">
        <f aca="false">G42-G43-G44</f>
        <v>500742.033184901</v>
      </c>
      <c r="H45" s="23" t="n">
        <f aca="false">H42-H43-H44</f>
        <v>672393.326156313</v>
      </c>
      <c r="I45" s="23" t="n">
        <f aca="false">I42-I43-I44</f>
        <v>857464.451577075</v>
      </c>
      <c r="J45" s="23" t="n">
        <f aca="false">J42-J43-J44</f>
        <v>1056525.53229732</v>
      </c>
      <c r="K45" s="23" t="n">
        <f aca="false">K42-K43-K44</f>
        <v>1170543.16713639</v>
      </c>
      <c r="L45" s="23" t="n">
        <f aca="false">L42-L43-L44</f>
        <v>1405756.45440271</v>
      </c>
      <c r="M45" s="23" t="n">
        <f aca="false">M42-M43-M44</f>
        <v>1656803.02739134</v>
      </c>
      <c r="N45" s="23" t="n">
        <f aca="false">N42-N43-N44</f>
        <v>1924345.10460287</v>
      </c>
      <c r="O45" s="23" t="n">
        <f aca="false">O42-O43-O44</f>
        <v>2070271.38738728</v>
      </c>
      <c r="P45" s="23" t="n">
        <f aca="false">P42-P43-P44</f>
        <v>2218555.19362513</v>
      </c>
      <c r="Q45" s="2"/>
      <c r="R45" s="2"/>
    </row>
    <row r="46" customFormat="false" ht="15" hidden="false" customHeight="false" outlineLevel="0" collapsed="false">
      <c r="A46" s="4" t="s">
        <v>514</v>
      </c>
      <c r="B46" s="5"/>
      <c r="C46" s="5"/>
      <c r="D46" s="5"/>
      <c r="E46" s="5"/>
      <c r="F46" s="5"/>
      <c r="G46" s="5"/>
      <c r="H46" s="5"/>
      <c r="I46" s="5"/>
      <c r="J46" s="5"/>
      <c r="K46" s="5"/>
      <c r="L46" s="5"/>
      <c r="M46" s="5"/>
      <c r="N46" s="5"/>
      <c r="O46" s="5"/>
      <c r="P46" s="5"/>
      <c r="Q46" s="2"/>
      <c r="R46" s="5"/>
    </row>
    <row r="47" customFormat="false" ht="15" hidden="false" customHeight="false" outlineLevel="0" collapsed="false">
      <c r="A47" s="19" t="s">
        <v>515</v>
      </c>
      <c r="B47" s="16" t="n">
        <f aca="false">MAX(0,B17-1)*'Equipment plan'!$B$10</f>
        <v>69250</v>
      </c>
      <c r="C47" s="16" t="n">
        <f aca="false">MAX(0,C17-B17)*'Equipment plan'!$B$10</f>
        <v>69250</v>
      </c>
      <c r="D47" s="16" t="n">
        <f aca="false">MAX(0,D17-C17)*'Equipment plan'!$B$10</f>
        <v>69250</v>
      </c>
      <c r="E47" s="16" t="n">
        <f aca="false">MAX(0,E17-D17)*'Equipment plan'!$B$10</f>
        <v>138500</v>
      </c>
      <c r="F47" s="16" t="n">
        <f aca="false">MAX(0,F17-E17)*'Equipment plan'!$B$10</f>
        <v>69250</v>
      </c>
      <c r="G47" s="16" t="n">
        <f aca="false">MAX(0,G17-F17)*'Equipment plan'!$B$10</f>
        <v>69250</v>
      </c>
      <c r="H47" s="16" t="n">
        <f aca="false">MAX(0,H17-G17)*'Equipment plan'!$B$10</f>
        <v>69250</v>
      </c>
      <c r="I47" s="16" t="n">
        <f aca="false">MAX(0,I17-H17)*'Equipment plan'!$B$10</f>
        <v>69250</v>
      </c>
      <c r="J47" s="16" t="n">
        <f aca="false">MAX(0,J17-I17)*'Equipment plan'!$B$10</f>
        <v>69250</v>
      </c>
      <c r="K47" s="16" t="n">
        <f aca="false">MAX(0,K17-J17)*'Equipment plan'!$B$10</f>
        <v>69250</v>
      </c>
      <c r="L47" s="16" t="n">
        <f aca="false">MAX(0,L17-K17)*'Equipment plan'!$B$10</f>
        <v>69250</v>
      </c>
      <c r="M47" s="16" t="n">
        <f aca="false">MAX(0,M17-L17)*'Equipment plan'!$B$10</f>
        <v>69250</v>
      </c>
      <c r="N47" s="16" t="n">
        <f aca="false">MAX(0,N17-M17)*'Equipment plan'!$B$10</f>
        <v>69250</v>
      </c>
      <c r="O47" s="16" t="n">
        <f aca="false">MAX(0,O17-N17)*'Equipment plan'!$B$10</f>
        <v>0</v>
      </c>
      <c r="P47" s="16" t="n">
        <f aca="false">MAX(0,P17-O17)*'Equipment plan'!$B$10</f>
        <v>0</v>
      </c>
      <c r="Q47" s="2"/>
      <c r="R47" s="2"/>
    </row>
    <row r="48" customFormat="false" ht="15" hidden="false" customHeight="false" outlineLevel="0" collapsed="false">
      <c r="A48" s="19" t="s">
        <v>516</v>
      </c>
      <c r="B48" s="16" t="n">
        <f aca="false">Assumptions!$B$43+B47</f>
        <v>129250</v>
      </c>
      <c r="C48" s="16" t="n">
        <f aca="false">B48+C47</f>
        <v>198500</v>
      </c>
      <c r="D48" s="16" t="n">
        <f aca="false">C48+D47</f>
        <v>267750</v>
      </c>
      <c r="E48" s="16" t="n">
        <f aca="false">D48+E47</f>
        <v>406250</v>
      </c>
      <c r="F48" s="16" t="n">
        <f aca="false">E48+F47</f>
        <v>475500</v>
      </c>
      <c r="G48" s="16" t="n">
        <f aca="false">F48+G47</f>
        <v>544750</v>
      </c>
      <c r="H48" s="16" t="n">
        <f aca="false">G48+H47</f>
        <v>614000</v>
      </c>
      <c r="I48" s="16" t="n">
        <f aca="false">H48+I47</f>
        <v>683250</v>
      </c>
      <c r="J48" s="16" t="n">
        <f aca="false">I48+J47</f>
        <v>752500</v>
      </c>
      <c r="K48" s="16" t="n">
        <f aca="false">J48+K47</f>
        <v>821750</v>
      </c>
      <c r="L48" s="16" t="n">
        <f aca="false">K48+L47</f>
        <v>891000</v>
      </c>
      <c r="M48" s="16" t="n">
        <f aca="false">L48+M47</f>
        <v>960250</v>
      </c>
      <c r="N48" s="16" t="n">
        <f aca="false">M48+N47</f>
        <v>1029500</v>
      </c>
      <c r="O48" s="16" t="n">
        <f aca="false">N48+O47</f>
        <v>1029500</v>
      </c>
      <c r="P48" s="16" t="n">
        <f aca="false">O48+P47</f>
        <v>1029500</v>
      </c>
      <c r="Q48" s="2"/>
      <c r="R48" s="2"/>
    </row>
    <row r="49" customFormat="false" ht="15" hidden="false" customHeight="false" outlineLevel="0" collapsed="false">
      <c r="A49" s="19" t="s">
        <v>517</v>
      </c>
      <c r="B49" s="16" t="n">
        <f aca="false">B48*(1-1/Assumptions!$B$44)</f>
        <v>110785.714285714</v>
      </c>
      <c r="C49" s="16" t="n">
        <f aca="false">MAX(C48*0.25,B49*(1-1/Assumptions!$B$44)+C47*(1-1/Assumptions!$B$44))</f>
        <v>154316.326530612</v>
      </c>
      <c r="D49" s="16" t="n">
        <f aca="false">MAX(D48*0.25,C49*(1-1/Assumptions!$B$44)+D47*(1-1/Assumptions!$B$44))</f>
        <v>191628.279883382</v>
      </c>
      <c r="E49" s="16" t="n">
        <f aca="false">MAX(E48*0.25,D49*(1-1/Assumptions!$B$44)+E47*(1-1/Assumptions!$B$44))</f>
        <v>282967.097042899</v>
      </c>
      <c r="F49" s="16" t="n">
        <f aca="false">MAX(F48*0.25,E49*(1-1/Assumptions!$B$44)+F47*(1-1/Assumptions!$B$44))</f>
        <v>301900.368893913</v>
      </c>
      <c r="G49" s="16" t="n">
        <f aca="false">MAX(G48*0.25,F49*(1-1/Assumptions!$B$44)+G47*(1-1/Assumptions!$B$44))</f>
        <v>318128.887623354</v>
      </c>
      <c r="H49" s="16" t="n">
        <f aca="false">MAX(H48*0.25,G49*(1-1/Assumptions!$B$44)+H47*(1-1/Assumptions!$B$44))</f>
        <v>332039.046534304</v>
      </c>
      <c r="I49" s="16" t="n">
        <f aca="false">MAX(I48*0.25,H49*(1-1/Assumptions!$B$44)+I47*(1-1/Assumptions!$B$44))</f>
        <v>343962.039886546</v>
      </c>
      <c r="J49" s="16" t="n">
        <f aca="false">MAX(J48*0.25,I49*(1-1/Assumptions!$B$44)+J47*(1-1/Assumptions!$B$44))</f>
        <v>354181.748474182</v>
      </c>
      <c r="K49" s="16" t="n">
        <f aca="false">MAX(K48*0.25,J49*(1-1/Assumptions!$B$44)+K47*(1-1/Assumptions!$B$44))</f>
        <v>362941.498692156</v>
      </c>
      <c r="L49" s="16" t="n">
        <f aca="false">MAX(L48*0.25,K49*(1-1/Assumptions!$B$44)+L47*(1-1/Assumptions!$B$44))</f>
        <v>370449.856021848</v>
      </c>
      <c r="M49" s="16" t="n">
        <f aca="false">MAX(M48*0.25,L49*(1-1/Assumptions!$B$44)+M47*(1-1/Assumptions!$B$44))</f>
        <v>376885.59087587</v>
      </c>
      <c r="N49" s="16" t="n">
        <f aca="false">MAX(N48*0.25,M49*(1-1/Assumptions!$B$44)+N47*(1-1/Assumptions!$B$44))</f>
        <v>382401.93503646</v>
      </c>
      <c r="O49" s="16" t="n">
        <f aca="false">MAX(O48*0.25,N49*(1-1/Assumptions!$B$44)+O47*(1-1/Assumptions!$B$44))</f>
        <v>327773.087174109</v>
      </c>
      <c r="P49" s="16" t="n">
        <f aca="false">MAX(P48*0.25,O49*(1-1/Assumptions!$B$44)+P47*(1-1/Assumptions!$B$44))</f>
        <v>280948.36043495</v>
      </c>
      <c r="Q49" s="2"/>
      <c r="R49" s="7" t="s">
        <v>518</v>
      </c>
    </row>
    <row r="50" customFormat="false" ht="15" hidden="false" customHeight="false" outlineLevel="0" collapsed="false">
      <c r="A50" s="19" t="s">
        <v>519</v>
      </c>
      <c r="B50" s="16" t="n">
        <f aca="false">MAX(0,B47*0.8*0.85)</f>
        <v>47090</v>
      </c>
      <c r="C50" s="16" t="n">
        <f aca="false">MAX(0,B50*0.75+C47*0.8*0.85)</f>
        <v>82407.5</v>
      </c>
      <c r="D50" s="16" t="n">
        <f aca="false">MAX(0,C50*0.75+D47*0.8*0.85)</f>
        <v>108895.625</v>
      </c>
      <c r="E50" s="16" t="n">
        <f aca="false">MAX(0,D50*0.75+E47*0.8*0.85)</f>
        <v>175851.71875</v>
      </c>
      <c r="F50" s="16" t="n">
        <f aca="false">MAX(0,E50*0.75+F47*0.8*0.85)</f>
        <v>178978.7890625</v>
      </c>
      <c r="G50" s="16" t="n">
        <f aca="false">MAX(0,F50*0.75+G47*0.8*0.85)</f>
        <v>181324.091796875</v>
      </c>
      <c r="H50" s="16" t="n">
        <f aca="false">MAX(0,G50*0.75+H47*0.8*0.85)</f>
        <v>183083.068847656</v>
      </c>
      <c r="I50" s="16" t="n">
        <f aca="false">MAX(0,H50*0.75+I47*0.8*0.85)</f>
        <v>184402.301635742</v>
      </c>
      <c r="J50" s="16" t="n">
        <f aca="false">MAX(0,I50*0.75+J47*0.8*0.85)</f>
        <v>185391.726226807</v>
      </c>
      <c r="K50" s="16" t="n">
        <f aca="false">MAX(0,J50*0.75+K47*0.8*0.85)</f>
        <v>186133.794670105</v>
      </c>
      <c r="L50" s="16" t="n">
        <f aca="false">MAX(0,K50*0.75+L47*0.8*0.85)</f>
        <v>186690.346002579</v>
      </c>
      <c r="M50" s="16" t="n">
        <f aca="false">MAX(0,L50*0.75+M47*0.8*0.85)</f>
        <v>187107.759501934</v>
      </c>
      <c r="N50" s="16" t="n">
        <f aca="false">MAX(0,M50*0.75+N47*0.8*0.85)</f>
        <v>187420.819626451</v>
      </c>
      <c r="O50" s="16" t="n">
        <f aca="false">MAX(0,N50*0.75+O47*0.8*0.85)</f>
        <v>140565.614719838</v>
      </c>
      <c r="P50" s="16" t="n">
        <f aca="false">MAX(0,O50*0.75+P47*0.8*0.85)</f>
        <v>105424.211039878</v>
      </c>
      <c r="Q50" s="2"/>
      <c r="R50" s="7" t="s">
        <v>520</v>
      </c>
    </row>
    <row r="51" customFormat="false" ht="15" hidden="false" customHeight="false" outlineLevel="0" collapsed="false">
      <c r="A51" s="19" t="s">
        <v>521</v>
      </c>
      <c r="B51" s="16" t="n">
        <f aca="false">MAX(0,B45)*Assumptions!$B$42</f>
        <v>63949.7342598119</v>
      </c>
      <c r="C51" s="16" t="n">
        <f aca="false">MAX(0,C45)*Assumptions!$B$42</f>
        <v>117267.888395724</v>
      </c>
      <c r="D51" s="16" t="n">
        <f aca="false">MAX(0,D45)*Assumptions!$B$42</f>
        <v>171032.879544555</v>
      </c>
      <c r="E51" s="16" t="n">
        <f aca="false">MAX(0,E45)*Assumptions!$B$42</f>
        <v>258911.851605458</v>
      </c>
      <c r="F51" s="16" t="n">
        <f aca="false">MAX(0,F45)*Assumptions!$B$42</f>
        <v>277176.546823041</v>
      </c>
      <c r="G51" s="16" t="n">
        <f aca="false">MAX(0,G45)*Assumptions!$B$42</f>
        <v>300445.219910941</v>
      </c>
      <c r="H51" s="16" t="n">
        <f aca="false">MAX(0,H45)*Assumptions!$B$42</f>
        <v>403435.995693787</v>
      </c>
      <c r="I51" s="16" t="n">
        <f aca="false">MAX(0,I45)*Assumptions!$B$42</f>
        <v>514478.670946245</v>
      </c>
      <c r="J51" s="16" t="n">
        <f aca="false">MAX(0,J45)*Assumptions!$B$42</f>
        <v>633915.319378391</v>
      </c>
      <c r="K51" s="16" t="n">
        <f aca="false">MAX(0,K45)*Assumptions!$B$42</f>
        <v>702325.900281834</v>
      </c>
      <c r="L51" s="16" t="n">
        <f aca="false">MAX(0,L45)*Assumptions!$B$42</f>
        <v>843453.872641623</v>
      </c>
      <c r="M51" s="16" t="n">
        <f aca="false">MAX(0,M45)*Assumptions!$B$42</f>
        <v>994081.816434806</v>
      </c>
      <c r="N51" s="16" t="n">
        <f aca="false">MAX(0,N45)*Assumptions!$B$42</f>
        <v>1154607.06276172</v>
      </c>
      <c r="O51" s="16" t="n">
        <f aca="false">MAX(0,O45)*Assumptions!$B$42</f>
        <v>1242162.83243237</v>
      </c>
      <c r="P51" s="16" t="n">
        <f aca="false">MAX(0,P45)*Assumptions!$B$42</f>
        <v>1331133.11617508</v>
      </c>
      <c r="Q51" s="2"/>
      <c r="R51" s="7" t="s">
        <v>522</v>
      </c>
    </row>
    <row r="52" customFormat="false" ht="15" hidden="false" customHeight="false" outlineLevel="0" collapsed="false">
      <c r="A52" s="17" t="s">
        <v>523</v>
      </c>
      <c r="B52" s="23" t="n">
        <f aca="false">B51</f>
        <v>63949.7342598119</v>
      </c>
      <c r="C52" s="23" t="n">
        <f aca="false">B52+C51</f>
        <v>181217.622655536</v>
      </c>
      <c r="D52" s="23" t="n">
        <f aca="false">C52+D51</f>
        <v>352250.502200091</v>
      </c>
      <c r="E52" s="23" t="n">
        <f aca="false">D52+E51</f>
        <v>611162.353805549</v>
      </c>
      <c r="F52" s="23" t="n">
        <f aca="false">E52+F51</f>
        <v>888338.90062859</v>
      </c>
      <c r="G52" s="23" t="n">
        <f aca="false">F52+G51</f>
        <v>1188784.12053953</v>
      </c>
      <c r="H52" s="23" t="n">
        <f aca="false">G52+H51</f>
        <v>1592220.11623332</v>
      </c>
      <c r="I52" s="23" t="n">
        <f aca="false">H52+I51</f>
        <v>2106698.78717956</v>
      </c>
      <c r="J52" s="23" t="n">
        <f aca="false">I52+J51</f>
        <v>2740614.10655795</v>
      </c>
      <c r="K52" s="23" t="n">
        <f aca="false">J52+K51</f>
        <v>3442940.00683979</v>
      </c>
      <c r="L52" s="23" t="n">
        <f aca="false">K52+L51</f>
        <v>4286393.87948141</v>
      </c>
      <c r="M52" s="23" t="n">
        <f aca="false">L52+M51</f>
        <v>5280475.69591622</v>
      </c>
      <c r="N52" s="23" t="n">
        <f aca="false">M52+N51</f>
        <v>6435082.75867794</v>
      </c>
      <c r="O52" s="23" t="n">
        <f aca="false">N52+O51</f>
        <v>7677245.59111031</v>
      </c>
      <c r="P52" s="23" t="n">
        <f aca="false">O52+P51</f>
        <v>9008378.70728539</v>
      </c>
      <c r="Q52" s="2"/>
      <c r="R52" s="7" t="s">
        <v>524</v>
      </c>
    </row>
    <row r="53" customFormat="false" ht="15" hidden="false" customHeight="false" outlineLevel="0" collapsed="false">
      <c r="A53" s="17" t="s">
        <v>525</v>
      </c>
      <c r="B53" s="23" t="n">
        <f aca="false">Assumptions!$B$60+B45-B51-B47*0.2</f>
        <v>53783.1561732079</v>
      </c>
      <c r="C53" s="23" t="n">
        <f aca="false">B53+C45-C51-C47*0.2</f>
        <v>118111.748437024</v>
      </c>
      <c r="D53" s="23" t="n">
        <f aca="false">C53+D45-D51-D47*0.2</f>
        <v>218283.668133394</v>
      </c>
      <c r="E53" s="23" t="n">
        <f aca="false">D53+E45-E51-E47*0.2</f>
        <v>363191.569203699</v>
      </c>
      <c r="F53" s="23" t="n">
        <f aca="false">E53+F45-F51-F47*0.2</f>
        <v>534125.933752393</v>
      </c>
      <c r="G53" s="23" t="n">
        <f aca="false">F53+G45-G51-G47*0.2</f>
        <v>720572.747026354</v>
      </c>
      <c r="H53" s="23" t="n">
        <f aca="false">G53+H45-H51-H47*0.2</f>
        <v>975680.077488879</v>
      </c>
      <c r="I53" s="23" t="n">
        <f aca="false">H53+I45-I51-I47*0.2</f>
        <v>1304815.85811971</v>
      </c>
      <c r="J53" s="23" t="n">
        <f aca="false">I53+J45-J51-J47*0.2</f>
        <v>1713576.07103864</v>
      </c>
      <c r="K53" s="23" t="n">
        <f aca="false">J53+K45-K51-K47*0.2</f>
        <v>2167943.33789319</v>
      </c>
      <c r="L53" s="23" t="n">
        <f aca="false">K53+L45-L51-L47*0.2</f>
        <v>2716395.91965427</v>
      </c>
      <c r="M53" s="23" t="n">
        <f aca="false">L53+M45-M51-M47*0.2</f>
        <v>3365267.13061081</v>
      </c>
      <c r="N53" s="23" t="n">
        <f aca="false">M53+N45-N51-N47*0.2</f>
        <v>4121155.17245196</v>
      </c>
      <c r="O53" s="23" t="n">
        <f aca="false">N53+O45-O51-O47*0.2</f>
        <v>4949263.72740687</v>
      </c>
      <c r="P53" s="23" t="n">
        <f aca="false">O53+P45-P51-P47*0.2</f>
        <v>5836685.80485692</v>
      </c>
      <c r="Q53" s="2"/>
      <c r="R53" s="7" t="s">
        <v>526</v>
      </c>
    </row>
    <row r="54" customFormat="false" ht="15" hidden="false" customHeight="false" outlineLevel="0" collapsed="false">
      <c r="A54" s="19" t="s">
        <v>527</v>
      </c>
      <c r="B54" s="16" t="n">
        <f aca="false">B45+Assumptions!$B$76*12</f>
        <v>178582.89043302</v>
      </c>
      <c r="C54" s="16" t="n">
        <f aca="false">C45+Assumptions!$B$76*12</f>
        <v>267446.48065954</v>
      </c>
      <c r="D54" s="16" t="n">
        <f aca="false">D45+Assumptions!$B$76*12</f>
        <v>357054.799240925</v>
      </c>
      <c r="E54" s="16" t="n">
        <f aca="false">E45+Assumptions!$B$76*12</f>
        <v>503519.752675763</v>
      </c>
      <c r="F54" s="16" t="n">
        <f aca="false">F45+Assumptions!$B$76*12</f>
        <v>533960.911371735</v>
      </c>
      <c r="G54" s="16" t="n">
        <f aca="false">G45+Assumptions!$B$76*12</f>
        <v>572742.033184901</v>
      </c>
      <c r="H54" s="16" t="n">
        <f aca="false">H45+Assumptions!$B$76*12</f>
        <v>744393.326156313</v>
      </c>
      <c r="I54" s="16" t="n">
        <f aca="false">I45+Assumptions!$B$76*12</f>
        <v>929464.451577075</v>
      </c>
      <c r="J54" s="16" t="n">
        <f aca="false">J45+Assumptions!$B$76*12</f>
        <v>1128525.53229732</v>
      </c>
      <c r="K54" s="16" t="n">
        <f aca="false">K45+Assumptions!$B$76*12</f>
        <v>1242543.16713639</v>
      </c>
      <c r="L54" s="16" t="n">
        <f aca="false">L45+Assumptions!$B$76*12</f>
        <v>1477756.45440271</v>
      </c>
      <c r="M54" s="16" t="n">
        <f aca="false">M45+Assumptions!$B$76*12</f>
        <v>1728803.02739134</v>
      </c>
      <c r="N54" s="16" t="n">
        <f aca="false">N45+Assumptions!$B$76*12</f>
        <v>1996345.10460287</v>
      </c>
      <c r="O54" s="16" t="n">
        <f aca="false">O45+Assumptions!$B$76*12</f>
        <v>2142271.38738728</v>
      </c>
      <c r="P54" s="16" t="n">
        <f aca="false">P45+Assumptions!$B$76*12</f>
        <v>2290555.19362513</v>
      </c>
      <c r="Q54" s="2"/>
      <c r="R54" s="2"/>
    </row>
    <row r="55" customFormat="false" ht="15" hidden="false" customHeight="false" outlineLevel="0" collapsed="false">
      <c r="A55" s="19" t="s">
        <v>528</v>
      </c>
      <c r="B55" s="16" t="n">
        <f aca="false">B54-B37+B33*Assumptions!$B$31*Assumptions!$B$35</f>
        <v>168763.44268302</v>
      </c>
      <c r="C55" s="16" t="n">
        <f aca="false">C54-C37+C33*Assumptions!$B$31*Assumptions!$B$35</f>
        <v>242701.47232954</v>
      </c>
      <c r="D55" s="16" t="n">
        <f aca="false">D54-D37+D33*Assumptions!$B$31*Assumptions!$B$35</f>
        <v>311744.305063277</v>
      </c>
      <c r="E55" s="16" t="n">
        <f aca="false">E54-E37+E33*Assumptions!$B$31*Assumptions!$B$35</f>
        <v>428633.53593855</v>
      </c>
      <c r="F55" s="16" t="n">
        <f aca="false">F54-F37+F33*Assumptions!$B$31*Assumptions!$B$35</f>
        <v>424807.381844845</v>
      </c>
      <c r="G55" s="16" t="n">
        <f aca="false">G54-G37+G33*Assumptions!$B$31*Assumptions!$B$35</f>
        <v>424436.072281665</v>
      </c>
      <c r="H55" s="16" t="n">
        <f aca="false">H54-H37+H33*Assumptions!$B$31*Assumptions!$B$35</f>
        <v>551850.071232475</v>
      </c>
      <c r="I55" s="16" t="n">
        <f aca="false">I54-I37+I33*Assumptions!$B$31*Assumptions!$B$35</f>
        <v>687392.545370284</v>
      </c>
      <c r="J55" s="16" t="n">
        <f aca="false">J54-J37+J33*Assumptions!$B$31*Assumptions!$B$35</f>
        <v>831419.850588787</v>
      </c>
      <c r="K55" s="16" t="n">
        <f aca="false">K54-K37+K33*Assumptions!$B$31*Assumptions!$B$35</f>
        <v>884677.035151314</v>
      </c>
      <c r="L55" s="16" t="n">
        <f aca="false">L54-L37+L33*Assumptions!$B$31*Assumptions!$B$35</f>
        <v>1053173.36007657</v>
      </c>
      <c r="M55" s="16" t="n">
        <f aca="false">M54-M37+M33*Assumptions!$B$31*Assumptions!$B$35</f>
        <v>1231307.83739925</v>
      </c>
      <c r="N55" s="16" t="n">
        <f aca="false">N54-N37+N33*Assumptions!$B$31*Assumptions!$B$35</f>
        <v>1419494.78696337</v>
      </c>
      <c r="O55" s="16" t="n">
        <f aca="false">O54-O37+O33*Assumptions!$B$31*Assumptions!$B$35</f>
        <v>1485966.73318808</v>
      </c>
      <c r="P55" s="16" t="n">
        <f aca="false">P54-P37+P33*Assumptions!$B$31*Assumptions!$B$35</f>
        <v>1554621.2662239</v>
      </c>
      <c r="Q55" s="2"/>
      <c r="R55" s="7" t="s">
        <v>529</v>
      </c>
    </row>
    <row r="56" customFormat="false" ht="15" hidden="false" customHeight="false" outlineLevel="0" collapsed="false">
      <c r="A56" s="17" t="s">
        <v>530</v>
      </c>
      <c r="B56" s="23" t="n">
        <f aca="false">MAX(0,B54)*Assumptions!$B$45+B53-B50</f>
        <v>488866.960342362</v>
      </c>
      <c r="C56" s="23" t="n">
        <f aca="false">MAX(0,C54)*Assumptions!$B$45+C53-C50</f>
        <v>757809.746217781</v>
      </c>
      <c r="D56" s="23" t="n">
        <f aca="false">MAX(0,D54)*Assumptions!$B$45+D53-D50</f>
        <v>1073436.00108389</v>
      </c>
      <c r="E56" s="23" t="n">
        <f aca="false">MAX(0,E54)*Assumptions!$B$45+E53-E50</f>
        <v>1546843.18267826</v>
      </c>
      <c r="F56" s="23" t="n">
        <f aca="false">MAX(0,F54)*Assumptions!$B$45+F53-F50</f>
        <v>1796841.60539358</v>
      </c>
      <c r="G56" s="23" t="n">
        <f aca="false">MAX(0,G54)*Assumptions!$B$45+G53-G50</f>
        <v>2085652.14482871</v>
      </c>
      <c r="H56" s="23" t="n">
        <f aca="false">MAX(0,H54)*Assumptions!$B$45+H53-H50</f>
        <v>2802458.98926327</v>
      </c>
      <c r="I56" s="23" t="n">
        <f aca="false">MAX(0,I54)*Assumptions!$B$45+I53-I50</f>
        <v>3629967.57574207</v>
      </c>
      <c r="J56" s="23" t="n">
        <f aca="false">MAX(0,J54)*Assumptions!$B$45+J53-J50</f>
        <v>4575203.28201459</v>
      </c>
      <c r="K56" s="23" t="n">
        <f aca="false">MAX(0,K54)*Assumptions!$B$45+K53-K50</f>
        <v>5336676.09449134</v>
      </c>
      <c r="L56" s="23" t="n">
        <f aca="false">MAX(0,L54)*Assumptions!$B$45+L53-L50</f>
        <v>6519648.000539</v>
      </c>
      <c r="M56" s="23" t="n">
        <f aca="false">MAX(0,M54)*Assumptions!$B$45+M53-M50</f>
        <v>7845927.54506551</v>
      </c>
      <c r="N56" s="23" t="n">
        <f aca="false">MAX(0,N54)*Assumptions!$B$45+N53-N50</f>
        <v>9323866.13525326</v>
      </c>
      <c r="O56" s="23" t="n">
        <f aca="false">MAX(0,O54)*Assumptions!$B$45+O53-O50</f>
        <v>10592830.8586327</v>
      </c>
      <c r="P56" s="23" t="n">
        <f aca="false">MAX(0,P54)*Assumptions!$B$45+P53-P50</f>
        <v>11915760.6166049</v>
      </c>
      <c r="Q56" s="2"/>
      <c r="R56" s="7" t="s">
        <v>531</v>
      </c>
    </row>
    <row r="57" customFormat="false" ht="15" hidden="false" customHeight="false" outlineLevel="0" collapsed="false">
      <c r="A57" s="17" t="s">
        <v>532</v>
      </c>
      <c r="B57" s="23" t="n">
        <f aca="false">MAX(0,B55)*Assumptions!$B$46+B53-B50</f>
        <v>361096.38580755</v>
      </c>
      <c r="C57" s="23" t="n">
        <f aca="false">MAX(0,C55)*Assumptions!$B$46+C53-C50</f>
        <v>545377.340329057</v>
      </c>
      <c r="D57" s="23" t="n">
        <f aca="false">MAX(0,D55)*Assumptions!$B$46+D53-D50</f>
        <v>764051.083766276</v>
      </c>
      <c r="E57" s="23" t="n">
        <f aca="false">MAX(0,E55)*Assumptions!$B$46+E53-E50</f>
        <v>1087470.27592466</v>
      </c>
      <c r="F57" s="23" t="n">
        <f aca="false">MAX(0,F55)*Assumptions!$B$46+F53-F50</f>
        <v>1247242.64656407</v>
      </c>
      <c r="G57" s="23" t="n">
        <f aca="false">MAX(0,G55)*Assumptions!$B$46+G53-G50</f>
        <v>1430564.40702097</v>
      </c>
      <c r="H57" s="23" t="n">
        <f aca="false">MAX(0,H55)*Assumptions!$B$46+H53-H50</f>
        <v>1951482.15822942</v>
      </c>
      <c r="I57" s="23" t="n">
        <f aca="false">MAX(0,I55)*Assumptions!$B$46+I53-I50</f>
        <v>2563937.90176156</v>
      </c>
      <c r="J57" s="23" t="n">
        <f aca="false">MAX(0,J55)*Assumptions!$B$46+J53-J50</f>
        <v>3274166.03104828</v>
      </c>
      <c r="K57" s="23" t="n">
        <f aca="false">MAX(0,K55)*Assumptions!$B$46+K53-K50</f>
        <v>3839631.31704085</v>
      </c>
      <c r="L57" s="23" t="n">
        <f aca="false">MAX(0,L55)*Assumptions!$B$46+L53-L50</f>
        <v>4741369.62981249</v>
      </c>
      <c r="M57" s="23" t="n">
        <f aca="false">MAX(0,M55)*Assumptions!$B$46+M53-M50</f>
        <v>5763905.8296473</v>
      </c>
      <c r="N57" s="23" t="n">
        <f aca="false">MAX(0,N55)*Assumptions!$B$46+N53-N50</f>
        <v>6914673.40544859</v>
      </c>
      <c r="O57" s="23" t="n">
        <f aca="false">MAX(0,O55)*Assumptions!$B$46+O53-O50</f>
        <v>7929228.25238201</v>
      </c>
      <c r="P57" s="23" t="n">
        <f aca="false">MAX(0,P55)*Assumptions!$B$46+P53-P50</f>
        <v>8995966.25288724</v>
      </c>
      <c r="Q57" s="2"/>
      <c r="R57" s="2"/>
    </row>
    <row r="58" customFormat="false" ht="15" hidden="false" customHeight="false" outlineLevel="0" collapsed="false">
      <c r="A58" s="17" t="s">
        <v>533</v>
      </c>
      <c r="B58" s="23" t="n">
        <f aca="false">B56-B57</f>
        <v>127770.574534812</v>
      </c>
      <c r="C58" s="23" t="n">
        <f aca="false">C56-C57</f>
        <v>212432.405888724</v>
      </c>
      <c r="D58" s="23" t="n">
        <f aca="false">D56-D57</f>
        <v>309384.917317616</v>
      </c>
      <c r="E58" s="23" t="n">
        <f aca="false">E56-E57</f>
        <v>459372.906753605</v>
      </c>
      <c r="F58" s="23" t="n">
        <f aca="false">F56-F57</f>
        <v>549598.95882951</v>
      </c>
      <c r="G58" s="23" t="n">
        <f aca="false">G56-G57</f>
        <v>655087.737807737</v>
      </c>
      <c r="H58" s="23" t="n">
        <f aca="false">H56-H57</f>
        <v>850976.831033845</v>
      </c>
      <c r="I58" s="23" t="n">
        <f aca="false">I56-I57</f>
        <v>1066029.67398051</v>
      </c>
      <c r="J58" s="23" t="n">
        <f aca="false">J56-J57</f>
        <v>1301037.25096631</v>
      </c>
      <c r="K58" s="23" t="n">
        <f aca="false">K56-K57</f>
        <v>1497044.77745049</v>
      </c>
      <c r="L58" s="23" t="n">
        <f aca="false">L56-L57</f>
        <v>1778278.37072651</v>
      </c>
      <c r="M58" s="23" t="n">
        <f aca="false">M56-M57</f>
        <v>2082021.7154182</v>
      </c>
      <c r="N58" s="23" t="n">
        <f aca="false">N56-N57</f>
        <v>2409192.72980467</v>
      </c>
      <c r="O58" s="23" t="n">
        <f aca="false">O56-O57</f>
        <v>2663602.60625068</v>
      </c>
      <c r="P58" s="23" t="n">
        <f aca="false">P56-P57</f>
        <v>2919794.36371766</v>
      </c>
      <c r="Q58" s="2"/>
      <c r="R58" s="7" t="s">
        <v>534</v>
      </c>
    </row>
    <row r="59" customFormat="false" ht="15" hidden="false" customHeight="false" outlineLevel="0" collapsed="false">
      <c r="A59" s="19" t="s">
        <v>535</v>
      </c>
      <c r="B59" s="16" t="n">
        <f aca="false">B37*Assumptions!$B$47</f>
        <v>13659.45525</v>
      </c>
      <c r="C59" s="16" t="n">
        <f aca="false">C37*Assumptions!$B$47</f>
        <v>34421.82723</v>
      </c>
      <c r="D59" s="16" t="n">
        <f aca="false">D37*Assumptions!$B$47</f>
        <v>62319.850065648</v>
      </c>
      <c r="E59" s="16" t="n">
        <f aca="false">E37*Assumptions!$B$47</f>
        <v>101884.179654173</v>
      </c>
      <c r="F59" s="16" t="n">
        <f aca="false">F37*Assumptions!$B$47</f>
        <v>146962.347410493</v>
      </c>
      <c r="G59" s="16" t="n">
        <f aca="false">G37*Assumptions!$B$47</f>
        <v>197682.101856151</v>
      </c>
      <c r="H59" s="16" t="n">
        <f aca="false">H37*Assumptions!$B$47</f>
        <v>254182.669600519</v>
      </c>
      <c r="I59" s="16" t="n">
        <f aca="false">I37*Assumptions!$B$47</f>
        <v>316614.869209338</v>
      </c>
      <c r="J59" s="16" t="n">
        <f aca="false">J37*Assumptions!$B$47</f>
        <v>385141.245670874</v>
      </c>
      <c r="K59" s="16" t="n">
        <f aca="false">K37*Assumptions!$B$47</f>
        <v>459936.225330432</v>
      </c>
      <c r="L59" s="16" t="n">
        <f aca="false">L37*Assumptions!$B$47</f>
        <v>541186.291203863</v>
      </c>
      <c r="M59" s="16" t="n">
        <f aca="false">M37*Assumptions!$B$47</f>
        <v>629090.178619603</v>
      </c>
      <c r="N59" s="16" t="n">
        <f aca="false">N37*Assumptions!$B$47</f>
        <v>723859.091176808</v>
      </c>
      <c r="O59" s="16" t="n">
        <f aca="false">O37*Assumptions!$B$47</f>
        <v>817494.109853521</v>
      </c>
      <c r="P59" s="16" t="n">
        <f aca="false">P37*Assumptions!$B$47</f>
        <v>910169.610603206</v>
      </c>
      <c r="Q59" s="2"/>
      <c r="R59"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90"/>
  </cols>
  <sheetData>
    <row r="1" customFormat="false" ht="17.35" hidden="false" customHeight="false" outlineLevel="0" collapsed="false">
      <c r="A1" s="1" t="s">
        <v>536</v>
      </c>
      <c r="B1" s="2"/>
    </row>
    <row r="2" customFormat="false" ht="15" hidden="false" customHeight="false" outlineLevel="0" collapsed="false">
      <c r="A2" s="2"/>
      <c r="B2" s="2"/>
    </row>
    <row r="3" customFormat="false" ht="64.9" hidden="false" customHeight="false" outlineLevel="0" collapsed="false">
      <c r="A3" s="46" t="s">
        <v>537</v>
      </c>
      <c r="B3" s="47" t="s">
        <v>538</v>
      </c>
    </row>
    <row r="4" customFormat="false" ht="26.85" hidden="false" customHeight="false" outlineLevel="0" collapsed="false">
      <c r="A4" s="46" t="s">
        <v>539</v>
      </c>
      <c r="B4" s="47" t="s">
        <v>540</v>
      </c>
    </row>
    <row r="5" customFormat="false" ht="15" hidden="false" customHeight="false" outlineLevel="0" collapsed="false">
      <c r="A5" s="46" t="s">
        <v>541</v>
      </c>
      <c r="B5" s="47" t="s">
        <v>542</v>
      </c>
    </row>
    <row r="6" customFormat="false" ht="26.85" hidden="false" customHeight="false" outlineLevel="0" collapsed="false">
      <c r="A6" s="46" t="s">
        <v>543</v>
      </c>
      <c r="B6" s="47" t="s">
        <v>544</v>
      </c>
    </row>
    <row r="7" customFormat="false" ht="39.55" hidden="false" customHeight="false" outlineLevel="0" collapsed="false">
      <c r="A7" s="46" t="s">
        <v>545</v>
      </c>
      <c r="B7" s="47" t="s">
        <v>546</v>
      </c>
    </row>
    <row r="8" customFormat="false" ht="39.55" hidden="false" customHeight="false" outlineLevel="0" collapsed="false">
      <c r="A8" s="46" t="s">
        <v>547</v>
      </c>
      <c r="B8" s="47" t="s">
        <v>548</v>
      </c>
    </row>
    <row r="9" customFormat="false" ht="39.55" hidden="false" customHeight="false" outlineLevel="0" collapsed="false">
      <c r="A9" s="46" t="s">
        <v>549</v>
      </c>
      <c r="B9" s="47" t="s">
        <v>550</v>
      </c>
    </row>
    <row r="10" customFormat="false" ht="26.85" hidden="false" customHeight="false" outlineLevel="0" collapsed="false">
      <c r="A10" s="46" t="s">
        <v>551</v>
      </c>
      <c r="B10" s="47" t="s">
        <v>552</v>
      </c>
    </row>
    <row r="11" customFormat="false" ht="39.55" hidden="false" customHeight="false" outlineLevel="0" collapsed="false">
      <c r="A11" s="46" t="s">
        <v>553</v>
      </c>
      <c r="B11" s="47" t="s">
        <v>554</v>
      </c>
    </row>
    <row r="12" customFormat="false" ht="26.85" hidden="false" customHeight="false" outlineLevel="0" collapsed="false">
      <c r="A12" s="46" t="s">
        <v>555</v>
      </c>
      <c r="B12" s="47" t="s">
        <v>556</v>
      </c>
    </row>
    <row r="13" customFormat="false" ht="26.85" hidden="false" customHeight="false" outlineLevel="0" collapsed="false">
      <c r="A13" s="46" t="s">
        <v>557</v>
      </c>
      <c r="B13" s="47" t="s">
        <v>558</v>
      </c>
    </row>
    <row r="14" customFormat="false" ht="26.85" hidden="false" customHeight="false" outlineLevel="0" collapsed="false">
      <c r="A14" s="46" t="s">
        <v>559</v>
      </c>
      <c r="B14" s="47" t="s">
        <v>560</v>
      </c>
    </row>
    <row r="15" customFormat="false" ht="64.9" hidden="false" customHeight="false" outlineLevel="0" collapsed="false">
      <c r="A15" s="46" t="s">
        <v>561</v>
      </c>
      <c r="B15" s="47" t="s">
        <v>562</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2026-09-17T00:49:40Z</dcterms:created>
  <dc:creator>openpyxl</dc:creator>
  <dc:description/>
  <dc:language>en-US</dc:language>
  <cp:lastModifiedBy/>
  <dcterms:modified xsi:type="dcterms:W3CDTF">2026-09-17T00:49:40Z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