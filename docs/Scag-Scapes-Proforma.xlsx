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roforma 24 mo" sheetId="2" state="visible" r:id="rId4"/>
    <sheet name="Unit economics" sheetId="3" state="visible" r:id="rId5"/>
    <sheet name="Scenarios" sheetId="4" state="visible" r:id="rId6"/>
    <sheet name="Equipment plan" sheetId="5" state="visible" r:id="rId7"/>
    <sheet name="5-year plan" sheetId="6" state="visible" r:id="rId8"/>
    <sheet name="Sources &amp; not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<sst xmlns="http://schemas.openxmlformats.org/spreadsheetml/2006/main" count="408" uniqueCount="395">
  <si>
    <t xml:space="preserve">Scag Scapes LLC - Growth Proforma - Assumptions</t>
  </si>
  <si>
    <t xml:space="preserve">Blue = input you can change. Yellow = key lever. Black = formula. Every number is either from Charlie (marked) or a cited source (Sources tab).</t>
  </si>
  <si>
    <t xml:space="preserve">OPERATIONS</t>
  </si>
  <si>
    <t xml:space="preserve">Average all-in revenue per linear foot ($/LF)</t>
  </si>
  <si>
    <t xml:space="preserve">Charlie publishes $25-60/LF. $50 is the default because at 900 LF it reproduces Charlie's own rules of thumb: labor ~32% and ~50% margin. Cross-check: today's ~$1,500/day at ~400 LF/month implies ~$78/LF all-in (drain + basins + restoration + other work) - set this higher to match that.</t>
  </si>
  <si>
    <t xml:space="preserve">Crew 1 - LF installed per month, month 1</t>
  </si>
  <si>
    <t xml:space="preserve">Charlie: currently doing roughly 400 LF/month with a 3-man crew. Model ramps from here to the target.</t>
  </si>
  <si>
    <t xml:space="preserve">Revenue per crew-day today ($) - Charlie</t>
  </si>
  <si>
    <t xml:space="preserve">Charlie: an average job day is about $1,500 of revenue now. The model reproduces this in month 1 (drain days + other-work days); shown as a check in the KPI rows.</t>
  </si>
  <si>
    <t xml:space="preserve">Working days per crew per month</t>
  </si>
  <si>
    <t xml:space="preserve">LF a crew installs per working day (productivity)</t>
  </si>
  <si>
    <t xml:space="preserve">900 LF / 21 days. At 400 LF/month a crew is only on drains ~9 days; the rest is other work. Growth = filling every day with drain feet.</t>
  </si>
  <si>
    <t xml:space="preserve">Other work revenue per crew-day when not on drains ($) - pads, fences, sod, patios</t>
  </si>
  <si>
    <t xml:space="preserve">Fills the days drains do not. Lower value per day than drainage; same 20% materials.</t>
  </si>
  <si>
    <t xml:space="preserve">Crew 1 - LF target per month (reached by month 6)</t>
  </si>
  <si>
    <t xml:space="preserve">Charlie's stated goal (800-1,000).</t>
  </si>
  <si>
    <t xml:space="preserve">Crew 2 - start month (1-24)</t>
  </si>
  <si>
    <t xml:space="preserve">Second crew starts when Crew 1 has run 3 months at target and backlog &gt; 4 weeks. Change to test.</t>
  </si>
  <si>
    <t xml:space="preserve">Crew 2 - LF per month, first month</t>
  </si>
  <si>
    <t xml:space="preserve">New crew ramps over 4 months to the target.</t>
  </si>
  <si>
    <t xml:space="preserve">Crew 2 - LF target per month</t>
  </si>
  <si>
    <t xml:space="preserve">Same productivity as Crew 1 once trained.</t>
  </si>
  <si>
    <t xml:space="preserve">Average job size (LF)</t>
  </si>
  <si>
    <t xml:space="preserve">Demo average; a 100 LF job at $50/LF = $5,000 all-in.</t>
  </si>
  <si>
    <t xml:space="preserve">Backlog customers will wait (months of capacity) - demand beyond this is lost</t>
  </si>
  <si>
    <t xml:space="preserve">A homeowner in a wet yard will wait about a month; past that they call the next company.</t>
  </si>
  <si>
    <t xml:space="preserve">COST STRUCTURE (share of install revenue)</t>
  </si>
  <si>
    <t xml:space="preserve">Labor cost method (1 = fixed 32% of revenue, 2 = crew wages x hours x burden)</t>
  </si>
  <si>
    <t xml:space="preserve">2 is the default: labor is what the crew is paid whether it installs 400 LF or 900 LF - that is why productivity is the margin lever. Set 1 to use Charlie's flat 32%.</t>
  </si>
  <si>
    <t xml:space="preserve">Direct labor % of revenue (used when method = 1)</t>
  </si>
  <si>
    <t xml:space="preserve">Charlie: labor is roughly 32% of project cost.</t>
  </si>
  <si>
    <t xml:space="preserve">Materials + fuel % of revenue</t>
  </si>
  <si>
    <t xml:space="preserve">Charlie: materials and gas roughly 20%.</t>
  </si>
  <si>
    <t xml:space="preserve">Crew wage - average $/hr</t>
  </si>
  <si>
    <t xml:space="preserve">Charlie pays $20-25/hr. Change it and every month recalculates (method 2).</t>
  </si>
  <si>
    <t xml:space="preserve">Crew lead premium $/hr (added to one person per crew)</t>
  </si>
  <si>
    <t xml:space="preserve">Lead earns $3/hr more than the laborers.</t>
  </si>
  <si>
    <t xml:space="preserve">Payroll burden % (taxes, WC, insurance)</t>
  </si>
  <si>
    <t xml:space="preserve">Louisiana small-contractor burden estimate; replace with the actual workers' comp rate.</t>
  </si>
  <si>
    <t xml:space="preserve">Crew size (people)</t>
  </si>
  <si>
    <t xml:space="preserve">Charlie.</t>
  </si>
  <si>
    <t xml:space="preserve">Paid hours per crew member per month</t>
  </si>
  <si>
    <t xml:space="preserve">40 h/wk x 52 / 12.</t>
  </si>
  <si>
    <t xml:space="preserve">Overtime hours per crew member per month</t>
  </si>
  <si>
    <t xml:space="preserve">Paid at 1.5x. Set &gt; 0 in busy months to see the effect.</t>
  </si>
  <si>
    <t xml:space="preserve">MAINTENANCE PLAN - 'DRAIN CHECK' (water-jet clean + flow test)</t>
  </si>
  <si>
    <t xml:space="preserve">Plan price per visit ($)</t>
  </si>
  <si>
    <t xml:space="preserve">Angi 2026: hydro jetting $350-600 national average $475; priced under market because the crew knows the system it built.</t>
  </si>
  <si>
    <t xml:space="preserve">Visit frequency (years between visits)</t>
  </si>
  <si>
    <t xml:space="preserve">Charlie: yearly or every 2 years. 1 = annual.</t>
  </si>
  <si>
    <t xml:space="preserve">Attach rate on new installs (% of installs that buy the plan)</t>
  </si>
  <si>
    <t xml:space="preserve">Assumption: offered on every quote and at the warranty walk.</t>
  </si>
  <si>
    <t xml:space="preserve">Existing customers to offer the plan to (count)</t>
  </si>
  <si>
    <t xml:space="preserve">Charlie to confirm; past installs are the first list.</t>
  </si>
  <si>
    <t xml:space="preserve">Existing-customer conversion in year 1</t>
  </si>
  <si>
    <t xml:space="preserve">Assumption; one text + one warranty-walk offer.</t>
  </si>
  <si>
    <t xml:space="preserve">Plan start month</t>
  </si>
  <si>
    <t xml:space="preserve">Jetter already owned; needs a script, a price and a text template.</t>
  </si>
  <si>
    <t xml:space="preserve">Cost per maintenance visit ($) - 1 tech, 2 hrs, fuel, water</t>
  </si>
  <si>
    <t xml:space="preserve">1 person x 2 h x $22.50 x 1.18 burden + $17 fuel/consumables.</t>
  </si>
  <si>
    <t xml:space="preserve">CASH TIMING</t>
  </si>
  <si>
    <t xml:space="preserve">Deposit % collected at signing</t>
  </si>
  <si>
    <t xml:space="preserve">Command sends a 30% deposit link by text at acceptance.</t>
  </si>
  <si>
    <t xml:space="preserve">Balance collected in month of completion (%)</t>
  </si>
  <si>
    <t xml:space="preserve">Remainder collected in the following month (slow payers).</t>
  </si>
  <si>
    <t xml:space="preserve">Materials paid in month of install (%)</t>
  </si>
  <si>
    <t xml:space="preserve">Supplier terms: assume paid same month (no net-30).</t>
  </si>
  <si>
    <t xml:space="preserve">Opening cash ($)</t>
  </si>
  <si>
    <t xml:space="preserve">Charlie to fill in.</t>
  </si>
  <si>
    <t xml:space="preserve">MARKETING &amp; LEADS</t>
  </si>
  <si>
    <t xml:space="preserve">Google Local Services Ads - monthly budget ($)</t>
  </si>
  <si>
    <t xml:space="preserve">Starts month 1. Drain/sewer LSA CPL $59, book rate 39.5% (SearchLight, Feb 2026).</t>
  </si>
  <si>
    <t xml:space="preserve">Google LSA - cost per lead ($)</t>
  </si>
  <si>
    <t xml:space="preserve">SearchLight Feb 2026, drain/sewer category.</t>
  </si>
  <si>
    <t xml:space="preserve">Google LSA - leads that become an estimate visit</t>
  </si>
  <si>
    <t xml:space="preserve">LSA book rate is 39.5% industry-wide (SearchLight); with 60-second text-back we assume half of leads book a visit.</t>
  </si>
  <si>
    <t xml:space="preserve">Facebook + Instagram - monthly budget ($)</t>
  </si>
  <si>
    <t xml:space="preserve">Starts month 2. Meta home-services CPL ~$34; landscaping $45-80 (AdAmigo 2026 via Valley Marketing).</t>
  </si>
  <si>
    <t xml:space="preserve">Meta - cost per lead ($)</t>
  </si>
  <si>
    <t xml:space="preserve">Middle of the landscaping range.</t>
  </si>
  <si>
    <t xml:space="preserve">Meta - leads that become an estimate visit</t>
  </si>
  <si>
    <t xml:space="preserve">Lower intent than search; instant text-back is what gets them to book.</t>
  </si>
  <si>
    <t xml:space="preserve">Organic / referral / review leads per month (month 1)</t>
  </si>
  <si>
    <t xml:space="preserve">Charlie's current inbound. Grows with reviews and the referral ask.</t>
  </si>
  <si>
    <t xml:space="preserve">Organic lead growth per month (%)</t>
  </si>
  <si>
    <t xml:space="preserve">Review flywheel + parish pages + Facebook organic.</t>
  </si>
  <si>
    <t xml:space="preserve">Organic / referral - leads that become an estimate visit</t>
  </si>
  <si>
    <t xml:space="preserve">Warm leads book easily.</t>
  </si>
  <si>
    <t xml:space="preserve">CLOSE RATE - Charlie's number</t>
  </si>
  <si>
    <t xml:space="preserve">Close rate on estimates run (quote -&gt; sold job)</t>
  </si>
  <si>
    <t xml:space="preserve">Charlie: about 7 of 10 quoted jobs sell. Change this one cell and every channel, the proforma and the scenarios move.</t>
  </si>
  <si>
    <t xml:space="preserve">Marketing budget multiplier once Crew 2 starts</t>
  </si>
  <si>
    <t xml:space="preserve">Two crews need ~2x the leads; LSA and Meta budgets scale by this from Crew 2's start month.</t>
  </si>
  <si>
    <t xml:space="preserve">Content, reviews, GBP, website - monthly ($)</t>
  </si>
  <si>
    <t xml:space="preserve">Photo/video posts, review management, parish pages.</t>
  </si>
  <si>
    <t xml:space="preserve">OVERHEAD (monthly)</t>
  </si>
  <si>
    <t xml:space="preserve">Owner draw ($)</t>
  </si>
  <si>
    <t xml:space="preserve">Charlie to set.</t>
  </si>
  <si>
    <t xml:space="preserve">Insurance - GL, auto, equipment ($)</t>
  </si>
  <si>
    <t xml:space="preserve">Estimate; use actual policy.</t>
  </si>
  <si>
    <t xml:space="preserve">Existing truck / equipment payments ($)</t>
  </si>
  <si>
    <t xml:space="preserve">Software, hosting, phone, Twilio, Stripe fees ($)</t>
  </si>
  <si>
    <t xml:space="preserve">Command hosting $199 + Twilio/Stripe usage.</t>
  </si>
  <si>
    <t xml:space="preserve">Bookkeeping / CPA ($)</t>
  </si>
  <si>
    <t xml:space="preserve">Estimate.</t>
  </si>
  <si>
    <t xml:space="preserve">Shop, fuel for estimates, tools, misc ($)</t>
  </si>
  <si>
    <t xml:space="preserve">Yard / shop rent - 1655 Cottondale Dr (optional, $/month)</t>
  </si>
  <si>
    <t xml:space="preserve">Left at 0 until agreed. See the separate Cottondale yard proposal: 2,500 sq ft at an introductory rate is about $2,125/month vs $2,975 at the $1.19/sq ft market rate.</t>
  </si>
  <si>
    <t xml:space="preserve">Growth &amp; operations lead - Ned (monthly, TBD)</t>
  </si>
  <si>
    <t xml:space="preserve">Left at $0 on purpose - terms to be agreed. Enter a number to see the effect.</t>
  </si>
  <si>
    <t xml:space="preserve">CREW 2 EQUIPMENT - rent first, then own (Crew 1 already owns its trailer, skid steer and mini excavator)</t>
  </si>
  <si>
    <t xml:space="preserve">Mini excavator (3.5-4 ton, used) - purchase price ($)</t>
  </si>
  <si>
    <t xml:space="preserve">Used KX040 / 26G class. Crew 1's is owned; Crew 2 needs its own.</t>
  </si>
  <si>
    <t xml:space="preserve">Mini excavator - rental per month ($)</t>
  </si>
  <si>
    <t xml:space="preserve">Home Depot 4-week rate ~$1,700-2,000 (live in the app); Sunbelt/United quote-only.</t>
  </si>
  <si>
    <t xml:space="preserve">Mini excavator - months rented before buying</t>
  </si>
  <si>
    <t xml:space="preserve">Rent while Crew 2 proves itself; buy after it hits target twice. 0 = buy at start.</t>
  </si>
  <si>
    <t xml:space="preserve">Skid steer / CTL (used) - purchase price ($)</t>
  </si>
  <si>
    <t xml:space="preserve">Used T66 / 259D class.</t>
  </si>
  <si>
    <t xml:space="preserve">Skid steer - rental per month ($)</t>
  </si>
  <si>
    <t xml:space="preserve">Chain 4-week rate (rate card, CALL_TO_CONFIRM).</t>
  </si>
  <si>
    <t xml:space="preserve">Skid steer - months rented before buying</t>
  </si>
  <si>
    <t xml:space="preserve">Dump trailer 7x14 (new) - purchase price ($)</t>
  </si>
  <si>
    <t xml:space="preserve">Trailers rent badly and hold value - buy at start.</t>
  </si>
  <si>
    <t xml:space="preserve">Dump trailer - rental per month ($)</t>
  </si>
  <si>
    <t xml:space="preserve">Dump trailer - months rented before buying</t>
  </si>
  <si>
    <t xml:space="preserve">0 = buy at Crew 2 start.</t>
  </si>
  <si>
    <t xml:space="preserve">Truck 3/4-ton (used) - purchase price ($)</t>
  </si>
  <si>
    <t xml:space="preserve">Truck - rental per month ($)</t>
  </si>
  <si>
    <t xml:space="preserve">Not rented.</t>
  </si>
  <si>
    <t xml:space="preserve">Truck - months rented before buying</t>
  </si>
  <si>
    <t xml:space="preserve">Hand tools, laser, compactor, PPE, phones ($)</t>
  </si>
  <si>
    <t xml:space="preserve">Bought at start.</t>
  </si>
  <si>
    <t xml:space="preserve">Tools - rental per month ($)</t>
  </si>
  <si>
    <t xml:space="preserve">Tools - months rented before buying</t>
  </si>
  <si>
    <t xml:space="preserve">% financed on purchases</t>
  </si>
  <si>
    <t xml:space="preserve">20% down on each purchase.</t>
  </si>
  <si>
    <t xml:space="preserve">Loan rate (APR)</t>
  </si>
  <si>
    <t xml:space="preserve">Equipment finance 2026 estimate.</t>
  </si>
  <si>
    <t xml:space="preserve">Loan term (months)</t>
  </si>
  <si>
    <t xml:space="preserve">Hiring + training cost for Crew 2 (one-time $)</t>
  </si>
  <si>
    <t xml:space="preserve">2 weeks of paid shadowing on Crew 1 + PPE + phones.</t>
  </si>
  <si>
    <t xml:space="preserve">Scag Scapes LLC - 24-month operating proforma ($, monthly)</t>
  </si>
  <si>
    <t xml:space="preserve">All cells are formulas driven by the Assumptions tab. Month 1 = first month of the plan.</t>
  </si>
  <si>
    <t xml:space="preserve">Month</t>
  </si>
  <si>
    <t xml:space="preserve">Year 1</t>
  </si>
  <si>
    <t xml:space="preserve">Year 2</t>
  </si>
  <si>
    <t xml:space="preserve">24-mo total</t>
  </si>
  <si>
    <t xml:space="preserve">CAPACITY (linear feet installed)</t>
  </si>
  <si>
    <t xml:space="preserve">Crew 1 - LF/month</t>
  </si>
  <si>
    <t xml:space="preserve">Crew 2 - LF/month</t>
  </si>
  <si>
    <t xml:space="preserve">Capacity - total LF/month</t>
  </si>
  <si>
    <t xml:space="preserve">DEMAND (leads and jobs)</t>
  </si>
  <si>
    <t xml:space="preserve">Leads - Google LSA</t>
  </si>
  <si>
    <t xml:space="preserve">Leads - Facebook / Instagram</t>
  </si>
  <si>
    <t xml:space="preserve">Leads - organic, referral, reviews, rain trigger</t>
  </si>
  <si>
    <t xml:space="preserve">Total leads</t>
  </si>
  <si>
    <t xml:space="preserve">Estimate visits booked (leads x booking rate by channel)</t>
  </si>
  <si>
    <t xml:space="preserve">Jobs sold (estimates x Charlie's close rate)</t>
  </si>
  <si>
    <t xml:space="preserve">LF demanded (jobs x average job LF)</t>
  </si>
  <si>
    <t xml:space="preserve">LF installed (lesser of demand + backlog, capacity)</t>
  </si>
  <si>
    <t xml:space="preserve">Backlog carried to next month (LF, capped; excess is lost demand)</t>
  </si>
  <si>
    <t xml:space="preserve">Crew utilization</t>
  </si>
  <si>
    <t xml:space="preserve">REVENUE</t>
  </si>
  <si>
    <t xml:space="preserve">Crew-days on drains (LF / LF per day)</t>
  </si>
  <si>
    <t xml:space="preserve">Crew-days on other work (days not used by drains)</t>
  </si>
  <si>
    <t xml:space="preserve">Drainage revenue (LF installed x $/LF)</t>
  </si>
  <si>
    <t xml:space="preserve">Other work revenue (other days x $/day)</t>
  </si>
  <si>
    <t xml:space="preserve">Install revenue (drainage + other work)</t>
  </si>
  <si>
    <t xml:space="preserve">New Drain Check plans sold (count)</t>
  </si>
  <si>
    <t xml:space="preserve">Active plans (cumulative, less 8%/yr churn)</t>
  </si>
  <si>
    <t xml:space="preserve">Maintenance revenue (visits billed this month)</t>
  </si>
  <si>
    <t xml:space="preserve">TOTAL REVENUE</t>
  </si>
  <si>
    <t xml:space="preserve">DIRECT COSTS</t>
  </si>
  <si>
    <t xml:space="preserve">Crews active</t>
  </si>
  <si>
    <t xml:space="preserve">Crew labor (method 2: crews x wages x hours x burden; method 1: 32% of revenue)</t>
  </si>
  <si>
    <t xml:space="preserve">Materials + fuel (20% of install revenue)</t>
  </si>
  <si>
    <t xml:space="preserve">Maintenance visit cost</t>
  </si>
  <si>
    <t xml:space="preserve">Total direct costs</t>
  </si>
  <si>
    <t xml:space="preserve">GROSS PROFIT</t>
  </si>
  <si>
    <t xml:space="preserve">Gross margin %</t>
  </si>
  <si>
    <t xml:space="preserve">OVERHEAD</t>
  </si>
  <si>
    <t xml:space="preserve">Owner draw</t>
  </si>
  <si>
    <t xml:space="preserve">Insurance</t>
  </si>
  <si>
    <t xml:space="preserve">Existing truck / equipment payments</t>
  </si>
  <si>
    <t xml:space="preserve">Software, hosting, phone, payment fees</t>
  </si>
  <si>
    <t xml:space="preserve">Bookkeeping / CPA</t>
  </si>
  <si>
    <t xml:space="preserve">Shop, tools, misc</t>
  </si>
  <si>
    <t xml:space="preserve">Yard / shop rent (Cottondale, if taken)</t>
  </si>
  <si>
    <t xml:space="preserve">Growth &amp; operations lead (TBD)</t>
  </si>
  <si>
    <t xml:space="preserve">Marketing - Google LSA</t>
  </si>
  <si>
    <t xml:space="preserve">Marketing - Facebook / Instagram</t>
  </si>
  <si>
    <t xml:space="preserve">Marketing - content, reviews, GBP, site</t>
  </si>
  <si>
    <t xml:space="preserve">Crew 2 - equipment rental (before purchase) + hiring</t>
  </si>
  <si>
    <t xml:space="preserve">Crew 2 - equipment + truck loan payments</t>
  </si>
  <si>
    <t xml:space="preserve">Total overhead</t>
  </si>
  <si>
    <t xml:space="preserve">OPERATING PROFIT (before owner taxes)</t>
  </si>
  <si>
    <t xml:space="preserve">Operating margin %</t>
  </si>
  <si>
    <t xml:space="preserve">CASH FLOW</t>
  </si>
  <si>
    <t xml:space="preserve">Cash in - deposits + balances + plans</t>
  </si>
  <si>
    <t xml:space="preserve">Cash out - direct costs + overhead</t>
  </si>
  <si>
    <t xml:space="preserve">Cash out - Crew 2 down payments (20% of each purchase)</t>
  </si>
  <si>
    <t xml:space="preserve">NET CASH FLOW</t>
  </si>
  <si>
    <t xml:space="preserve">Cash balance (end of month)</t>
  </si>
  <si>
    <t xml:space="preserve">KPIs THE DASHBOARD SHOWS EVERY MONDAY</t>
  </si>
  <si>
    <t xml:space="preserve">Revenue per crew-month</t>
  </si>
  <si>
    <t xml:space="preserve">Blended cost per lead</t>
  </si>
  <si>
    <t xml:space="preserve">Marketing cost per job sold</t>
  </si>
  <si>
    <t xml:space="preserve">Close rate in use (from Assumptions)</t>
  </si>
  <si>
    <t xml:space="preserve">Maintenance share of revenue</t>
  </si>
  <si>
    <t xml:space="preserve">Labor as % of revenue</t>
  </si>
  <si>
    <t xml:space="preserve">Revenue per crew-day (vs Charlie's $1,500 today)</t>
  </si>
  <si>
    <t xml:space="preserve">Break-even LF/month at this overhead (one crew)</t>
  </si>
  <si>
    <t xml:space="preserve">Unit economics - one job, one crew-month, one maintenance customer</t>
  </si>
  <si>
    <t xml:space="preserve">ONE JOB (average)</t>
  </si>
  <si>
    <t xml:space="preserve">Linear feet</t>
  </si>
  <si>
    <t xml:space="preserve">Price to customer</t>
  </si>
  <si>
    <t xml:space="preserve">Crew labor (share of one crew-month, at target LF)</t>
  </si>
  <si>
    <t xml:space="preserve">Materials + fuel (20%)</t>
  </si>
  <si>
    <t xml:space="preserve">Gross profit per job</t>
  </si>
  <si>
    <t xml:space="preserve">Gross margin</t>
  </si>
  <si>
    <t xml:space="preserve">Crew days per job (at target LF/month)</t>
  </si>
  <si>
    <t xml:space="preserve">ONE CREW-MONTH (at target)</t>
  </si>
  <si>
    <t xml:space="preserve">LF per month</t>
  </si>
  <si>
    <t xml:space="preserve">Crew wages before burden (size x hours x $/hr + lead premium + OT)</t>
  </si>
  <si>
    <t xml:space="preserve">Crew wages with burden (the fixed cost of a crew)</t>
  </si>
  <si>
    <t xml:space="preserve">Labor as % of revenue at target (Charlie's rule of thumb: 32%)</t>
  </si>
  <si>
    <t xml:space="preserve">Fixed crew cost divided by revenue: the crew costs the same at 400 LF or 900 LF, so every extra foot per day drops straight to margin.</t>
  </si>
  <si>
    <t xml:space="preserve">Gross profit per crew-month</t>
  </si>
  <si>
    <t xml:space="preserve">ONE MAINTENANCE CUSTOMER</t>
  </si>
  <si>
    <t xml:space="preserve">Plan price per visit</t>
  </si>
  <si>
    <t xml:space="preserve">Cost per visit</t>
  </si>
  <si>
    <t xml:space="preserve">Gross profit per visit</t>
  </si>
  <si>
    <t xml:space="preserve">Gross margin per visit</t>
  </si>
  <si>
    <t xml:space="preserve">Visits over 5 years</t>
  </si>
  <si>
    <t xml:space="preserve">5-year gross profit per plan customer</t>
  </si>
  <si>
    <t xml:space="preserve">Referral value: 1 in 4 plan customers refers one job</t>
  </si>
  <si>
    <t xml:space="preserve">Not in the proforma - upside only.</t>
  </si>
  <si>
    <t xml:space="preserve">TODAY vs TARGET (productivity is the margin)</t>
  </si>
  <si>
    <t xml:space="preserve">Today: LF per month (Charlie)</t>
  </si>
  <si>
    <t xml:space="preserve">Today: revenue per crew-month (drain LF x $/LF + other-work days x $/day)</t>
  </si>
  <si>
    <t xml:space="preserve">Today: revenue per crew-day (model) vs Charlie's $1,500</t>
  </si>
  <si>
    <t xml:space="preserve">Month 1 of the proforma: about 9 crew-days on drains, 12 on other work - matches Charlie: $1,500/day.</t>
  </si>
  <si>
    <t xml:space="preserve">Today: labor as % of revenue</t>
  </si>
  <si>
    <t xml:space="preserve">At today's 400 LF the crew is expensive relative to revenue; at 900 LF it is not. That gap is the whole growth case.</t>
  </si>
  <si>
    <t xml:space="preserve">Target: labor as % of revenue</t>
  </si>
  <si>
    <t xml:space="preserve">Monthly overhead, one crew (Proforma month 3)</t>
  </si>
  <si>
    <t xml:space="preserve">Break-even LF per month, one crew (overhead + crew cost, after materials)</t>
  </si>
  <si>
    <t xml:space="preserve">Break-even as % of one crew's target</t>
  </si>
  <si>
    <t xml:space="preserve">Three scenarios - year-2 run rate (month 24) and 24-month totals</t>
  </si>
  <si>
    <t xml:space="preserve">Change the blue cells; everything below recalculates using the same cost structure as the proforma.</t>
  </si>
  <si>
    <t xml:space="preserve">Conservative</t>
  </si>
  <si>
    <t xml:space="preserve">Base (Charlie's goal)</t>
  </si>
  <si>
    <t xml:space="preserve">Stretch</t>
  </si>
  <si>
    <t xml:space="preserve">LF per crew per month</t>
  </si>
  <si>
    <t xml:space="preserve">Crews running by month 24</t>
  </si>
  <si>
    <t xml:space="preserve">Average $/LF</t>
  </si>
  <si>
    <t xml:space="preserve">Active Drain Check plans at month 24</t>
  </si>
  <si>
    <t xml:space="preserve">Monthly install revenue</t>
  </si>
  <si>
    <t xml:space="preserve">Monthly maintenance revenue</t>
  </si>
  <si>
    <t xml:space="preserve">Monthly revenue</t>
  </si>
  <si>
    <t xml:space="preserve">Gross profit (installs less materials and crew wages; plans at plan margin)</t>
  </si>
  <si>
    <t xml:space="preserve">Overhead (one crew) / (two crews incl. loan)</t>
  </si>
  <si>
    <t xml:space="preserve">Operating profit per month</t>
  </si>
  <si>
    <t xml:space="preserve">Operating profit per year (run rate)</t>
  </si>
  <si>
    <t xml:space="preserve">Operating margin</t>
  </si>
  <si>
    <t xml:space="preserve">Estimates needed per month (jobs / Charlie's close rate)</t>
  </si>
  <si>
    <t xml:space="preserve">Leads needed per month (at ~45% of leads booking an estimate)</t>
  </si>
  <si>
    <t xml:space="preserve">What has to be true</t>
  </si>
  <si>
    <t xml:space="preserve">Conservative: one crew at 700 LF and $45/LF still clears overhead - the plan fails safe.</t>
  </si>
  <si>
    <t xml:space="preserve">Base: two crews at 900 LF, $50/LF, 90 plan customers - Charlie's stated goal, reached in month 10-12 of the proforma. Close rate on estimates is Charlie's 70% (Assumptions, yellow cell).</t>
  </si>
  <si>
    <t xml:space="preserve">Stretch: pricing power from reviews + Moasure proposals lifts $/LF to $55; 140 plan customers = the sellable recurring book.</t>
  </si>
  <si>
    <t xml:space="preserve">Path to owning Crew 2's equipment - rent first, buy on proof</t>
  </si>
  <si>
    <t xml:space="preserve">Crew 1 already owns a big trailer, a skid steer and a mini excavator (no capex in this plan). Crew 2 needs its own set. Rent-to-prove, then buy; every date is driven by the Crew 2 start month on Assumptions.</t>
  </si>
  <si>
    <t xml:space="preserve">Item</t>
  </si>
  <si>
    <t xml:space="preserve">Purchase price</t>
  </si>
  <si>
    <t xml:space="preserve">Rent / month</t>
  </si>
  <si>
    <t xml:space="preserve">Months rented</t>
  </si>
  <si>
    <t xml:space="preserve">Rent paid before buying</t>
  </si>
  <si>
    <t xml:space="preserve">Purchase month</t>
  </si>
  <si>
    <t xml:space="preserve">Down payment (20%)</t>
  </si>
  <si>
    <t xml:space="preserve">Loan payment / mo</t>
  </si>
  <si>
    <t xml:space="preserve">Loan paid off (month)</t>
  </si>
  <si>
    <t xml:space="preserve">Own-vs-rent break-even (months)</t>
  </si>
  <si>
    <t xml:space="preserve">Mini excavator (used)</t>
  </si>
  <si>
    <t xml:space="preserve">Skid steer / CTL (used)</t>
  </si>
  <si>
    <t xml:space="preserve">Dump trailer 7x14 (new)</t>
  </si>
  <si>
    <t xml:space="preserve">Truck 3/4-ton (used)</t>
  </si>
  <si>
    <t xml:space="preserve">Tools, laser, compactor, PPE</t>
  </si>
  <si>
    <t xml:space="preserve">Total</t>
  </si>
  <si>
    <t xml:space="preserve">How to read it</t>
  </si>
  <si>
    <t xml:space="preserve">Own-vs-rent break-even: purchase price / monthly rent. A mini-ex at $50,000 vs $2,000/month breaks even at 25 months of use - so anything Crew 2 will run for more than two years should be owned; the 3-month rental is insurance against Crew 2 not working out, not a long-term plan.</t>
  </si>
  <si>
    <t xml:space="preserve">The purchase month is the Crew 2 start month plus the months rented. Decision rule for pulling the trigger early or late: buy when Crew 2 has installed its target LF in two consecutive months; keep renting if it has not.</t>
  </si>
  <si>
    <t xml:space="preserve">Down payments hit cash in the purchase month (Proforma: 'Cash out - Crew 2 down payments'); loan payments run 60 months from there. Rent paid before buying is money spent to de-risk the purchase - budgeted, not wasted.</t>
  </si>
  <si>
    <t xml:space="preserve">Crew 1's set is already owned: no purchases are modeled for it. Its existing payments, if any, sit in 'Existing truck / equipment payments' on Assumptions.</t>
  </si>
  <si>
    <t xml:space="preserve">Time to full ownership of Crew 2's set: trailer, truck and tools on day one; mini-ex and skid steer bought in month start+3; all loans paid off 60 months after that (month 70 in the base case). Equity builds from the first payment; the machines outlast the loans.</t>
  </si>
  <si>
    <t xml:space="preserve">Five-year plan - annual, safe-scaling (Year 1-2 pull from the 24-month proforma; Years 3-5 from the blue inputs below)</t>
  </si>
  <si>
    <t xml:space="preserve">Blue = input. Every year is gated: the next crew is added only when the previous one has run at target for 3 months, backlog &gt; 4 weeks, and cash &gt; 2 months of overhead.</t>
  </si>
  <si>
    <t xml:space="preserve">Today (run rate)</t>
  </si>
  <si>
    <t xml:space="preserve">Year 3</t>
  </si>
  <si>
    <t xml:space="preserve">Year 4</t>
  </si>
  <si>
    <t xml:space="preserve">Year 5</t>
  </si>
  <si>
    <t xml:space="preserve">Notes</t>
  </si>
  <si>
    <t xml:space="preserve">CAPACITY</t>
  </si>
  <si>
    <t xml:space="preserve">Crews at year end</t>
  </si>
  <si>
    <t xml:space="preserve">Crew 3 in year 3, Crew 4 in year 4, then consolidate. Change to test a slower or faster path.</t>
  </si>
  <si>
    <t xml:space="preserve">Average crews running during the year</t>
  </si>
  <si>
    <t xml:space="preserve">Crew 3 starts mid-year 3; Crew 4 mid-year 4.</t>
  </si>
  <si>
    <t xml:space="preserve">LF per crew per year at target x utilization</t>
  </si>
  <si>
    <t xml:space="preserve">Today = 400 LF x 12. Years 3-5: 900 LF x 12 x 95% utilization.</t>
  </si>
  <si>
    <t xml:space="preserve">Total LF installed</t>
  </si>
  <si>
    <t xml:space="preserve">Average $/LF (3% a year after year 2 - reviews and the map justify it)</t>
  </si>
  <si>
    <t xml:space="preserve">Drainage + other install revenue</t>
  </si>
  <si>
    <t xml:space="preserve">Years 1-2 include other-work days; years 3-5 crews are full on drainage.</t>
  </si>
  <si>
    <t xml:space="preserve">Drain Check active plans at year end</t>
  </si>
  <si>
    <t xml:space="preserve">40% attach on installs plus past customers; ~8%/yr churn.</t>
  </si>
  <si>
    <t xml:space="preserve">Drain Check revenue</t>
  </si>
  <si>
    <t xml:space="preserve">Crew labor (crews x fixed crew cost; wages +3%/yr from year 3)</t>
  </si>
  <si>
    <t xml:space="preserve">Change the wage on Assumptions and every year moves.</t>
  </si>
  <si>
    <t xml:space="preserve">Drain Check visit costs</t>
  </si>
  <si>
    <t xml:space="preserve">OVERHEAD - the layers that let the company handle the volume</t>
  </si>
  <si>
    <t xml:space="preserve">Charlie's pay rises with the company.</t>
  </si>
  <si>
    <t xml:space="preserve">Office admin / bookkeeper (part-time year 2, full-time year 3)</t>
  </si>
  <si>
    <t xml:space="preserve">Answers the phone the software cannot, books, AP/AR, reviews, scheduling. Hire when two crews are running.</t>
  </si>
  <si>
    <t xml:space="preserve">Operations manager (runs crews, purchasing, quality)</t>
  </si>
  <si>
    <t xml:space="preserve">Hired in month 4 of year 3 (about $65K/yr), before Crew 3 starts, so Charlie is not the bottleneck at three crews. Usually the best crew lead, promoted.</t>
  </si>
  <si>
    <t xml:space="preserve">Estimator / sales (runs Moasure surveys and quotes)</t>
  </si>
  <si>
    <t xml:space="preserve">At four crews Charlie cannot run 40+ estimates a month alone. Base + commission.</t>
  </si>
  <si>
    <t xml:space="preserve">Crew-lead bonus pool (LF/day and callbacks)</t>
  </si>
  <si>
    <t xml:space="preserve">$500/quarter per lead when the crew beats 43 LF/day with no callbacks.</t>
  </si>
  <si>
    <t xml:space="preserve">Insurance - GL, auto, equipment, WC excess (per crew)</t>
  </si>
  <si>
    <t xml:space="preserve">Today's premium plus about $9K per additional crew (auto, equipment, WC); get quotes before each hire.</t>
  </si>
  <si>
    <t xml:space="preserve">Truck + equipment loan payments (existing + one set per crew)</t>
  </si>
  <si>
    <t xml:space="preserve">Each new crew carries its own set (Equipment plan tab); rent-first 3 months before each purchase.</t>
  </si>
  <si>
    <t xml:space="preserve">Yard / shop (Cottondale: 2,500 sq ft yr 2, 3,000 sq ft yr 3, 4,000 sq ft yr 4+)</t>
  </si>
  <si>
    <t xml:space="preserve">Introductory $0.85 then $1.05/sq ft; more footage as crews and bins are added.</t>
  </si>
  <si>
    <t xml:space="preserve">Software, phones, hosting, payment fees (+ per crew)</t>
  </si>
  <si>
    <t xml:space="preserve">Bookkeeping / CPA / payroll service</t>
  </si>
  <si>
    <t xml:space="preserve">QuickBooks Online + payroll service + monthly close; CPA quarterly. Grows with headcount.</t>
  </si>
  <si>
    <t xml:space="preserve">Marketing (Google LSA, Meta, content) - ~5% of revenue from year 3</t>
  </si>
  <si>
    <t xml:space="preserve">Falls as a % of revenue as reviews, referrals and the plan book compound.</t>
  </si>
  <si>
    <t xml:space="preserve">Shop, tools, uniforms, training, misc (+ per crew)</t>
  </si>
  <si>
    <t xml:space="preserve">Crew hiring, training and rent-first equipment months (per new crew)</t>
  </si>
  <si>
    <t xml:space="preserve">GROWTH &amp; OPERATIONS LEAD (Ned) - proposed, for discussion</t>
  </si>
  <si>
    <t xml:space="preserve">Base ($/yr) - fractional, about 25 hours a week</t>
  </si>
  <si>
    <t xml:space="preserve">For scale: Baton Rouge general/operations managers average $129,840 full-time (BLS OEWS). Set to 0 to see the plan without it.</t>
  </si>
  <si>
    <t xml:space="preserve">Growth share - % of operating profit above the baseline year</t>
  </si>
  <si>
    <t xml:space="preserve">Paid only on profit above what the business makes today; nothing on the baseline.</t>
  </si>
  <si>
    <t xml:space="preserve">Baseline operating profit (today's run rate after owner draw, floored at 0)</t>
  </si>
  <si>
    <t xml:space="preserve">Today's column, computed below. The share is earned only on profit the growth creates.</t>
  </si>
  <si>
    <t xml:space="preserve">Growth lead cost (base + share)</t>
  </si>
  <si>
    <t xml:space="preserve">Share is computed on operating profit before the share itself.</t>
  </si>
  <si>
    <t xml:space="preserve">TOTAL OVERHEAD (excl. growth lead)</t>
  </si>
  <si>
    <t xml:space="preserve">Operating profit before growth lead</t>
  </si>
  <si>
    <t xml:space="preserve">OPERATING PROFIT after growth lead (owner draw already deducted)</t>
  </si>
  <si>
    <t xml:space="preserve">CASH AND SAFETY</t>
  </si>
  <si>
    <t xml:space="preserve">Equipment down payments (20% per new crew set)</t>
  </si>
  <si>
    <t xml:space="preserve">Cash at year end (opening + profit - down payments)</t>
  </si>
  <si>
    <t xml:space="preserve">Before distributions beyond the owner draw and before income tax.</t>
  </si>
  <si>
    <t xml:space="preserve">Reserve rule: 2 months of overhead</t>
  </si>
  <si>
    <t xml:space="preserve">Cash must stay above this before any hire or purchase.</t>
  </si>
  <si>
    <t xml:space="preserve">Reserve met?</t>
  </si>
  <si>
    <t xml:space="preserve">WHAT THE COMPANY IS WORTH (indicative)</t>
  </si>
  <si>
    <t xml:space="preserve">Seller's discretionary earnings (operating profit + owner draw)</t>
  </si>
  <si>
    <t xml:space="preserve">SDE multiple (BizBuySell landscaping median 2021-25: 2.46x)</t>
  </si>
  <si>
    <t xml:space="preserve">Recurring Drain Check revenue, documented systems and a manager who is not the owner all push toward the top of the range.</t>
  </si>
  <si>
    <t xml:space="preserve">Indicative enterprise value</t>
  </si>
  <si>
    <t xml:space="preserve">Cross-check: revenue x 0.70 (BizBuySell). Not a promise; a benchmark.</t>
  </si>
  <si>
    <t xml:space="preserve">Sources and notes</t>
  </si>
  <si>
    <t xml:space="preserve">From Charlie (Sept 2026)</t>
  </si>
  <si>
    <t xml:space="preserve">Currently ~400 LF/month with a 3-man crew; an average job day is ~$1,500 of revenue; 50% margin after materials, gas and labor; labor ~32% and materials+gas ~20% of project cost; crew paid $20-25/hr; goal 800-1,000 LF/month per 3-man crew, two crews; target customers 50-75 within 20 miles of 70808; water-jet maintenance plan yearly or every 2 years; uses Moasure for proposals.</t>
  </si>
  <si>
    <t xml:space="preserve">Angi - French drain cost (updated May 30, 2026)</t>
  </si>
  <si>
    <t xml:space="preserve">National average $9,250; range $500-18,000; $10-100/LF; yard drains $20-30/LF. https://www.angi.com/articles/how-much-does-french-drain-cost.htm</t>
  </si>
  <si>
    <t xml:space="preserve">Angi - Hydro jetting cost (updated July 9, 2026)</t>
  </si>
  <si>
    <t xml:space="preserve">National average $475; typical $350-600. https://www.angi.com/articles/hydro-jetting-cost.htm</t>
  </si>
  <si>
    <t xml:space="preserve">SearchLight Digital - Google LSA cost per lead (Feb 2026, 888 contractors, 126,650 leads)</t>
  </si>
  <si>
    <t xml:space="preserve">Drain/sewer $59 CPL, 39.5% book rate; home-services blended $53, 43.9% book rate. https://searchlightdigital.io/google-local-service-ads-cost-per-lead/</t>
  </si>
  <si>
    <t xml:space="preserve">Valley Marketing Group citing AdAmigo 2026 - Meta ads for contractors</t>
  </si>
  <si>
    <t xml:space="preserve">Meta home-services CPL ~$34; landscaping/plumbing $45-80; call within 5 minutes or leads go cold. https://thevalleymarketinggroup.com/blog/facebook-ads-vs-google-ads-home-service-contractors-2026/</t>
  </si>
  <si>
    <t xml:space="preserve">Pew Research - Americans' Social Media Use 2025 (survey Feb-Jun 2025)</t>
  </si>
  <si>
    <t xml:space="preserve">Ages 50-64: Facebook 79%, YouTube 74%, Instagram 35%. Ages 65+: Facebook 69%, YouTube 55%, Instagram 19%. https://www.pewresearch.org/internet/2025/11/20/americans-social-media-use-2025/</t>
  </si>
  <si>
    <t xml:space="preserve">U.S. Census QuickFacts - East Baton Rouge Parish</t>
  </si>
  <si>
    <t xml:space="preserve">Population 456,180 (2025 est.); 17.4% age 65+; owner-occupied 59.3%; median home value $248,800; 210,707 housing units. https://www.census.gov/quickfacts/eastbatonrougeparishlouisiana</t>
  </si>
  <si>
    <t xml:space="preserve">City-Data / ACS 2024 - ZIP 70808</t>
  </si>
  <si>
    <t xml:space="preserve">Population ~35,700; median home value ~$411-423K; 56% owner-occupied; large 1970-1989 housing stock (original drainage aging out). https://www.city-data.com/zips/70808.html</t>
  </si>
  <si>
    <t xml:space="preserve">BizBuySell - Landscaping &amp; Yard Service valuation benchmarks (945 sold businesses, 2021-2025)</t>
  </si>
  <si>
    <t xml:space="preserve">Median sale price $425,000; median revenue $708,412; median SDE $187,761; revenue multiple 0.70x; SDE multiple 2.46x. https://www.bizbuysell.com/learning-center/valuation-benchmarks/landscaping-yard-service/</t>
  </si>
  <si>
    <t xml:space="preserve">BLS OEWS May 2023 - Baton Rouge MSA</t>
  </si>
  <si>
    <t xml:space="preserve">Landscaping workers mean $16.80/h; construction laborers $20.43/h; operating engineers $32.26/h. https://www.bls.gov/oes/2023/may/oes_12940.htm</t>
  </si>
  <si>
    <t xml:space="preserve">Higrovi 2026 missed-call report / Hicira</t>
  </si>
  <si>
    <t xml:space="preserve">27% of home-services calls unanswered; 85% of unreachable callers don't call back; 5-minute response = 21x qualification. https://www.higrovi.com/blog/contractor-missed-call-report-2026</t>
  </si>
  <si>
    <t xml:space="preserve">Moasure - export formats</t>
  </si>
  <si>
    <t xml:space="preserve">PDF (with elevations, scale, logo), DXF/DWG, CSV point cloud (x,y,z), PNG/JPG/SVG. No public API; Command imports the CSV/PDF. https://www.moasure.com/pages/features-export</t>
  </si>
  <si>
    <t xml:space="preserve">Model conventions</t>
  </si>
  <si>
    <t xml:space="preserve">Revenue recognized in month of install; 30% deposit at signing, 90% of balance in month of completion, 10% the following month. Payroll burden 18% is an estimate - replace with actual workers' comp rate. No income tax modeled (pass-through LLC). Crew 2 equipment: Crew 1 already owns its trailer, skid steer and mini excavator; Crew 2's mini-ex and skid steer are rented for 3 months then bought (80% financed, 9%, 60 months); trailer, truck and tools bought at start.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</si>
</sst>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\$#,##0;&quot;($&quot;#,##0\);\-"/>
    <numFmt numFmtId="167" formatCode="0.0%"/>
    <numFmt numFmtId="168" formatCode="0.00"/>
    <numFmt numFmtId="169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F5A6E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6524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8E7EC"/>
        <bgColor rgb="FFEEF1EF"/>
      </patternFill>
    </fill>
    <fill>
      <patternFill patternType="solid">
        <fgColor rgb="FFFFFF00"/>
        <bgColor rgb="FFFFFF00"/>
      </patternFill>
    </fill>
    <fill>
      <patternFill patternType="solid">
        <fgColor rgb="FFEEF1EF"/>
        <bgColor rgb="FFD8E7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6211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1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A6E"/>
      <rgbColor rgb="FFC0C0C0"/>
      <rgbColor rgb="FF808080"/>
      <rgbColor rgb="FF9999FF"/>
      <rgbColor rgb="FF993366"/>
      <rgbColor rgb="FFFFFFCC"/>
      <rgbColor rgb="FFD8E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6211F"/>
      <rgbColor rgb="FF333300"/>
      <rgbColor rgb="FF993300"/>
      <rgbColor rgb="FF993366"/>
      <rgbColor rgb="FF333399"/>
      <rgbColor rgb="FF4652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5"/>
      <c r="C4" s="5"/>
    </row>
    <row r="5" customFormat="false" ht="15" hidden="false" customHeight="false" outlineLevel="0" collapsed="false">
      <c r="A5" s="2" t="s">
        <v>3</v>
      </c>
      <c r="B5" s="6" t="n">
        <v>50</v>
      </c>
      <c r="C5" s="7" t="s">
        <v>4</v>
      </c>
    </row>
    <row r="6" customFormat="false" ht="15" hidden="false" customHeight="false" outlineLevel="0" collapsed="false">
      <c r="A6" s="2" t="s">
        <v>5</v>
      </c>
      <c r="B6" s="8" t="n">
        <v>400</v>
      </c>
      <c r="C6" s="7" t="s">
        <v>6</v>
      </c>
    </row>
    <row r="7" customFormat="false" ht="15" hidden="false" customHeight="false" outlineLevel="0" collapsed="false">
      <c r="A7" s="2" t="s">
        <v>7</v>
      </c>
      <c r="B7" s="9" t="n">
        <v>1500</v>
      </c>
      <c r="C7" s="7" t="s">
        <v>8</v>
      </c>
    </row>
    <row r="8" customFormat="false" ht="15" hidden="false" customHeight="false" outlineLevel="0" collapsed="false">
      <c r="A8" s="2" t="s">
        <v>9</v>
      </c>
      <c r="B8" s="10" t="n">
        <v>21</v>
      </c>
      <c r="C8" s="7"/>
    </row>
    <row r="9" customFormat="false" ht="15" hidden="false" customHeight="false" outlineLevel="0" collapsed="false">
      <c r="A9" s="2" t="s">
        <v>10</v>
      </c>
      <c r="B9" s="6" t="n">
        <v>43</v>
      </c>
      <c r="C9" s="7" t="s">
        <v>11</v>
      </c>
    </row>
    <row r="10" customFormat="false" ht="15" hidden="false" customHeight="false" outlineLevel="0" collapsed="false">
      <c r="A10" s="2" t="s">
        <v>12</v>
      </c>
      <c r="B10" s="11" t="n">
        <v>1000</v>
      </c>
      <c r="C10" s="7" t="s">
        <v>13</v>
      </c>
    </row>
    <row r="11" customFormat="false" ht="15" hidden="false" customHeight="false" outlineLevel="0" collapsed="false">
      <c r="A11" s="2" t="s">
        <v>14</v>
      </c>
      <c r="B11" s="8" t="n">
        <v>900</v>
      </c>
      <c r="C11" s="7" t="s">
        <v>15</v>
      </c>
    </row>
    <row r="12" customFormat="false" ht="15" hidden="false" customHeight="false" outlineLevel="0" collapsed="false">
      <c r="A12" s="2" t="s">
        <v>16</v>
      </c>
      <c r="B12" s="6" t="n">
        <v>7</v>
      </c>
      <c r="C12" s="7" t="s">
        <v>17</v>
      </c>
    </row>
    <row r="13" customFormat="false" ht="15" hidden="false" customHeight="false" outlineLevel="0" collapsed="false">
      <c r="A13" s="2" t="s">
        <v>18</v>
      </c>
      <c r="B13" s="12" t="n">
        <v>500</v>
      </c>
      <c r="C13" s="7" t="s">
        <v>19</v>
      </c>
    </row>
    <row r="14" customFormat="false" ht="15" hidden="false" customHeight="false" outlineLevel="0" collapsed="false">
      <c r="A14" s="2" t="s">
        <v>20</v>
      </c>
      <c r="B14" s="12" t="n">
        <v>900</v>
      </c>
      <c r="C14" s="7" t="s">
        <v>21</v>
      </c>
    </row>
    <row r="15" customFormat="false" ht="15" hidden="false" customHeight="false" outlineLevel="0" collapsed="false">
      <c r="A15" s="2" t="s">
        <v>22</v>
      </c>
      <c r="B15" s="12" t="n">
        <v>100</v>
      </c>
      <c r="C15" s="7" t="s">
        <v>23</v>
      </c>
    </row>
    <row r="16" customFormat="false" ht="15" hidden="false" customHeight="false" outlineLevel="0" collapsed="false">
      <c r="A16" s="2" t="s">
        <v>24</v>
      </c>
      <c r="B16" s="10" t="n">
        <v>1</v>
      </c>
      <c r="C16" s="7" t="s">
        <v>25</v>
      </c>
    </row>
    <row r="17" customFormat="false" ht="15" hidden="false" customHeight="false" outlineLevel="0" collapsed="false">
      <c r="A17" s="4" t="s">
        <v>26</v>
      </c>
      <c r="B17" s="5"/>
      <c r="C17" s="5"/>
    </row>
    <row r="18" customFormat="false" ht="15" hidden="false" customHeight="false" outlineLevel="0" collapsed="false">
      <c r="A18" s="2" t="s">
        <v>27</v>
      </c>
      <c r="B18" s="6" t="n">
        <v>2</v>
      </c>
      <c r="C18" s="7" t="s">
        <v>28</v>
      </c>
    </row>
    <row r="19" customFormat="false" ht="15" hidden="false" customHeight="false" outlineLevel="0" collapsed="false">
      <c r="A19" s="2" t="s">
        <v>29</v>
      </c>
      <c r="B19" s="13" t="n">
        <v>0.32</v>
      </c>
      <c r="C19" s="7" t="s">
        <v>30</v>
      </c>
    </row>
    <row r="20" customFormat="false" ht="15" hidden="false" customHeight="false" outlineLevel="0" collapsed="false">
      <c r="A20" s="2" t="s">
        <v>31</v>
      </c>
      <c r="B20" s="14" t="n">
        <v>0.2</v>
      </c>
      <c r="C20" s="7" t="s">
        <v>32</v>
      </c>
    </row>
    <row r="21" customFormat="false" ht="15" hidden="false" customHeight="false" outlineLevel="0" collapsed="false">
      <c r="A21" s="2" t="s">
        <v>33</v>
      </c>
      <c r="B21" s="6" t="n">
        <v>22.5</v>
      </c>
      <c r="C21" s="7" t="s">
        <v>34</v>
      </c>
    </row>
    <row r="22" customFormat="false" ht="15" hidden="false" customHeight="false" outlineLevel="0" collapsed="false">
      <c r="A22" s="2" t="s">
        <v>35</v>
      </c>
      <c r="B22" s="10" t="n">
        <v>3</v>
      </c>
      <c r="C22" s="7" t="s">
        <v>36</v>
      </c>
    </row>
    <row r="23" customFormat="false" ht="15" hidden="false" customHeight="false" outlineLevel="0" collapsed="false">
      <c r="A23" s="2" t="s">
        <v>37</v>
      </c>
      <c r="B23" s="14" t="n">
        <v>0.14</v>
      </c>
      <c r="C23" s="7" t="s">
        <v>38</v>
      </c>
    </row>
    <row r="24" customFormat="false" ht="15" hidden="false" customHeight="false" outlineLevel="0" collapsed="false">
      <c r="A24" s="2" t="s">
        <v>39</v>
      </c>
      <c r="B24" s="10" t="n">
        <v>3</v>
      </c>
      <c r="C24" s="7" t="s">
        <v>40</v>
      </c>
    </row>
    <row r="25" customFormat="false" ht="15" hidden="false" customHeight="false" outlineLevel="0" collapsed="false">
      <c r="A25" s="2" t="s">
        <v>41</v>
      </c>
      <c r="B25" s="12" t="n">
        <v>173</v>
      </c>
      <c r="C25" s="7" t="s">
        <v>42</v>
      </c>
    </row>
    <row r="26" customFormat="false" ht="15" hidden="false" customHeight="false" outlineLevel="0" collapsed="false">
      <c r="A26" s="2" t="s">
        <v>43</v>
      </c>
      <c r="B26" s="10" t="n">
        <v>0</v>
      </c>
      <c r="C26" s="7" t="s">
        <v>44</v>
      </c>
    </row>
    <row r="27" customFormat="false" ht="15" hidden="false" customHeight="false" outlineLevel="0" collapsed="false">
      <c r="A27" s="4" t="s">
        <v>45</v>
      </c>
      <c r="B27" s="5"/>
      <c r="C27" s="5"/>
    </row>
    <row r="28" customFormat="false" ht="15" hidden="false" customHeight="false" outlineLevel="0" collapsed="false">
      <c r="A28" s="2" t="s">
        <v>46</v>
      </c>
      <c r="B28" s="11" t="n">
        <v>249</v>
      </c>
      <c r="C28" s="7" t="s">
        <v>47</v>
      </c>
    </row>
    <row r="29" customFormat="false" ht="15" hidden="false" customHeight="false" outlineLevel="0" collapsed="false">
      <c r="A29" s="2" t="s">
        <v>48</v>
      </c>
      <c r="B29" s="10" t="n">
        <v>1</v>
      </c>
      <c r="C29" s="7" t="s">
        <v>49</v>
      </c>
    </row>
    <row r="30" customFormat="false" ht="15" hidden="false" customHeight="false" outlineLevel="0" collapsed="false">
      <c r="A30" s="2" t="s">
        <v>50</v>
      </c>
      <c r="B30" s="14" t="n">
        <v>0.4</v>
      </c>
      <c r="C30" s="7" t="s">
        <v>51</v>
      </c>
    </row>
    <row r="31" customFormat="false" ht="15" hidden="false" customHeight="false" outlineLevel="0" collapsed="false">
      <c r="A31" s="2" t="s">
        <v>52</v>
      </c>
      <c r="B31" s="12" t="n">
        <v>150</v>
      </c>
      <c r="C31" s="7" t="s">
        <v>53</v>
      </c>
    </row>
    <row r="32" customFormat="false" ht="15" hidden="false" customHeight="false" outlineLevel="0" collapsed="false">
      <c r="A32" s="2" t="s">
        <v>54</v>
      </c>
      <c r="B32" s="13" t="n">
        <v>0.15</v>
      </c>
      <c r="C32" s="7" t="s">
        <v>55</v>
      </c>
    </row>
    <row r="33" customFormat="false" ht="15" hidden="false" customHeight="false" outlineLevel="0" collapsed="false">
      <c r="A33" s="2" t="s">
        <v>56</v>
      </c>
      <c r="B33" s="10" t="n">
        <v>3</v>
      </c>
      <c r="C33" s="7" t="s">
        <v>57</v>
      </c>
    </row>
    <row r="34" customFormat="false" ht="15" hidden="false" customHeight="false" outlineLevel="0" collapsed="false">
      <c r="A34" s="2" t="s">
        <v>58</v>
      </c>
      <c r="B34" s="10" t="n">
        <v>70</v>
      </c>
      <c r="C34" s="7" t="s">
        <v>59</v>
      </c>
    </row>
    <row r="35" customFormat="false" ht="15" hidden="false" customHeight="false" outlineLevel="0" collapsed="false">
      <c r="A35" s="4" t="s">
        <v>60</v>
      </c>
      <c r="B35" s="5"/>
      <c r="C35" s="5"/>
    </row>
    <row r="36" customFormat="false" ht="15" hidden="false" customHeight="false" outlineLevel="0" collapsed="false">
      <c r="A36" s="2" t="s">
        <v>61</v>
      </c>
      <c r="B36" s="13" t="n">
        <v>0.3</v>
      </c>
      <c r="C36" s="7" t="s">
        <v>62</v>
      </c>
    </row>
    <row r="37" customFormat="false" ht="15" hidden="false" customHeight="false" outlineLevel="0" collapsed="false">
      <c r="A37" s="2" t="s">
        <v>63</v>
      </c>
      <c r="B37" s="13" t="n">
        <v>0.9</v>
      </c>
      <c r="C37" s="7" t="s">
        <v>64</v>
      </c>
    </row>
    <row r="38" customFormat="false" ht="15" hidden="false" customHeight="false" outlineLevel="0" collapsed="false">
      <c r="A38" s="2" t="s">
        <v>65</v>
      </c>
      <c r="B38" s="10" t="n">
        <v>1</v>
      </c>
      <c r="C38" s="7" t="s">
        <v>66</v>
      </c>
    </row>
    <row r="39" customFormat="false" ht="15" hidden="false" customHeight="false" outlineLevel="0" collapsed="false">
      <c r="A39" s="2" t="s">
        <v>67</v>
      </c>
      <c r="B39" s="11" t="n">
        <v>25000</v>
      </c>
      <c r="C39" s="7" t="s">
        <v>68</v>
      </c>
    </row>
    <row r="40" customFormat="false" ht="15" hidden="false" customHeight="false" outlineLevel="0" collapsed="false">
      <c r="A40" s="4" t="s">
        <v>69</v>
      </c>
      <c r="B40" s="5"/>
      <c r="C40" s="5"/>
    </row>
    <row r="41" customFormat="false" ht="15" hidden="false" customHeight="false" outlineLevel="0" collapsed="false">
      <c r="A41" s="2" t="s">
        <v>70</v>
      </c>
      <c r="B41" s="11" t="n">
        <v>900</v>
      </c>
      <c r="C41" s="7" t="s">
        <v>71</v>
      </c>
    </row>
    <row r="42" customFormat="false" ht="15" hidden="false" customHeight="false" outlineLevel="0" collapsed="false">
      <c r="A42" s="2" t="s">
        <v>72</v>
      </c>
      <c r="B42" s="10" t="n">
        <v>59</v>
      </c>
      <c r="C42" s="7" t="s">
        <v>73</v>
      </c>
    </row>
    <row r="43" customFormat="false" ht="15" hidden="false" customHeight="false" outlineLevel="0" collapsed="false">
      <c r="A43" s="2" t="s">
        <v>74</v>
      </c>
      <c r="B43" s="13" t="n">
        <v>0.5</v>
      </c>
      <c r="C43" s="7" t="s">
        <v>75</v>
      </c>
    </row>
    <row r="44" customFormat="false" ht="15" hidden="false" customHeight="false" outlineLevel="0" collapsed="false">
      <c r="A44" s="2" t="s">
        <v>76</v>
      </c>
      <c r="B44" s="11" t="n">
        <v>600</v>
      </c>
      <c r="C44" s="7" t="s">
        <v>77</v>
      </c>
    </row>
    <row r="45" customFormat="false" ht="15" hidden="false" customHeight="false" outlineLevel="0" collapsed="false">
      <c r="A45" s="2" t="s">
        <v>78</v>
      </c>
      <c r="B45" s="10" t="n">
        <v>55</v>
      </c>
      <c r="C45" s="7" t="s">
        <v>79</v>
      </c>
    </row>
    <row r="46" customFormat="false" ht="15" hidden="false" customHeight="false" outlineLevel="0" collapsed="false">
      <c r="A46" s="2" t="s">
        <v>80</v>
      </c>
      <c r="B46" s="13" t="n">
        <v>0.3</v>
      </c>
      <c r="C46" s="7" t="s">
        <v>81</v>
      </c>
    </row>
    <row r="47" customFormat="false" ht="15" hidden="false" customHeight="false" outlineLevel="0" collapsed="false">
      <c r="A47" s="2" t="s">
        <v>82</v>
      </c>
      <c r="B47" s="10" t="n">
        <v>6</v>
      </c>
      <c r="C47" s="7" t="s">
        <v>83</v>
      </c>
    </row>
    <row r="48" customFormat="false" ht="15" hidden="false" customHeight="false" outlineLevel="0" collapsed="false">
      <c r="A48" s="2" t="s">
        <v>84</v>
      </c>
      <c r="B48" s="13" t="n">
        <v>0.06</v>
      </c>
      <c r="C48" s="7" t="s">
        <v>85</v>
      </c>
    </row>
    <row r="49" customFormat="false" ht="15" hidden="false" customHeight="false" outlineLevel="0" collapsed="false">
      <c r="A49" s="2" t="s">
        <v>86</v>
      </c>
      <c r="B49" s="13" t="n">
        <v>0.65</v>
      </c>
      <c r="C49" s="7" t="s">
        <v>87</v>
      </c>
    </row>
    <row r="50" customFormat="false" ht="15" hidden="false" customHeight="false" outlineLevel="0" collapsed="false">
      <c r="A50" s="4" t="s">
        <v>88</v>
      </c>
      <c r="B50" s="5"/>
      <c r="C50" s="5"/>
    </row>
    <row r="51" customFormat="false" ht="15" hidden="false" customHeight="false" outlineLevel="0" collapsed="false">
      <c r="A51" s="2" t="s">
        <v>89</v>
      </c>
      <c r="B51" s="14" t="n">
        <v>0.7</v>
      </c>
      <c r="C51" s="7" t="s">
        <v>90</v>
      </c>
    </row>
    <row r="52" customFormat="false" ht="15" hidden="false" customHeight="false" outlineLevel="0" collapsed="false">
      <c r="A52" s="2" t="s">
        <v>91</v>
      </c>
      <c r="B52" s="6" t="n">
        <v>1.6</v>
      </c>
      <c r="C52" s="7" t="s">
        <v>92</v>
      </c>
    </row>
    <row r="53" customFormat="false" ht="15" hidden="false" customHeight="false" outlineLevel="0" collapsed="false">
      <c r="A53" s="2" t="s">
        <v>93</v>
      </c>
      <c r="B53" s="9" t="n">
        <v>300</v>
      </c>
      <c r="C53" s="7" t="s">
        <v>94</v>
      </c>
    </row>
    <row r="54" customFormat="false" ht="15" hidden="false" customHeight="false" outlineLevel="0" collapsed="false">
      <c r="A54" s="4" t="s">
        <v>95</v>
      </c>
      <c r="B54" s="5"/>
      <c r="C54" s="5"/>
    </row>
    <row r="55" customFormat="false" ht="15" hidden="false" customHeight="false" outlineLevel="0" collapsed="false">
      <c r="A55" s="2" t="s">
        <v>96</v>
      </c>
      <c r="B55" s="11" t="n">
        <v>6000</v>
      </c>
      <c r="C55" s="7" t="s">
        <v>97</v>
      </c>
    </row>
    <row r="56" customFormat="false" ht="15" hidden="false" customHeight="false" outlineLevel="0" collapsed="false">
      <c r="A56" s="2" t="s">
        <v>98</v>
      </c>
      <c r="B56" s="9" t="n">
        <v>900</v>
      </c>
      <c r="C56" s="7" t="s">
        <v>99</v>
      </c>
    </row>
    <row r="57" customFormat="false" ht="15" hidden="false" customHeight="false" outlineLevel="0" collapsed="false">
      <c r="A57" s="2" t="s">
        <v>100</v>
      </c>
      <c r="B57" s="9" t="n">
        <v>1800</v>
      </c>
      <c r="C57" s="7" t="s">
        <v>68</v>
      </c>
    </row>
    <row r="58" customFormat="false" ht="15" hidden="false" customHeight="false" outlineLevel="0" collapsed="false">
      <c r="A58" s="2" t="s">
        <v>101</v>
      </c>
      <c r="B58" s="9" t="n">
        <v>350</v>
      </c>
      <c r="C58" s="7" t="s">
        <v>102</v>
      </c>
    </row>
    <row r="59" customFormat="false" ht="15" hidden="false" customHeight="false" outlineLevel="0" collapsed="false">
      <c r="A59" s="2" t="s">
        <v>103</v>
      </c>
      <c r="B59" s="9" t="n">
        <v>250</v>
      </c>
      <c r="C59" s="7" t="s">
        <v>104</v>
      </c>
    </row>
    <row r="60" customFormat="false" ht="15" hidden="false" customHeight="false" outlineLevel="0" collapsed="false">
      <c r="A60" s="2" t="s">
        <v>105</v>
      </c>
      <c r="B60" s="9" t="n">
        <v>600</v>
      </c>
      <c r="C60" s="7" t="s">
        <v>104</v>
      </c>
    </row>
    <row r="61" customFormat="false" ht="15" hidden="false" customHeight="false" outlineLevel="0" collapsed="false">
      <c r="A61" s="2" t="s">
        <v>106</v>
      </c>
      <c r="B61" s="6" t="n">
        <v>0</v>
      </c>
      <c r="C61" s="7" t="s">
        <v>107</v>
      </c>
    </row>
    <row r="62" customFormat="false" ht="15" hidden="false" customHeight="false" outlineLevel="0" collapsed="false">
      <c r="A62" s="2" t="s">
        <v>108</v>
      </c>
      <c r="B62" s="6" t="n">
        <v>0</v>
      </c>
      <c r="C62" s="7" t="s">
        <v>109</v>
      </c>
    </row>
    <row r="63" customFormat="false" ht="15" hidden="false" customHeight="false" outlineLevel="0" collapsed="false">
      <c r="A63" s="4" t="s">
        <v>110</v>
      </c>
      <c r="B63" s="5"/>
      <c r="C63" s="5"/>
    </row>
    <row r="64" customFormat="false" ht="15" hidden="false" customHeight="false" outlineLevel="0" collapsed="false">
      <c r="A64" s="2" t="s">
        <v>111</v>
      </c>
      <c r="B64" s="11" t="n">
        <v>50000</v>
      </c>
      <c r="C64" s="7" t="s">
        <v>112</v>
      </c>
    </row>
    <row r="65" customFormat="false" ht="15" hidden="false" customHeight="false" outlineLevel="0" collapsed="false">
      <c r="A65" s="2" t="s">
        <v>113</v>
      </c>
      <c r="B65" s="9" t="n">
        <v>2000</v>
      </c>
      <c r="C65" s="7" t="s">
        <v>114</v>
      </c>
    </row>
    <row r="66" customFormat="false" ht="15" hidden="false" customHeight="false" outlineLevel="0" collapsed="false">
      <c r="A66" s="2" t="s">
        <v>115</v>
      </c>
      <c r="B66" s="6" t="n">
        <v>3</v>
      </c>
      <c r="C66" s="7" t="s">
        <v>116</v>
      </c>
    </row>
    <row r="67" customFormat="false" ht="15" hidden="false" customHeight="false" outlineLevel="0" collapsed="false">
      <c r="A67" s="2" t="s">
        <v>117</v>
      </c>
      <c r="B67" s="11" t="n">
        <v>38000</v>
      </c>
      <c r="C67" s="7" t="s">
        <v>118</v>
      </c>
    </row>
    <row r="68" customFormat="false" ht="15" hidden="false" customHeight="false" outlineLevel="0" collapsed="false">
      <c r="A68" s="2" t="s">
        <v>119</v>
      </c>
      <c r="B68" s="9" t="n">
        <v>1700</v>
      </c>
      <c r="C68" s="7" t="s">
        <v>120</v>
      </c>
    </row>
    <row r="69" customFormat="false" ht="15" hidden="false" customHeight="false" outlineLevel="0" collapsed="false">
      <c r="A69" s="2" t="s">
        <v>121</v>
      </c>
      <c r="B69" s="6" t="n">
        <v>3</v>
      </c>
      <c r="C69" s="7"/>
    </row>
    <row r="70" customFormat="false" ht="15" hidden="false" customHeight="false" outlineLevel="0" collapsed="false">
      <c r="A70" s="2" t="s">
        <v>122</v>
      </c>
      <c r="B70" s="9" t="n">
        <v>9500</v>
      </c>
      <c r="C70" s="7" t="s">
        <v>123</v>
      </c>
    </row>
    <row r="71" customFormat="false" ht="15" hidden="false" customHeight="false" outlineLevel="0" collapsed="false">
      <c r="A71" s="2" t="s">
        <v>124</v>
      </c>
      <c r="B71" s="9" t="n">
        <v>600</v>
      </c>
      <c r="C71" s="7"/>
    </row>
    <row r="72" customFormat="false" ht="15" hidden="false" customHeight="false" outlineLevel="0" collapsed="false">
      <c r="A72" s="2" t="s">
        <v>125</v>
      </c>
      <c r="B72" s="10" t="n">
        <v>0</v>
      </c>
      <c r="C72" s="7" t="s">
        <v>126</v>
      </c>
    </row>
    <row r="73" customFormat="false" ht="15" hidden="false" customHeight="false" outlineLevel="0" collapsed="false">
      <c r="A73" s="2" t="s">
        <v>127</v>
      </c>
      <c r="B73" s="9" t="n">
        <v>35000</v>
      </c>
      <c r="C73" s="7"/>
    </row>
    <row r="74" customFormat="false" ht="15" hidden="false" customHeight="false" outlineLevel="0" collapsed="false">
      <c r="A74" s="2" t="s">
        <v>128</v>
      </c>
      <c r="B74" s="10" t="n">
        <v>0</v>
      </c>
      <c r="C74" s="7" t="s">
        <v>129</v>
      </c>
    </row>
    <row r="75" customFormat="false" ht="15" hidden="false" customHeight="false" outlineLevel="0" collapsed="false">
      <c r="A75" s="2" t="s">
        <v>130</v>
      </c>
      <c r="B75" s="10" t="n">
        <v>0</v>
      </c>
      <c r="C75" s="7"/>
    </row>
    <row r="76" customFormat="false" ht="15" hidden="false" customHeight="false" outlineLevel="0" collapsed="false">
      <c r="A76" s="2" t="s">
        <v>131</v>
      </c>
      <c r="B76" s="9" t="n">
        <v>6000</v>
      </c>
      <c r="C76" s="7" t="s">
        <v>132</v>
      </c>
    </row>
    <row r="77" customFormat="false" ht="15" hidden="false" customHeight="false" outlineLevel="0" collapsed="false">
      <c r="A77" s="2" t="s">
        <v>133</v>
      </c>
      <c r="B77" s="10" t="n">
        <v>0</v>
      </c>
      <c r="C77" s="7"/>
    </row>
    <row r="78" customFormat="false" ht="15" hidden="false" customHeight="false" outlineLevel="0" collapsed="false">
      <c r="A78" s="2" t="s">
        <v>134</v>
      </c>
      <c r="B78" s="10" t="n">
        <v>0</v>
      </c>
      <c r="C78" s="7"/>
    </row>
    <row r="79" customFormat="false" ht="15" hidden="false" customHeight="false" outlineLevel="0" collapsed="false">
      <c r="A79" s="2" t="s">
        <v>135</v>
      </c>
      <c r="B79" s="13" t="n">
        <v>0.8</v>
      </c>
      <c r="C79" s="7" t="s">
        <v>136</v>
      </c>
    </row>
    <row r="80" customFormat="false" ht="15" hidden="false" customHeight="false" outlineLevel="0" collapsed="false">
      <c r="A80" s="2" t="s">
        <v>137</v>
      </c>
      <c r="B80" s="13" t="n">
        <v>0.09</v>
      </c>
      <c r="C80" s="7" t="s">
        <v>138</v>
      </c>
    </row>
    <row r="81" customFormat="false" ht="15" hidden="false" customHeight="false" outlineLevel="0" collapsed="false">
      <c r="A81" s="2" t="s">
        <v>139</v>
      </c>
      <c r="B81" s="10" t="n">
        <v>60</v>
      </c>
      <c r="C81" s="7"/>
    </row>
    <row r="82" customFormat="false" ht="15" hidden="false" customHeight="false" outlineLevel="0" collapsed="false">
      <c r="A82" s="2" t="s">
        <v>140</v>
      </c>
      <c r="B82" s="9" t="n">
        <v>4500</v>
      </c>
      <c r="C82" s="7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1"/>
    <col collapsed="false" customWidth="true" hidden="false" outlineLevel="0" max="28" min="26" style="0" width="13"/>
  </cols>
  <sheetData>
    <row r="1" customFormat="false" ht="17.35" hidden="false" customHeight="false" outlineLevel="0" collapsed="false">
      <c r="A1" s="1" t="s">
        <v>142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5" hidden="false" customHeight="false" outlineLevel="0" collapsed="false">
      <c r="A2" s="3" t="s">
        <v>143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customFormat="false" ht="15" hidden="false" customHeight="false" outlineLevel="0" collapsed="false">
      <c r="A4" s="15" t="s">
        <v>144</v>
      </c>
      <c r="B4" s="16" t="n">
        <v>1</v>
      </c>
      <c r="C4" s="16" t="n">
        <v>2</v>
      </c>
      <c r="D4" s="16" t="n">
        <v>3</v>
      </c>
      <c r="E4" s="16" t="n">
        <v>4</v>
      </c>
      <c r="F4" s="16" t="n">
        <v>5</v>
      </c>
      <c r="G4" s="16" t="n">
        <v>6</v>
      </c>
      <c r="H4" s="16" t="n">
        <v>7</v>
      </c>
      <c r="I4" s="16" t="n">
        <v>8</v>
      </c>
      <c r="J4" s="16" t="n">
        <v>9</v>
      </c>
      <c r="K4" s="16" t="n">
        <v>10</v>
      </c>
      <c r="L4" s="16" t="n">
        <v>11</v>
      </c>
      <c r="M4" s="16" t="n">
        <v>12</v>
      </c>
      <c r="N4" s="16" t="n">
        <v>13</v>
      </c>
      <c r="O4" s="16" t="n">
        <v>14</v>
      </c>
      <c r="P4" s="16" t="n">
        <v>15</v>
      </c>
      <c r="Q4" s="16" t="n">
        <v>16</v>
      </c>
      <c r="R4" s="16" t="n">
        <v>17</v>
      </c>
      <c r="S4" s="16" t="n">
        <v>18</v>
      </c>
      <c r="T4" s="16" t="n">
        <v>19</v>
      </c>
      <c r="U4" s="16" t="n">
        <v>20</v>
      </c>
      <c r="V4" s="16" t="n">
        <v>21</v>
      </c>
      <c r="W4" s="16" t="n">
        <v>22</v>
      </c>
      <c r="X4" s="16" t="n">
        <v>23</v>
      </c>
      <c r="Y4" s="16" t="n">
        <v>24</v>
      </c>
      <c r="Z4" s="15" t="s">
        <v>145</v>
      </c>
      <c r="AA4" s="15" t="s">
        <v>146</v>
      </c>
      <c r="AB4" s="15" t="s">
        <v>147</v>
      </c>
    </row>
    <row r="5" customFormat="false" ht="15" hidden="false" customHeight="false" outlineLevel="0" collapsed="false">
      <c r="A5" s="4" t="s">
        <v>148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customFormat="false" ht="15" hidden="false" customHeight="false" outlineLevel="0" collapsed="false">
      <c r="A6" s="17" t="s">
        <v>149</v>
      </c>
      <c r="B6" s="18" t="n">
        <f aca="false">MIN(Assumptions!$B$11,Assumptions!$B$6+(Assumptions!$B$11-Assumptions!$B$6)*(1-1)/5)</f>
        <v>400</v>
      </c>
      <c r="C6" s="18" t="n">
        <f aca="false">MIN(Assumptions!$B$11,Assumptions!$B$6+(Assumptions!$B$11-Assumptions!$B$6)*(2-1)/5)</f>
        <v>500</v>
      </c>
      <c r="D6" s="18" t="n">
        <f aca="false">MIN(Assumptions!$B$11,Assumptions!$B$6+(Assumptions!$B$11-Assumptions!$B$6)*(3-1)/5)</f>
        <v>600</v>
      </c>
      <c r="E6" s="18" t="n">
        <f aca="false">MIN(Assumptions!$B$11,Assumptions!$B$6+(Assumptions!$B$11-Assumptions!$B$6)*(4-1)/5)</f>
        <v>700</v>
      </c>
      <c r="F6" s="18" t="n">
        <f aca="false">MIN(Assumptions!$B$11,Assumptions!$B$6+(Assumptions!$B$11-Assumptions!$B$6)*(5-1)/5)</f>
        <v>800</v>
      </c>
      <c r="G6" s="18" t="n">
        <f aca="false">MIN(Assumptions!$B$11,Assumptions!$B$6+(Assumptions!$B$11-Assumptions!$B$6)*(6-1)/5)</f>
        <v>900</v>
      </c>
      <c r="H6" s="18" t="n">
        <f aca="false">MIN(Assumptions!$B$11,Assumptions!$B$6+(Assumptions!$B$11-Assumptions!$B$6)*(7-1)/5)</f>
        <v>900</v>
      </c>
      <c r="I6" s="18" t="n">
        <f aca="false">MIN(Assumptions!$B$11,Assumptions!$B$6+(Assumptions!$B$11-Assumptions!$B$6)*(8-1)/5)</f>
        <v>900</v>
      </c>
      <c r="J6" s="18" t="n">
        <f aca="false">MIN(Assumptions!$B$11,Assumptions!$B$6+(Assumptions!$B$11-Assumptions!$B$6)*(9-1)/5)</f>
        <v>900</v>
      </c>
      <c r="K6" s="18" t="n">
        <f aca="false">MIN(Assumptions!$B$11,Assumptions!$B$6+(Assumptions!$B$11-Assumptions!$B$6)*(10-1)/5)</f>
        <v>900</v>
      </c>
      <c r="L6" s="18" t="n">
        <f aca="false">MIN(Assumptions!$B$11,Assumptions!$B$6+(Assumptions!$B$11-Assumptions!$B$6)*(11-1)/5)</f>
        <v>900</v>
      </c>
      <c r="M6" s="18" t="n">
        <f aca="false">MIN(Assumptions!$B$11,Assumptions!$B$6+(Assumptions!$B$11-Assumptions!$B$6)*(12-1)/5)</f>
        <v>900</v>
      </c>
      <c r="N6" s="18" t="n">
        <f aca="false">MIN(Assumptions!$B$11,Assumptions!$B$6+(Assumptions!$B$11-Assumptions!$B$6)*(13-1)/5)</f>
        <v>900</v>
      </c>
      <c r="O6" s="18" t="n">
        <f aca="false">MIN(Assumptions!$B$11,Assumptions!$B$6+(Assumptions!$B$11-Assumptions!$B$6)*(14-1)/5)</f>
        <v>900</v>
      </c>
      <c r="P6" s="18" t="n">
        <f aca="false">MIN(Assumptions!$B$11,Assumptions!$B$6+(Assumptions!$B$11-Assumptions!$B$6)*(15-1)/5)</f>
        <v>900</v>
      </c>
      <c r="Q6" s="18" t="n">
        <f aca="false">MIN(Assumptions!$B$11,Assumptions!$B$6+(Assumptions!$B$11-Assumptions!$B$6)*(16-1)/5)</f>
        <v>900</v>
      </c>
      <c r="R6" s="18" t="n">
        <f aca="false">MIN(Assumptions!$B$11,Assumptions!$B$6+(Assumptions!$B$11-Assumptions!$B$6)*(17-1)/5)</f>
        <v>900</v>
      </c>
      <c r="S6" s="18" t="n">
        <f aca="false">MIN(Assumptions!$B$11,Assumptions!$B$6+(Assumptions!$B$11-Assumptions!$B$6)*(18-1)/5)</f>
        <v>900</v>
      </c>
      <c r="T6" s="18" t="n">
        <f aca="false">MIN(Assumptions!$B$11,Assumptions!$B$6+(Assumptions!$B$11-Assumptions!$B$6)*(19-1)/5)</f>
        <v>900</v>
      </c>
      <c r="U6" s="18" t="n">
        <f aca="false">MIN(Assumptions!$B$11,Assumptions!$B$6+(Assumptions!$B$11-Assumptions!$B$6)*(20-1)/5)</f>
        <v>900</v>
      </c>
      <c r="V6" s="18" t="n">
        <f aca="false">MIN(Assumptions!$B$11,Assumptions!$B$6+(Assumptions!$B$11-Assumptions!$B$6)*(21-1)/5)</f>
        <v>900</v>
      </c>
      <c r="W6" s="18" t="n">
        <f aca="false">MIN(Assumptions!$B$11,Assumptions!$B$6+(Assumptions!$B$11-Assumptions!$B$6)*(22-1)/5)</f>
        <v>900</v>
      </c>
      <c r="X6" s="18" t="n">
        <f aca="false">MIN(Assumptions!$B$11,Assumptions!$B$6+(Assumptions!$B$11-Assumptions!$B$6)*(23-1)/5)</f>
        <v>900</v>
      </c>
      <c r="Y6" s="18" t="n">
        <f aca="false">MIN(Assumptions!$B$11,Assumptions!$B$6+(Assumptions!$B$11-Assumptions!$B$6)*(24-1)/5)</f>
        <v>900</v>
      </c>
      <c r="Z6" s="18" t="n">
        <f aca="false">SUM(B6:M6)</f>
        <v>9300</v>
      </c>
      <c r="AA6" s="18" t="n">
        <f aca="false">SUM(N6:Y6)</f>
        <v>10800</v>
      </c>
      <c r="AB6" s="18" t="n">
        <f aca="false">SUM(B6:Y6)</f>
        <v>20100</v>
      </c>
    </row>
    <row r="7" customFormat="false" ht="15" hidden="false" customHeight="false" outlineLevel="0" collapsed="false">
      <c r="A7" s="17" t="s">
        <v>150</v>
      </c>
      <c r="B7" s="18" t="n">
        <f aca="false">IF(1&lt;Assumptions!$B$12,0,MIN(Assumptions!$B$14,Assumptions!$B$13+(Assumptions!$B$14-Assumptions!$B$13)*(1-Assumptions!$B$12)/3))</f>
        <v>0</v>
      </c>
      <c r="C7" s="18" t="n">
        <f aca="false">IF(2&lt;Assumptions!$B$12,0,MIN(Assumptions!$B$14,Assumptions!$B$13+(Assumptions!$B$14-Assumptions!$B$13)*(2-Assumptions!$B$12)/3))</f>
        <v>0</v>
      </c>
      <c r="D7" s="18" t="n">
        <f aca="false">IF(3&lt;Assumptions!$B$12,0,MIN(Assumptions!$B$14,Assumptions!$B$13+(Assumptions!$B$14-Assumptions!$B$13)*(3-Assumptions!$B$12)/3))</f>
        <v>0</v>
      </c>
      <c r="E7" s="18" t="n">
        <f aca="false">IF(4&lt;Assumptions!$B$12,0,MIN(Assumptions!$B$14,Assumptions!$B$13+(Assumptions!$B$14-Assumptions!$B$13)*(4-Assumptions!$B$12)/3))</f>
        <v>0</v>
      </c>
      <c r="F7" s="18" t="n">
        <f aca="false">IF(5&lt;Assumptions!$B$12,0,MIN(Assumptions!$B$14,Assumptions!$B$13+(Assumptions!$B$14-Assumptions!$B$13)*(5-Assumptions!$B$12)/3))</f>
        <v>0</v>
      </c>
      <c r="G7" s="18" t="n">
        <f aca="false">IF(6&lt;Assumptions!$B$12,0,MIN(Assumptions!$B$14,Assumptions!$B$13+(Assumptions!$B$14-Assumptions!$B$13)*(6-Assumptions!$B$12)/3))</f>
        <v>0</v>
      </c>
      <c r="H7" s="18" t="n">
        <f aca="false">IF(7&lt;Assumptions!$B$12,0,MIN(Assumptions!$B$14,Assumptions!$B$13+(Assumptions!$B$14-Assumptions!$B$13)*(7-Assumptions!$B$12)/3))</f>
        <v>500</v>
      </c>
      <c r="I7" s="18" t="n">
        <f aca="false">IF(8&lt;Assumptions!$B$12,0,MIN(Assumptions!$B$14,Assumptions!$B$13+(Assumptions!$B$14-Assumptions!$B$13)*(8-Assumptions!$B$12)/3))</f>
        <v>633.333333333333</v>
      </c>
      <c r="J7" s="18" t="n">
        <f aca="false">IF(9&lt;Assumptions!$B$12,0,MIN(Assumptions!$B$14,Assumptions!$B$13+(Assumptions!$B$14-Assumptions!$B$13)*(9-Assumptions!$B$12)/3))</f>
        <v>766.666666666667</v>
      </c>
      <c r="K7" s="18" t="n">
        <f aca="false">IF(10&lt;Assumptions!$B$12,0,MIN(Assumptions!$B$14,Assumptions!$B$13+(Assumptions!$B$14-Assumptions!$B$13)*(10-Assumptions!$B$12)/3))</f>
        <v>900</v>
      </c>
      <c r="L7" s="18" t="n">
        <f aca="false">IF(11&lt;Assumptions!$B$12,0,MIN(Assumptions!$B$14,Assumptions!$B$13+(Assumptions!$B$14-Assumptions!$B$13)*(11-Assumptions!$B$12)/3))</f>
        <v>900</v>
      </c>
      <c r="M7" s="18" t="n">
        <f aca="false">IF(12&lt;Assumptions!$B$12,0,MIN(Assumptions!$B$14,Assumptions!$B$13+(Assumptions!$B$14-Assumptions!$B$13)*(12-Assumptions!$B$12)/3))</f>
        <v>900</v>
      </c>
      <c r="N7" s="18" t="n">
        <f aca="false">IF(13&lt;Assumptions!$B$12,0,MIN(Assumptions!$B$14,Assumptions!$B$13+(Assumptions!$B$14-Assumptions!$B$13)*(13-Assumptions!$B$12)/3))</f>
        <v>900</v>
      </c>
      <c r="O7" s="18" t="n">
        <f aca="false">IF(14&lt;Assumptions!$B$12,0,MIN(Assumptions!$B$14,Assumptions!$B$13+(Assumptions!$B$14-Assumptions!$B$13)*(14-Assumptions!$B$12)/3))</f>
        <v>900</v>
      </c>
      <c r="P7" s="18" t="n">
        <f aca="false">IF(15&lt;Assumptions!$B$12,0,MIN(Assumptions!$B$14,Assumptions!$B$13+(Assumptions!$B$14-Assumptions!$B$13)*(15-Assumptions!$B$12)/3))</f>
        <v>900</v>
      </c>
      <c r="Q7" s="18" t="n">
        <f aca="false">IF(16&lt;Assumptions!$B$12,0,MIN(Assumptions!$B$14,Assumptions!$B$13+(Assumptions!$B$14-Assumptions!$B$13)*(16-Assumptions!$B$12)/3))</f>
        <v>900</v>
      </c>
      <c r="R7" s="18" t="n">
        <f aca="false">IF(17&lt;Assumptions!$B$12,0,MIN(Assumptions!$B$14,Assumptions!$B$13+(Assumptions!$B$14-Assumptions!$B$13)*(17-Assumptions!$B$12)/3))</f>
        <v>900</v>
      </c>
      <c r="S7" s="18" t="n">
        <f aca="false">IF(18&lt;Assumptions!$B$12,0,MIN(Assumptions!$B$14,Assumptions!$B$13+(Assumptions!$B$14-Assumptions!$B$13)*(18-Assumptions!$B$12)/3))</f>
        <v>900</v>
      </c>
      <c r="T7" s="18" t="n">
        <f aca="false">IF(19&lt;Assumptions!$B$12,0,MIN(Assumptions!$B$14,Assumptions!$B$13+(Assumptions!$B$14-Assumptions!$B$13)*(19-Assumptions!$B$12)/3))</f>
        <v>900</v>
      </c>
      <c r="U7" s="18" t="n">
        <f aca="false">IF(20&lt;Assumptions!$B$12,0,MIN(Assumptions!$B$14,Assumptions!$B$13+(Assumptions!$B$14-Assumptions!$B$13)*(20-Assumptions!$B$12)/3))</f>
        <v>900</v>
      </c>
      <c r="V7" s="18" t="n">
        <f aca="false">IF(21&lt;Assumptions!$B$12,0,MIN(Assumptions!$B$14,Assumptions!$B$13+(Assumptions!$B$14-Assumptions!$B$13)*(21-Assumptions!$B$12)/3))</f>
        <v>900</v>
      </c>
      <c r="W7" s="18" t="n">
        <f aca="false">IF(22&lt;Assumptions!$B$12,0,MIN(Assumptions!$B$14,Assumptions!$B$13+(Assumptions!$B$14-Assumptions!$B$13)*(22-Assumptions!$B$12)/3))</f>
        <v>900</v>
      </c>
      <c r="X7" s="18" t="n">
        <f aca="false">IF(23&lt;Assumptions!$B$12,0,MIN(Assumptions!$B$14,Assumptions!$B$13+(Assumptions!$B$14-Assumptions!$B$13)*(23-Assumptions!$B$12)/3))</f>
        <v>900</v>
      </c>
      <c r="Y7" s="18" t="n">
        <f aca="false">IF(24&lt;Assumptions!$B$12,0,MIN(Assumptions!$B$14,Assumptions!$B$13+(Assumptions!$B$14-Assumptions!$B$13)*(24-Assumptions!$B$12)/3))</f>
        <v>900</v>
      </c>
      <c r="Z7" s="18" t="n">
        <f aca="false">SUM(B7:M7)</f>
        <v>4600</v>
      </c>
      <c r="AA7" s="18" t="n">
        <f aca="false">SUM(N7:Y7)</f>
        <v>10800</v>
      </c>
      <c r="AB7" s="18" t="n">
        <f aca="false">SUM(B7:Y7)</f>
        <v>15400</v>
      </c>
    </row>
    <row r="8" customFormat="false" ht="15" hidden="false" customHeight="false" outlineLevel="0" collapsed="false">
      <c r="A8" s="15" t="s">
        <v>151</v>
      </c>
      <c r="B8" s="19" t="n">
        <f aca="false">B6+B7</f>
        <v>400</v>
      </c>
      <c r="C8" s="19" t="n">
        <f aca="false">C6+C7</f>
        <v>500</v>
      </c>
      <c r="D8" s="19" t="n">
        <f aca="false">D6+D7</f>
        <v>600</v>
      </c>
      <c r="E8" s="19" t="n">
        <f aca="false">E6+E7</f>
        <v>700</v>
      </c>
      <c r="F8" s="19" t="n">
        <f aca="false">F6+F7</f>
        <v>800</v>
      </c>
      <c r="G8" s="19" t="n">
        <f aca="false">G6+G7</f>
        <v>900</v>
      </c>
      <c r="H8" s="19" t="n">
        <f aca="false">H6+H7</f>
        <v>1400</v>
      </c>
      <c r="I8" s="19" t="n">
        <f aca="false">I6+I7</f>
        <v>1533.33333333333</v>
      </c>
      <c r="J8" s="19" t="n">
        <f aca="false">J6+J7</f>
        <v>1666.66666666667</v>
      </c>
      <c r="K8" s="19" t="n">
        <f aca="false">K6+K7</f>
        <v>1800</v>
      </c>
      <c r="L8" s="19" t="n">
        <f aca="false">L6+L7</f>
        <v>1800</v>
      </c>
      <c r="M8" s="19" t="n">
        <f aca="false">M6+M7</f>
        <v>1800</v>
      </c>
      <c r="N8" s="19" t="n">
        <f aca="false">N6+N7</f>
        <v>1800</v>
      </c>
      <c r="O8" s="19" t="n">
        <f aca="false">O6+O7</f>
        <v>1800</v>
      </c>
      <c r="P8" s="19" t="n">
        <f aca="false">P6+P7</f>
        <v>1800</v>
      </c>
      <c r="Q8" s="19" t="n">
        <f aca="false">Q6+Q7</f>
        <v>1800</v>
      </c>
      <c r="R8" s="19" t="n">
        <f aca="false">R6+R7</f>
        <v>1800</v>
      </c>
      <c r="S8" s="19" t="n">
        <f aca="false">S6+S7</f>
        <v>1800</v>
      </c>
      <c r="T8" s="19" t="n">
        <f aca="false">T6+T7</f>
        <v>1800</v>
      </c>
      <c r="U8" s="19" t="n">
        <f aca="false">U6+U7</f>
        <v>1800</v>
      </c>
      <c r="V8" s="19" t="n">
        <f aca="false">V6+V7</f>
        <v>1800</v>
      </c>
      <c r="W8" s="19" t="n">
        <f aca="false">W6+W7</f>
        <v>1800</v>
      </c>
      <c r="X8" s="19" t="n">
        <f aca="false">X6+X7</f>
        <v>1800</v>
      </c>
      <c r="Y8" s="19" t="n">
        <f aca="false">Y6+Y7</f>
        <v>1800</v>
      </c>
      <c r="Z8" s="19" t="n">
        <f aca="false">SUM(B8:M8)</f>
        <v>13900</v>
      </c>
      <c r="AA8" s="19" t="n">
        <f aca="false">SUM(N8:Y8)</f>
        <v>21600</v>
      </c>
      <c r="AB8" s="19" t="n">
        <f aca="false">SUM(B8:Y8)</f>
        <v>35500</v>
      </c>
    </row>
    <row r="9" customFormat="false" ht="15" hidden="false" customHeight="false" outlineLevel="0" collapsed="false">
      <c r="A9" s="4" t="s">
        <v>152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customFormat="false" ht="15" hidden="false" customHeight="false" outlineLevel="0" collapsed="false">
      <c r="A10" s="17" t="s">
        <v>153</v>
      </c>
      <c r="B10" s="18" t="n">
        <f aca="false">Assumptions!$B$41*IF(1&gt;=Assumptions!$B$12,Assumptions!$B$52,1)/Assumptions!$B$42</f>
        <v>15.2542372881356</v>
      </c>
      <c r="C10" s="18" t="n">
        <f aca="false">Assumptions!$B$41*IF(2&gt;=Assumptions!$B$12,Assumptions!$B$52,1)/Assumptions!$B$42</f>
        <v>15.2542372881356</v>
      </c>
      <c r="D10" s="18" t="n">
        <f aca="false">Assumptions!$B$41*IF(3&gt;=Assumptions!$B$12,Assumptions!$B$52,1)/Assumptions!$B$42</f>
        <v>15.2542372881356</v>
      </c>
      <c r="E10" s="18" t="n">
        <f aca="false">Assumptions!$B$41*IF(4&gt;=Assumptions!$B$12,Assumptions!$B$52,1)/Assumptions!$B$42</f>
        <v>15.2542372881356</v>
      </c>
      <c r="F10" s="18" t="n">
        <f aca="false">Assumptions!$B$41*IF(5&gt;=Assumptions!$B$12,Assumptions!$B$52,1)/Assumptions!$B$42</f>
        <v>15.2542372881356</v>
      </c>
      <c r="G10" s="18" t="n">
        <f aca="false">Assumptions!$B$41*IF(6&gt;=Assumptions!$B$12,Assumptions!$B$52,1)/Assumptions!$B$42</f>
        <v>15.2542372881356</v>
      </c>
      <c r="H10" s="18" t="n">
        <f aca="false">Assumptions!$B$41*IF(7&gt;=Assumptions!$B$12,Assumptions!$B$52,1)/Assumptions!$B$42</f>
        <v>24.4067796610169</v>
      </c>
      <c r="I10" s="18" t="n">
        <f aca="false">Assumptions!$B$41*IF(8&gt;=Assumptions!$B$12,Assumptions!$B$52,1)/Assumptions!$B$42</f>
        <v>24.4067796610169</v>
      </c>
      <c r="J10" s="18" t="n">
        <f aca="false">Assumptions!$B$41*IF(9&gt;=Assumptions!$B$12,Assumptions!$B$52,1)/Assumptions!$B$42</f>
        <v>24.4067796610169</v>
      </c>
      <c r="K10" s="18" t="n">
        <f aca="false">Assumptions!$B$41*IF(10&gt;=Assumptions!$B$12,Assumptions!$B$52,1)/Assumptions!$B$42</f>
        <v>24.4067796610169</v>
      </c>
      <c r="L10" s="18" t="n">
        <f aca="false">Assumptions!$B$41*IF(11&gt;=Assumptions!$B$12,Assumptions!$B$52,1)/Assumptions!$B$42</f>
        <v>24.4067796610169</v>
      </c>
      <c r="M10" s="18" t="n">
        <f aca="false">Assumptions!$B$41*IF(12&gt;=Assumptions!$B$12,Assumptions!$B$52,1)/Assumptions!$B$42</f>
        <v>24.4067796610169</v>
      </c>
      <c r="N10" s="18" t="n">
        <f aca="false">Assumptions!$B$41*IF(13&gt;=Assumptions!$B$12,Assumptions!$B$52,1)/Assumptions!$B$42</f>
        <v>24.4067796610169</v>
      </c>
      <c r="O10" s="18" t="n">
        <f aca="false">Assumptions!$B$41*IF(14&gt;=Assumptions!$B$12,Assumptions!$B$52,1)/Assumptions!$B$42</f>
        <v>24.4067796610169</v>
      </c>
      <c r="P10" s="18" t="n">
        <f aca="false">Assumptions!$B$41*IF(15&gt;=Assumptions!$B$12,Assumptions!$B$52,1)/Assumptions!$B$42</f>
        <v>24.4067796610169</v>
      </c>
      <c r="Q10" s="18" t="n">
        <f aca="false">Assumptions!$B$41*IF(16&gt;=Assumptions!$B$12,Assumptions!$B$52,1)/Assumptions!$B$42</f>
        <v>24.4067796610169</v>
      </c>
      <c r="R10" s="18" t="n">
        <f aca="false">Assumptions!$B$41*IF(17&gt;=Assumptions!$B$12,Assumptions!$B$52,1)/Assumptions!$B$42</f>
        <v>24.4067796610169</v>
      </c>
      <c r="S10" s="18" t="n">
        <f aca="false">Assumptions!$B$41*IF(18&gt;=Assumptions!$B$12,Assumptions!$B$52,1)/Assumptions!$B$42</f>
        <v>24.4067796610169</v>
      </c>
      <c r="T10" s="18" t="n">
        <f aca="false">Assumptions!$B$41*IF(19&gt;=Assumptions!$B$12,Assumptions!$B$52,1)/Assumptions!$B$42</f>
        <v>24.4067796610169</v>
      </c>
      <c r="U10" s="18" t="n">
        <f aca="false">Assumptions!$B$41*IF(20&gt;=Assumptions!$B$12,Assumptions!$B$52,1)/Assumptions!$B$42</f>
        <v>24.4067796610169</v>
      </c>
      <c r="V10" s="18" t="n">
        <f aca="false">Assumptions!$B$41*IF(21&gt;=Assumptions!$B$12,Assumptions!$B$52,1)/Assumptions!$B$42</f>
        <v>24.4067796610169</v>
      </c>
      <c r="W10" s="18" t="n">
        <f aca="false">Assumptions!$B$41*IF(22&gt;=Assumptions!$B$12,Assumptions!$B$52,1)/Assumptions!$B$42</f>
        <v>24.4067796610169</v>
      </c>
      <c r="X10" s="18" t="n">
        <f aca="false">Assumptions!$B$41*IF(23&gt;=Assumptions!$B$12,Assumptions!$B$52,1)/Assumptions!$B$42</f>
        <v>24.4067796610169</v>
      </c>
      <c r="Y10" s="18" t="n">
        <f aca="false">Assumptions!$B$41*IF(24&gt;=Assumptions!$B$12,Assumptions!$B$52,1)/Assumptions!$B$42</f>
        <v>24.4067796610169</v>
      </c>
      <c r="Z10" s="18" t="n">
        <f aca="false">SUM(B10:M10)</f>
        <v>237.966101694915</v>
      </c>
      <c r="AA10" s="18" t="n">
        <f aca="false">SUM(N10:Y10)</f>
        <v>292.881355932203</v>
      </c>
      <c r="AB10" s="18" t="n">
        <f aca="false">SUM(B10:Y10)</f>
        <v>530.847457627119</v>
      </c>
    </row>
    <row r="11" customFormat="false" ht="15" hidden="false" customHeight="false" outlineLevel="0" collapsed="false">
      <c r="A11" s="17" t="s">
        <v>154</v>
      </c>
      <c r="B11" s="18" t="n">
        <f aca="false">IF(1&gt;=2,Assumptions!$B$44*IF(1&gt;=Assumptions!$B$12,Assumptions!$B$52,1)/Assumptions!$B$45,0)</f>
        <v>0</v>
      </c>
      <c r="C11" s="18" t="n">
        <f aca="false">IF(2&gt;=2,Assumptions!$B$44*IF(2&gt;=Assumptions!$B$12,Assumptions!$B$52,1)/Assumptions!$B$45,0)</f>
        <v>10.9090909090909</v>
      </c>
      <c r="D11" s="18" t="n">
        <f aca="false">IF(3&gt;=2,Assumptions!$B$44*IF(3&gt;=Assumptions!$B$12,Assumptions!$B$52,1)/Assumptions!$B$45,0)</f>
        <v>10.9090909090909</v>
      </c>
      <c r="E11" s="18" t="n">
        <f aca="false">IF(4&gt;=2,Assumptions!$B$44*IF(4&gt;=Assumptions!$B$12,Assumptions!$B$52,1)/Assumptions!$B$45,0)</f>
        <v>10.9090909090909</v>
      </c>
      <c r="F11" s="18" t="n">
        <f aca="false">IF(5&gt;=2,Assumptions!$B$44*IF(5&gt;=Assumptions!$B$12,Assumptions!$B$52,1)/Assumptions!$B$45,0)</f>
        <v>10.9090909090909</v>
      </c>
      <c r="G11" s="18" t="n">
        <f aca="false">IF(6&gt;=2,Assumptions!$B$44*IF(6&gt;=Assumptions!$B$12,Assumptions!$B$52,1)/Assumptions!$B$45,0)</f>
        <v>10.9090909090909</v>
      </c>
      <c r="H11" s="18" t="n">
        <f aca="false">IF(7&gt;=2,Assumptions!$B$44*IF(7&gt;=Assumptions!$B$12,Assumptions!$B$52,1)/Assumptions!$B$45,0)</f>
        <v>17.4545454545455</v>
      </c>
      <c r="I11" s="18" t="n">
        <f aca="false">IF(8&gt;=2,Assumptions!$B$44*IF(8&gt;=Assumptions!$B$12,Assumptions!$B$52,1)/Assumptions!$B$45,0)</f>
        <v>17.4545454545455</v>
      </c>
      <c r="J11" s="18" t="n">
        <f aca="false">IF(9&gt;=2,Assumptions!$B$44*IF(9&gt;=Assumptions!$B$12,Assumptions!$B$52,1)/Assumptions!$B$45,0)</f>
        <v>17.4545454545455</v>
      </c>
      <c r="K11" s="18" t="n">
        <f aca="false">IF(10&gt;=2,Assumptions!$B$44*IF(10&gt;=Assumptions!$B$12,Assumptions!$B$52,1)/Assumptions!$B$45,0)</f>
        <v>17.4545454545455</v>
      </c>
      <c r="L11" s="18" t="n">
        <f aca="false">IF(11&gt;=2,Assumptions!$B$44*IF(11&gt;=Assumptions!$B$12,Assumptions!$B$52,1)/Assumptions!$B$45,0)</f>
        <v>17.4545454545455</v>
      </c>
      <c r="M11" s="18" t="n">
        <f aca="false">IF(12&gt;=2,Assumptions!$B$44*IF(12&gt;=Assumptions!$B$12,Assumptions!$B$52,1)/Assumptions!$B$45,0)</f>
        <v>17.4545454545455</v>
      </c>
      <c r="N11" s="18" t="n">
        <f aca="false">IF(13&gt;=2,Assumptions!$B$44*IF(13&gt;=Assumptions!$B$12,Assumptions!$B$52,1)/Assumptions!$B$45,0)</f>
        <v>17.4545454545455</v>
      </c>
      <c r="O11" s="18" t="n">
        <f aca="false">IF(14&gt;=2,Assumptions!$B$44*IF(14&gt;=Assumptions!$B$12,Assumptions!$B$52,1)/Assumptions!$B$45,0)</f>
        <v>17.4545454545455</v>
      </c>
      <c r="P11" s="18" t="n">
        <f aca="false">IF(15&gt;=2,Assumptions!$B$44*IF(15&gt;=Assumptions!$B$12,Assumptions!$B$52,1)/Assumptions!$B$45,0)</f>
        <v>17.4545454545455</v>
      </c>
      <c r="Q11" s="18" t="n">
        <f aca="false">IF(16&gt;=2,Assumptions!$B$44*IF(16&gt;=Assumptions!$B$12,Assumptions!$B$52,1)/Assumptions!$B$45,0)</f>
        <v>17.4545454545455</v>
      </c>
      <c r="R11" s="18" t="n">
        <f aca="false">IF(17&gt;=2,Assumptions!$B$44*IF(17&gt;=Assumptions!$B$12,Assumptions!$B$52,1)/Assumptions!$B$45,0)</f>
        <v>17.4545454545455</v>
      </c>
      <c r="S11" s="18" t="n">
        <f aca="false">IF(18&gt;=2,Assumptions!$B$44*IF(18&gt;=Assumptions!$B$12,Assumptions!$B$52,1)/Assumptions!$B$45,0)</f>
        <v>17.4545454545455</v>
      </c>
      <c r="T11" s="18" t="n">
        <f aca="false">IF(19&gt;=2,Assumptions!$B$44*IF(19&gt;=Assumptions!$B$12,Assumptions!$B$52,1)/Assumptions!$B$45,0)</f>
        <v>17.4545454545455</v>
      </c>
      <c r="U11" s="18" t="n">
        <f aca="false">IF(20&gt;=2,Assumptions!$B$44*IF(20&gt;=Assumptions!$B$12,Assumptions!$B$52,1)/Assumptions!$B$45,0)</f>
        <v>17.4545454545455</v>
      </c>
      <c r="V11" s="18" t="n">
        <f aca="false">IF(21&gt;=2,Assumptions!$B$44*IF(21&gt;=Assumptions!$B$12,Assumptions!$B$52,1)/Assumptions!$B$45,0)</f>
        <v>17.4545454545455</v>
      </c>
      <c r="W11" s="18" t="n">
        <f aca="false">IF(22&gt;=2,Assumptions!$B$44*IF(22&gt;=Assumptions!$B$12,Assumptions!$B$52,1)/Assumptions!$B$45,0)</f>
        <v>17.4545454545455</v>
      </c>
      <c r="X11" s="18" t="n">
        <f aca="false">IF(23&gt;=2,Assumptions!$B$44*IF(23&gt;=Assumptions!$B$12,Assumptions!$B$52,1)/Assumptions!$B$45,0)</f>
        <v>17.4545454545455</v>
      </c>
      <c r="Y11" s="18" t="n">
        <f aca="false">IF(24&gt;=2,Assumptions!$B$44*IF(24&gt;=Assumptions!$B$12,Assumptions!$B$52,1)/Assumptions!$B$45,0)</f>
        <v>17.4545454545455</v>
      </c>
      <c r="Z11" s="18" t="n">
        <f aca="false">SUM(B11:M11)</f>
        <v>159.272727272727</v>
      </c>
      <c r="AA11" s="18" t="n">
        <f aca="false">SUM(N11:Y11)</f>
        <v>209.454545454545</v>
      </c>
      <c r="AB11" s="18" t="n">
        <f aca="false">SUM(B11:Y11)</f>
        <v>368.727272727273</v>
      </c>
    </row>
    <row r="12" customFormat="false" ht="15" hidden="false" customHeight="false" outlineLevel="0" collapsed="false">
      <c r="A12" s="17" t="s">
        <v>155</v>
      </c>
      <c r="B12" s="18" t="n">
        <f aca="false">Assumptions!$B$47*(1+Assumptions!$B$48)^(1-1)</f>
        <v>6</v>
      </c>
      <c r="C12" s="18" t="n">
        <f aca="false">Assumptions!$B$47*(1+Assumptions!$B$48)^(2-1)</f>
        <v>6.36</v>
      </c>
      <c r="D12" s="18" t="n">
        <f aca="false">Assumptions!$B$47*(1+Assumptions!$B$48)^(3-1)</f>
        <v>6.7416</v>
      </c>
      <c r="E12" s="18" t="n">
        <f aca="false">Assumptions!$B$47*(1+Assumptions!$B$48)^(4-1)</f>
        <v>7.146096</v>
      </c>
      <c r="F12" s="18" t="n">
        <f aca="false">Assumptions!$B$47*(1+Assumptions!$B$48)^(5-1)</f>
        <v>7.57486176</v>
      </c>
      <c r="G12" s="18" t="n">
        <f aca="false">Assumptions!$B$47*(1+Assumptions!$B$48)^(6-1)</f>
        <v>8.0293534656</v>
      </c>
      <c r="H12" s="18" t="n">
        <f aca="false">Assumptions!$B$47*(1+Assumptions!$B$48)^(7-1)</f>
        <v>8.511114673536</v>
      </c>
      <c r="I12" s="18" t="n">
        <f aca="false">Assumptions!$B$47*(1+Assumptions!$B$48)^(8-1)</f>
        <v>9.02178155394816</v>
      </c>
      <c r="J12" s="18" t="n">
        <f aca="false">Assumptions!$B$47*(1+Assumptions!$B$48)^(9-1)</f>
        <v>9.56308844718505</v>
      </c>
      <c r="K12" s="18" t="n">
        <f aca="false">Assumptions!$B$47*(1+Assumptions!$B$48)^(10-1)</f>
        <v>10.1368737540162</v>
      </c>
      <c r="L12" s="18" t="n">
        <f aca="false">Assumptions!$B$47*(1+Assumptions!$B$48)^(11-1)</f>
        <v>10.7450861792571</v>
      </c>
      <c r="M12" s="18" t="n">
        <f aca="false">Assumptions!$B$47*(1+Assumptions!$B$48)^(12-1)</f>
        <v>11.3897913500126</v>
      </c>
      <c r="N12" s="18" t="n">
        <f aca="false">Assumptions!$B$47*(1+Assumptions!$B$48)^(13-1)</f>
        <v>12.0731788310133</v>
      </c>
      <c r="O12" s="18" t="n">
        <f aca="false">Assumptions!$B$47*(1+Assumptions!$B$48)^(14-1)</f>
        <v>12.7975695608741</v>
      </c>
      <c r="P12" s="18" t="n">
        <f aca="false">Assumptions!$B$47*(1+Assumptions!$B$48)^(15-1)</f>
        <v>13.5654237345266</v>
      </c>
      <c r="Q12" s="18" t="n">
        <f aca="false">Assumptions!$B$47*(1+Assumptions!$B$48)^(16-1)</f>
        <v>14.3793491585982</v>
      </c>
      <c r="R12" s="18" t="n">
        <f aca="false">Assumptions!$B$47*(1+Assumptions!$B$48)^(17-1)</f>
        <v>15.242110108114</v>
      </c>
      <c r="S12" s="18" t="n">
        <f aca="false">Assumptions!$B$47*(1+Assumptions!$B$48)^(18-1)</f>
        <v>16.1566367146009</v>
      </c>
      <c r="T12" s="18" t="n">
        <f aca="false">Assumptions!$B$47*(1+Assumptions!$B$48)^(19-1)</f>
        <v>17.1260349174769</v>
      </c>
      <c r="U12" s="18" t="n">
        <f aca="false">Assumptions!$B$47*(1+Assumptions!$B$48)^(20-1)</f>
        <v>18.1535970125256</v>
      </c>
      <c r="V12" s="18" t="n">
        <f aca="false">Assumptions!$B$47*(1+Assumptions!$B$48)^(21-1)</f>
        <v>19.2428128332771</v>
      </c>
      <c r="W12" s="18" t="n">
        <f aca="false">Assumptions!$B$47*(1+Assumptions!$B$48)^(22-1)</f>
        <v>20.3973816032737</v>
      </c>
      <c r="X12" s="18" t="n">
        <f aca="false">Assumptions!$B$47*(1+Assumptions!$B$48)^(23-1)</f>
        <v>21.6212244994701</v>
      </c>
      <c r="Y12" s="18" t="n">
        <f aca="false">Assumptions!$B$47*(1+Assumptions!$B$48)^(24-1)</f>
        <v>22.9184979694384</v>
      </c>
      <c r="Z12" s="18" t="n">
        <f aca="false">SUM(B12:M12)</f>
        <v>101.219647183555</v>
      </c>
      <c r="AA12" s="18" t="n">
        <f aca="false">SUM(N12:Y12)</f>
        <v>203.673816943189</v>
      </c>
      <c r="AB12" s="18" t="n">
        <f aca="false">SUM(B12:Y12)</f>
        <v>304.893464126744</v>
      </c>
    </row>
    <row r="13" customFormat="false" ht="15" hidden="false" customHeight="false" outlineLevel="0" collapsed="false">
      <c r="A13" s="15" t="s">
        <v>156</v>
      </c>
      <c r="B13" s="19" t="n">
        <f aca="false">B10+B11+B12</f>
        <v>21.2542372881356</v>
      </c>
      <c r="C13" s="19" t="n">
        <f aca="false">C10+C11+C12</f>
        <v>32.5233281972265</v>
      </c>
      <c r="D13" s="19" t="n">
        <f aca="false">D10+D11+D12</f>
        <v>32.9049281972265</v>
      </c>
      <c r="E13" s="19" t="n">
        <f aca="false">E10+E11+E12</f>
        <v>33.3094241972265</v>
      </c>
      <c r="F13" s="19" t="n">
        <f aca="false">F10+F11+F12</f>
        <v>33.7381899572265</v>
      </c>
      <c r="G13" s="19" t="n">
        <f aca="false">G10+G11+G12</f>
        <v>34.1926816628265</v>
      </c>
      <c r="H13" s="19" t="n">
        <f aca="false">H10+H11+H12</f>
        <v>50.3724397890984</v>
      </c>
      <c r="I13" s="19" t="n">
        <f aca="false">I10+I11+I12</f>
        <v>50.8831066695106</v>
      </c>
      <c r="J13" s="19" t="n">
        <f aca="false">J10+J11+J12</f>
        <v>51.4244135627475</v>
      </c>
      <c r="K13" s="19" t="n">
        <f aca="false">K10+K11+K12</f>
        <v>51.9981988695786</v>
      </c>
      <c r="L13" s="19" t="n">
        <f aca="false">L10+L11+L12</f>
        <v>52.6064112948195</v>
      </c>
      <c r="M13" s="19" t="n">
        <f aca="false">M10+M11+M12</f>
        <v>53.251116465575</v>
      </c>
      <c r="N13" s="19" t="n">
        <f aca="false">N10+N11+N12</f>
        <v>53.9345039465757</v>
      </c>
      <c r="O13" s="19" t="n">
        <f aca="false">O10+O11+O12</f>
        <v>54.6588946764365</v>
      </c>
      <c r="P13" s="19" t="n">
        <f aca="false">P10+P11+P12</f>
        <v>55.426748850089</v>
      </c>
      <c r="Q13" s="19" t="n">
        <f aca="false">Q10+Q11+Q12</f>
        <v>56.2406742741606</v>
      </c>
      <c r="R13" s="19" t="n">
        <f aca="false">R10+R11+R12</f>
        <v>57.1034352236764</v>
      </c>
      <c r="S13" s="19" t="n">
        <f aca="false">S10+S11+S12</f>
        <v>58.0179618301633</v>
      </c>
      <c r="T13" s="19" t="n">
        <f aca="false">T10+T11+T12</f>
        <v>58.9873600330393</v>
      </c>
      <c r="U13" s="19" t="n">
        <f aca="false">U10+U11+U12</f>
        <v>60.014922128088</v>
      </c>
      <c r="V13" s="19" t="n">
        <f aca="false">V10+V11+V12</f>
        <v>61.1041379488395</v>
      </c>
      <c r="W13" s="19" t="n">
        <f aca="false">W10+W11+W12</f>
        <v>62.2587067188361</v>
      </c>
      <c r="X13" s="19" t="n">
        <f aca="false">X10+X11+X12</f>
        <v>63.4825496150325</v>
      </c>
      <c r="Y13" s="19" t="n">
        <f aca="false">Y10+Y11+Y12</f>
        <v>64.7798230850007</v>
      </c>
      <c r="Z13" s="19" t="n">
        <f aca="false">SUM(B13:M13)</f>
        <v>498.458476151198</v>
      </c>
      <c r="AA13" s="19" t="n">
        <f aca="false">SUM(N13:Y13)</f>
        <v>706.009718329938</v>
      </c>
      <c r="AB13" s="19" t="n">
        <f aca="false">SUM(B13:Y13)</f>
        <v>1204.46819448114</v>
      </c>
    </row>
    <row r="14" customFormat="false" ht="15" hidden="false" customHeight="false" outlineLevel="0" collapsed="false">
      <c r="A14" s="17" t="s">
        <v>157</v>
      </c>
      <c r="B14" s="18" t="n">
        <f aca="false">B10*Assumptions!$B$43+B11*Assumptions!$B$46+B12*Assumptions!$B$49</f>
        <v>11.5271186440678</v>
      </c>
      <c r="C14" s="18" t="n">
        <f aca="false">C10*Assumptions!$B$43+C11*Assumptions!$B$46+C12*Assumptions!$B$49</f>
        <v>15.0338459167951</v>
      </c>
      <c r="D14" s="18" t="n">
        <f aca="false">D10*Assumptions!$B$43+D11*Assumptions!$B$46+D12*Assumptions!$B$49</f>
        <v>15.2818859167951</v>
      </c>
      <c r="E14" s="18" t="n">
        <f aca="false">E10*Assumptions!$B$43+E11*Assumptions!$B$46+E12*Assumptions!$B$49</f>
        <v>15.5448083167951</v>
      </c>
      <c r="F14" s="18" t="n">
        <f aca="false">F10*Assumptions!$B$43+F11*Assumptions!$B$46+F12*Assumptions!$B$49</f>
        <v>15.8235060607951</v>
      </c>
      <c r="G14" s="18" t="n">
        <f aca="false">G10*Assumptions!$B$43+G11*Assumptions!$B$46+G12*Assumptions!$B$49</f>
        <v>16.1189256694351</v>
      </c>
      <c r="H14" s="18" t="n">
        <f aca="false">H10*Assumptions!$B$43+H11*Assumptions!$B$46+H12*Assumptions!$B$49</f>
        <v>22.9719780046705</v>
      </c>
      <c r="I14" s="18" t="n">
        <f aca="false">I10*Assumptions!$B$43+I11*Assumptions!$B$46+I12*Assumptions!$B$49</f>
        <v>23.3039114769384</v>
      </c>
      <c r="J14" s="18" t="n">
        <f aca="false">J10*Assumptions!$B$43+J11*Assumptions!$B$46+J12*Assumptions!$B$49</f>
        <v>23.6557609575424</v>
      </c>
      <c r="K14" s="18" t="n">
        <f aca="false">K10*Assumptions!$B$43+K11*Assumptions!$B$46+K12*Assumptions!$B$49</f>
        <v>24.0287214069826</v>
      </c>
      <c r="L14" s="18" t="n">
        <f aca="false">L10*Assumptions!$B$43+L11*Assumptions!$B$46+L12*Assumptions!$B$49</f>
        <v>24.4240594833892</v>
      </c>
      <c r="M14" s="18" t="n">
        <f aca="false">M10*Assumptions!$B$43+M11*Assumptions!$B$46+M12*Assumptions!$B$49</f>
        <v>24.8431178443803</v>
      </c>
      <c r="N14" s="18" t="n">
        <f aca="false">N10*Assumptions!$B$43+N11*Assumptions!$B$46+N12*Assumptions!$B$49</f>
        <v>25.2873197070308</v>
      </c>
      <c r="O14" s="18" t="n">
        <f aca="false">O10*Assumptions!$B$43+O11*Assumptions!$B$46+O12*Assumptions!$B$49</f>
        <v>25.7581736814403</v>
      </c>
      <c r="P14" s="18" t="n">
        <f aca="false">P10*Assumptions!$B$43+P11*Assumptions!$B$46+P12*Assumptions!$B$49</f>
        <v>26.2572788943144</v>
      </c>
      <c r="Q14" s="18" t="n">
        <f aca="false">Q10*Assumptions!$B$43+Q11*Assumptions!$B$46+Q12*Assumptions!$B$49</f>
        <v>26.7863304199609</v>
      </c>
      <c r="R14" s="18" t="n">
        <f aca="false">R10*Assumptions!$B$43+R11*Assumptions!$B$46+R12*Assumptions!$B$49</f>
        <v>27.3471250371462</v>
      </c>
      <c r="S14" s="18" t="n">
        <f aca="false">S10*Assumptions!$B$43+S11*Assumptions!$B$46+S12*Assumptions!$B$49</f>
        <v>27.9415673313627</v>
      </c>
      <c r="T14" s="18" t="n">
        <f aca="false">T10*Assumptions!$B$43+T11*Assumptions!$B$46+T12*Assumptions!$B$49</f>
        <v>28.5716761632321</v>
      </c>
      <c r="U14" s="18" t="n">
        <f aca="false">U10*Assumptions!$B$43+U11*Assumptions!$B$46+U12*Assumptions!$B$49</f>
        <v>29.2395915250137</v>
      </c>
      <c r="V14" s="18" t="n">
        <f aca="false">V10*Assumptions!$B$43+V11*Assumptions!$B$46+V12*Assumptions!$B$49</f>
        <v>29.9475818085022</v>
      </c>
      <c r="W14" s="18" t="n">
        <f aca="false">W10*Assumptions!$B$43+W11*Assumptions!$B$46+W12*Assumptions!$B$49</f>
        <v>30.698051509</v>
      </c>
      <c r="X14" s="18" t="n">
        <f aca="false">X10*Assumptions!$B$43+X11*Assumptions!$B$46+X12*Assumptions!$B$49</f>
        <v>31.4935493915277</v>
      </c>
      <c r="Y14" s="18" t="n">
        <f aca="false">Y10*Assumptions!$B$43+Y11*Assumptions!$B$46+Y12*Assumptions!$B$49</f>
        <v>32.336777147007</v>
      </c>
      <c r="Z14" s="18" t="n">
        <f aca="false">SUM(B14:M14)</f>
        <v>232.557639698587</v>
      </c>
      <c r="AA14" s="18" t="n">
        <f aca="false">SUM(N14:Y14)</f>
        <v>341.665022615538</v>
      </c>
      <c r="AB14" s="18" t="n">
        <f aca="false">SUM(B14:Y14)</f>
        <v>574.222662314125</v>
      </c>
    </row>
    <row r="15" customFormat="false" ht="15" hidden="false" customHeight="false" outlineLevel="0" collapsed="false">
      <c r="A15" s="15" t="s">
        <v>158</v>
      </c>
      <c r="B15" s="19" t="n">
        <f aca="false">B14*Assumptions!$B$51</f>
        <v>8.06898305084746</v>
      </c>
      <c r="C15" s="19" t="n">
        <f aca="false">C14*Assumptions!$B$51</f>
        <v>10.5236921417565</v>
      </c>
      <c r="D15" s="19" t="n">
        <f aca="false">D14*Assumptions!$B$51</f>
        <v>10.6973201417565</v>
      </c>
      <c r="E15" s="19" t="n">
        <f aca="false">E14*Assumptions!$B$51</f>
        <v>10.8813658217565</v>
      </c>
      <c r="F15" s="19" t="n">
        <f aca="false">F14*Assumptions!$B$51</f>
        <v>11.0764542425565</v>
      </c>
      <c r="G15" s="19" t="n">
        <f aca="false">G14*Assumptions!$B$51</f>
        <v>11.2832479686045</v>
      </c>
      <c r="H15" s="19" t="n">
        <f aca="false">H14*Assumptions!$B$51</f>
        <v>16.0803846032694</v>
      </c>
      <c r="I15" s="19" t="n">
        <f aca="false">I14*Assumptions!$B$51</f>
        <v>16.3127380338569</v>
      </c>
      <c r="J15" s="19" t="n">
        <f aca="false">J14*Assumptions!$B$51</f>
        <v>16.5590326702797</v>
      </c>
      <c r="K15" s="19" t="n">
        <f aca="false">K14*Assumptions!$B$51</f>
        <v>16.8201049848878</v>
      </c>
      <c r="L15" s="19" t="n">
        <f aca="false">L14*Assumptions!$B$51</f>
        <v>17.0968416383725</v>
      </c>
      <c r="M15" s="19" t="n">
        <f aca="false">M14*Assumptions!$B$51</f>
        <v>17.3901824910662</v>
      </c>
      <c r="N15" s="19" t="n">
        <f aca="false">N14*Assumptions!$B$51</f>
        <v>17.7011237949215</v>
      </c>
      <c r="O15" s="19" t="n">
        <f aca="false">O14*Assumptions!$B$51</f>
        <v>18.0307215770082</v>
      </c>
      <c r="P15" s="19" t="n">
        <f aca="false">P14*Assumptions!$B$51</f>
        <v>18.3800952260201</v>
      </c>
      <c r="Q15" s="19" t="n">
        <f aca="false">Q14*Assumptions!$B$51</f>
        <v>18.7504312939726</v>
      </c>
      <c r="R15" s="19" t="n">
        <f aca="false">R14*Assumptions!$B$51</f>
        <v>19.1429875260024</v>
      </c>
      <c r="S15" s="19" t="n">
        <f aca="false">S14*Assumptions!$B$51</f>
        <v>19.5590971319539</v>
      </c>
      <c r="T15" s="19" t="n">
        <f aca="false">T14*Assumptions!$B$51</f>
        <v>20.0001733142625</v>
      </c>
      <c r="U15" s="19" t="n">
        <f aca="false">U14*Assumptions!$B$51</f>
        <v>20.4677140675096</v>
      </c>
      <c r="V15" s="19" t="n">
        <f aca="false">V14*Assumptions!$B$51</f>
        <v>20.9633072659516</v>
      </c>
      <c r="W15" s="19" t="n">
        <f aca="false">W14*Assumptions!$B$51</f>
        <v>21.4886360563</v>
      </c>
      <c r="X15" s="19" t="n">
        <f aca="false">X14*Assumptions!$B$51</f>
        <v>22.0454845740694</v>
      </c>
      <c r="Y15" s="19" t="n">
        <f aca="false">Y14*Assumptions!$B$51</f>
        <v>22.6357440029049</v>
      </c>
      <c r="Z15" s="19" t="n">
        <f aca="false">SUM(B15:M15)</f>
        <v>162.790347789011</v>
      </c>
      <c r="AA15" s="19" t="n">
        <f aca="false">SUM(N15:Y15)</f>
        <v>239.165515830877</v>
      </c>
      <c r="AB15" s="19" t="n">
        <f aca="false">SUM(B15:Y15)</f>
        <v>401.955863619887</v>
      </c>
    </row>
    <row r="16" customFormat="false" ht="15" hidden="false" customHeight="false" outlineLevel="0" collapsed="false">
      <c r="A16" s="17" t="s">
        <v>159</v>
      </c>
      <c r="B16" s="18" t="n">
        <f aca="false">B15*Assumptions!$B$15</f>
        <v>806.898305084746</v>
      </c>
      <c r="C16" s="18" t="n">
        <f aca="false">C15*Assumptions!$B$15</f>
        <v>1052.36921417565</v>
      </c>
      <c r="D16" s="18" t="n">
        <f aca="false">D15*Assumptions!$B$15</f>
        <v>1069.73201417565</v>
      </c>
      <c r="E16" s="18" t="n">
        <f aca="false">E15*Assumptions!$B$15</f>
        <v>1088.13658217566</v>
      </c>
      <c r="F16" s="18" t="n">
        <f aca="false">F15*Assumptions!$B$15</f>
        <v>1107.64542425566</v>
      </c>
      <c r="G16" s="18" t="n">
        <f aca="false">G15*Assumptions!$B$15</f>
        <v>1128.32479686045</v>
      </c>
      <c r="H16" s="18" t="n">
        <f aca="false">H15*Assumptions!$B$15</f>
        <v>1608.03846032694</v>
      </c>
      <c r="I16" s="18" t="n">
        <f aca="false">I15*Assumptions!$B$15</f>
        <v>1631.27380338569</v>
      </c>
      <c r="J16" s="18" t="n">
        <f aca="false">J15*Assumptions!$B$15</f>
        <v>1655.90326702797</v>
      </c>
      <c r="K16" s="18" t="n">
        <f aca="false">K15*Assumptions!$B$15</f>
        <v>1682.01049848878</v>
      </c>
      <c r="L16" s="18" t="n">
        <f aca="false">L15*Assumptions!$B$15</f>
        <v>1709.68416383725</v>
      </c>
      <c r="M16" s="18" t="n">
        <f aca="false">M15*Assumptions!$B$15</f>
        <v>1739.01824910662</v>
      </c>
      <c r="N16" s="18" t="n">
        <f aca="false">N15*Assumptions!$B$15</f>
        <v>1770.11237949215</v>
      </c>
      <c r="O16" s="18" t="n">
        <f aca="false">O15*Assumptions!$B$15</f>
        <v>1803.07215770082</v>
      </c>
      <c r="P16" s="18" t="n">
        <f aca="false">P15*Assumptions!$B$15</f>
        <v>1838.00952260201</v>
      </c>
      <c r="Q16" s="18" t="n">
        <f aca="false">Q15*Assumptions!$B$15</f>
        <v>1875.04312939726</v>
      </c>
      <c r="R16" s="18" t="n">
        <f aca="false">R15*Assumptions!$B$15</f>
        <v>1914.29875260024</v>
      </c>
      <c r="S16" s="18" t="n">
        <f aca="false">S15*Assumptions!$B$15</f>
        <v>1955.90971319539</v>
      </c>
      <c r="T16" s="18" t="n">
        <f aca="false">T15*Assumptions!$B$15</f>
        <v>2000.01733142625</v>
      </c>
      <c r="U16" s="18" t="n">
        <f aca="false">U15*Assumptions!$B$15</f>
        <v>2046.77140675096</v>
      </c>
      <c r="V16" s="18" t="n">
        <f aca="false">V15*Assumptions!$B$15</f>
        <v>2096.33072659516</v>
      </c>
      <c r="W16" s="18" t="n">
        <f aca="false">W15*Assumptions!$B$15</f>
        <v>2148.86360563</v>
      </c>
      <c r="X16" s="18" t="n">
        <f aca="false">X15*Assumptions!$B$15</f>
        <v>2204.54845740694</v>
      </c>
      <c r="Y16" s="18" t="n">
        <f aca="false">Y15*Assumptions!$B$15</f>
        <v>2263.57440029049</v>
      </c>
      <c r="Z16" s="18" t="n">
        <f aca="false">SUM(B16:M16)</f>
        <v>16279.0347789011</v>
      </c>
      <c r="AA16" s="18" t="n">
        <f aca="false">SUM(N16:Y16)</f>
        <v>23916.5515830877</v>
      </c>
      <c r="AB16" s="18" t="n">
        <f aca="false">SUM(B16:Y16)</f>
        <v>40195.5863619887</v>
      </c>
    </row>
    <row r="17" customFormat="false" ht="15" hidden="false" customHeight="false" outlineLevel="0" collapsed="false">
      <c r="A17" s="15" t="s">
        <v>160</v>
      </c>
      <c r="B17" s="19" t="n">
        <f aca="false">MIN(B16+0,B8)</f>
        <v>400</v>
      </c>
      <c r="C17" s="19" t="n">
        <f aca="false">MIN(C16+B18,C8)</f>
        <v>500</v>
      </c>
      <c r="D17" s="19" t="n">
        <f aca="false">MIN(D16+C18,D8)</f>
        <v>600</v>
      </c>
      <c r="E17" s="19" t="n">
        <f aca="false">MIN(E16+D18,E8)</f>
        <v>700</v>
      </c>
      <c r="F17" s="19" t="n">
        <f aca="false">MIN(F16+E18,F8)</f>
        <v>800</v>
      </c>
      <c r="G17" s="19" t="n">
        <f aca="false">MIN(G16+F18,G8)</f>
        <v>900</v>
      </c>
      <c r="H17" s="19" t="n">
        <f aca="false">MIN(H16+G18,H8)</f>
        <v>1400</v>
      </c>
      <c r="I17" s="19" t="n">
        <f aca="false">MIN(I16+H18,I8)</f>
        <v>1533.33333333333</v>
      </c>
      <c r="J17" s="19" t="n">
        <f aca="false">MIN(J16+I18,J8)</f>
        <v>1666.66666666667</v>
      </c>
      <c r="K17" s="19" t="n">
        <f aca="false">MIN(K16+J18,K8)</f>
        <v>1800</v>
      </c>
      <c r="L17" s="19" t="n">
        <f aca="false">MIN(L16+K18,L8)</f>
        <v>1800</v>
      </c>
      <c r="M17" s="19" t="n">
        <f aca="false">MIN(M16+L18,M8)</f>
        <v>1800</v>
      </c>
      <c r="N17" s="19" t="n">
        <f aca="false">MIN(N16+M18,N8)</f>
        <v>1800</v>
      </c>
      <c r="O17" s="19" t="n">
        <f aca="false">MIN(O16+N18,O8)</f>
        <v>1800</v>
      </c>
      <c r="P17" s="19" t="n">
        <f aca="false">MIN(P16+O18,P8)</f>
        <v>1800</v>
      </c>
      <c r="Q17" s="19" t="n">
        <f aca="false">MIN(Q16+P18,Q8)</f>
        <v>1800</v>
      </c>
      <c r="R17" s="19" t="n">
        <f aca="false">MIN(R16+Q18,R8)</f>
        <v>1800</v>
      </c>
      <c r="S17" s="19" t="n">
        <f aca="false">MIN(S16+R18,S8)</f>
        <v>1800</v>
      </c>
      <c r="T17" s="19" t="n">
        <f aca="false">MIN(T16+S18,T8)</f>
        <v>1800</v>
      </c>
      <c r="U17" s="19" t="n">
        <f aca="false">MIN(U16+T18,U8)</f>
        <v>1800</v>
      </c>
      <c r="V17" s="19" t="n">
        <f aca="false">MIN(V16+U18,V8)</f>
        <v>1800</v>
      </c>
      <c r="W17" s="19" t="n">
        <f aca="false">MIN(W16+V18,W8)</f>
        <v>1800</v>
      </c>
      <c r="X17" s="19" t="n">
        <f aca="false">MIN(X16+W18,X8)</f>
        <v>1800</v>
      </c>
      <c r="Y17" s="19" t="n">
        <f aca="false">MIN(Y16+X18,Y8)</f>
        <v>1800</v>
      </c>
      <c r="Z17" s="19" t="n">
        <f aca="false">SUM(B17:M17)</f>
        <v>13900</v>
      </c>
      <c r="AA17" s="19" t="n">
        <f aca="false">SUM(N17:Y17)</f>
        <v>21600</v>
      </c>
      <c r="AB17" s="19" t="n">
        <f aca="false">SUM(B17:Y17)</f>
        <v>35500</v>
      </c>
    </row>
    <row r="18" customFormat="false" ht="15" hidden="false" customHeight="false" outlineLevel="0" collapsed="false">
      <c r="A18" s="17" t="s">
        <v>161</v>
      </c>
      <c r="B18" s="18" t="n">
        <f aca="false">MIN(B8*Assumptions!$B$16,MAX(0,B16+0-B17))</f>
        <v>400</v>
      </c>
      <c r="C18" s="18" t="n">
        <f aca="false">MIN(C8*Assumptions!$B$16,MAX(0,C16+B18-C17))</f>
        <v>500</v>
      </c>
      <c r="D18" s="18" t="n">
        <f aca="false">MIN(D8*Assumptions!$B$16,MAX(0,D16+C18-D17))</f>
        <v>600</v>
      </c>
      <c r="E18" s="18" t="n">
        <f aca="false">MIN(E8*Assumptions!$B$16,MAX(0,E16+D18-E17))</f>
        <v>700</v>
      </c>
      <c r="F18" s="18" t="n">
        <f aca="false">MIN(F8*Assumptions!$B$16,MAX(0,F16+E18-F17))</f>
        <v>800</v>
      </c>
      <c r="G18" s="18" t="n">
        <f aca="false">MIN(G8*Assumptions!$B$16,MAX(0,G16+F18-G17))</f>
        <v>900</v>
      </c>
      <c r="H18" s="18" t="n">
        <f aca="false">MIN(H8*Assumptions!$B$16,MAX(0,H16+G18-H17))</f>
        <v>1108.03846032694</v>
      </c>
      <c r="I18" s="18" t="n">
        <f aca="false">MIN(I8*Assumptions!$B$16,MAX(0,I16+H18-I17))</f>
        <v>1205.97893037929</v>
      </c>
      <c r="J18" s="18" t="n">
        <f aca="false">MIN(J8*Assumptions!$B$16,MAX(0,J16+I18-J17))</f>
        <v>1195.21553074059</v>
      </c>
      <c r="K18" s="18" t="n">
        <f aca="false">MIN(K8*Assumptions!$B$16,MAX(0,K16+J18-K17))</f>
        <v>1077.22602922937</v>
      </c>
      <c r="L18" s="18" t="n">
        <f aca="false">MIN(L8*Assumptions!$B$16,MAX(0,L16+K18-L17))</f>
        <v>986.910193066621</v>
      </c>
      <c r="M18" s="18" t="n">
        <f aca="false">MIN(M8*Assumptions!$B$16,MAX(0,M16+L18-M17))</f>
        <v>925.92844217324</v>
      </c>
      <c r="N18" s="18" t="n">
        <f aca="false">MIN(N8*Assumptions!$B$16,MAX(0,N16+M18-N17))</f>
        <v>896.040821665393</v>
      </c>
      <c r="O18" s="18" t="n">
        <f aca="false">MIN(O8*Assumptions!$B$16,MAX(0,O16+N18-O17))</f>
        <v>899.112979366212</v>
      </c>
      <c r="P18" s="18" t="n">
        <f aca="false">MIN(P8*Assumptions!$B$16,MAX(0,P16+O18-P17))</f>
        <v>937.122501968218</v>
      </c>
      <c r="Q18" s="18" t="n">
        <f aca="false">MIN(Q8*Assumptions!$B$16,MAX(0,Q16+P18-Q17))</f>
        <v>1012.16563136548</v>
      </c>
      <c r="R18" s="18" t="n">
        <f aca="false">MIN(R8*Assumptions!$B$16,MAX(0,R16+Q18-R17))</f>
        <v>1126.46438396572</v>
      </c>
      <c r="S18" s="18" t="n">
        <f aca="false">MIN(S8*Assumptions!$B$16,MAX(0,S16+R18-S17))</f>
        <v>1282.37409716111</v>
      </c>
      <c r="T18" s="18" t="n">
        <f aca="false">MIN(T8*Assumptions!$B$16,MAX(0,T16+S18-T17))</f>
        <v>1482.39142858735</v>
      </c>
      <c r="U18" s="18" t="n">
        <f aca="false">MIN(U8*Assumptions!$B$16,MAX(0,U16+T18-U17))</f>
        <v>1729.16283533831</v>
      </c>
      <c r="V18" s="18" t="n">
        <f aca="false">MIN(V8*Assumptions!$B$16,MAX(0,V16+U18-V17))</f>
        <v>1800</v>
      </c>
      <c r="W18" s="18" t="n">
        <f aca="false">MIN(W8*Assumptions!$B$16,MAX(0,W16+V18-W17))</f>
        <v>1800</v>
      </c>
      <c r="X18" s="18" t="n">
        <f aca="false">MIN(X8*Assumptions!$B$16,MAX(0,X16+W18-X17))</f>
        <v>1800</v>
      </c>
      <c r="Y18" s="18" t="n">
        <f aca="false">MIN(Y8*Assumptions!$B$16,MAX(0,Y16+X18-Y17))</f>
        <v>1800</v>
      </c>
      <c r="Z18" s="2"/>
      <c r="AA18" s="2"/>
      <c r="AB18" s="2"/>
    </row>
    <row r="19" customFormat="false" ht="15" hidden="false" customHeight="false" outlineLevel="0" collapsed="false">
      <c r="A19" s="17" t="s">
        <v>162</v>
      </c>
      <c r="B19" s="20" t="n">
        <f aca="false">IF(B8=0,0,B17/B8)</f>
        <v>1</v>
      </c>
      <c r="C19" s="20" t="n">
        <f aca="false">IF(C8=0,0,C17/C8)</f>
        <v>1</v>
      </c>
      <c r="D19" s="20" t="n">
        <f aca="false">IF(D8=0,0,D17/D8)</f>
        <v>1</v>
      </c>
      <c r="E19" s="20" t="n">
        <f aca="false">IF(E8=0,0,E17/E8)</f>
        <v>1</v>
      </c>
      <c r="F19" s="20" t="n">
        <f aca="false">IF(F8=0,0,F17/F8)</f>
        <v>1</v>
      </c>
      <c r="G19" s="20" t="n">
        <f aca="false">IF(G8=0,0,G17/G8)</f>
        <v>1</v>
      </c>
      <c r="H19" s="20" t="n">
        <f aca="false">IF(H8=0,0,H17/H8)</f>
        <v>1</v>
      </c>
      <c r="I19" s="20" t="n">
        <f aca="false">IF(I8=0,0,I17/I8)</f>
        <v>1</v>
      </c>
      <c r="J19" s="20" t="n">
        <f aca="false">IF(J8=0,0,J17/J8)</f>
        <v>1</v>
      </c>
      <c r="K19" s="20" t="n">
        <f aca="false">IF(K8=0,0,K17/K8)</f>
        <v>1</v>
      </c>
      <c r="L19" s="20" t="n">
        <f aca="false">IF(L8=0,0,L17/L8)</f>
        <v>1</v>
      </c>
      <c r="M19" s="20" t="n">
        <f aca="false">IF(M8=0,0,M17/M8)</f>
        <v>1</v>
      </c>
      <c r="N19" s="20" t="n">
        <f aca="false">IF(N8=0,0,N17/N8)</f>
        <v>1</v>
      </c>
      <c r="O19" s="20" t="n">
        <f aca="false">IF(O8=0,0,O17/O8)</f>
        <v>1</v>
      </c>
      <c r="P19" s="20" t="n">
        <f aca="false">IF(P8=0,0,P17/P8)</f>
        <v>1</v>
      </c>
      <c r="Q19" s="20" t="n">
        <f aca="false">IF(Q8=0,0,Q17/Q8)</f>
        <v>1</v>
      </c>
      <c r="R19" s="20" t="n">
        <f aca="false">IF(R8=0,0,R17/R8)</f>
        <v>1</v>
      </c>
      <c r="S19" s="20" t="n">
        <f aca="false">IF(S8=0,0,S17/S8)</f>
        <v>1</v>
      </c>
      <c r="T19" s="20" t="n">
        <f aca="false">IF(T8=0,0,T17/T8)</f>
        <v>1</v>
      </c>
      <c r="U19" s="20" t="n">
        <f aca="false">IF(U8=0,0,U17/U8)</f>
        <v>1</v>
      </c>
      <c r="V19" s="20" t="n">
        <f aca="false">IF(V8=0,0,V17/V8)</f>
        <v>1</v>
      </c>
      <c r="W19" s="20" t="n">
        <f aca="false">IF(W8=0,0,W17/W8)</f>
        <v>1</v>
      </c>
      <c r="X19" s="20" t="n">
        <f aca="false">IF(X8=0,0,X17/X8)</f>
        <v>1</v>
      </c>
      <c r="Y19" s="20" t="n">
        <f aca="false">IF(Y8=0,0,Y17/Y8)</f>
        <v>1</v>
      </c>
      <c r="Z19" s="2"/>
      <c r="AA19" s="2"/>
      <c r="AB19" s="2"/>
    </row>
    <row r="20" customFormat="false" ht="15" hidden="false" customHeight="false" outlineLevel="0" collapsed="false">
      <c r="A20" s="4" t="s">
        <v>163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customFormat="false" ht="15" hidden="false" customHeight="false" outlineLevel="0" collapsed="false">
      <c r="A21" s="17" t="s">
        <v>164</v>
      </c>
      <c r="B21" s="21" t="n">
        <f aca="false">B17/Assumptions!$B$9</f>
        <v>9.30232558139535</v>
      </c>
      <c r="C21" s="21" t="n">
        <f aca="false">C17/Assumptions!$B$9</f>
        <v>11.6279069767442</v>
      </c>
      <c r="D21" s="21" t="n">
        <f aca="false">D17/Assumptions!$B$9</f>
        <v>13.953488372093</v>
      </c>
      <c r="E21" s="21" t="n">
        <f aca="false">E17/Assumptions!$B$9</f>
        <v>16.2790697674419</v>
      </c>
      <c r="F21" s="21" t="n">
        <f aca="false">F17/Assumptions!$B$9</f>
        <v>18.6046511627907</v>
      </c>
      <c r="G21" s="21" t="n">
        <f aca="false">G17/Assumptions!$B$9</f>
        <v>20.9302325581395</v>
      </c>
      <c r="H21" s="21" t="n">
        <f aca="false">H17/Assumptions!$B$9</f>
        <v>32.5581395348837</v>
      </c>
      <c r="I21" s="21" t="n">
        <f aca="false">I17/Assumptions!$B$9</f>
        <v>35.6589147286822</v>
      </c>
      <c r="J21" s="21" t="n">
        <f aca="false">J17/Assumptions!$B$9</f>
        <v>38.7596899224806</v>
      </c>
      <c r="K21" s="21" t="n">
        <f aca="false">K17/Assumptions!$B$9</f>
        <v>41.8604651162791</v>
      </c>
      <c r="L21" s="21" t="n">
        <f aca="false">L17/Assumptions!$B$9</f>
        <v>41.8604651162791</v>
      </c>
      <c r="M21" s="21" t="n">
        <f aca="false">M17/Assumptions!$B$9</f>
        <v>41.8604651162791</v>
      </c>
      <c r="N21" s="21" t="n">
        <f aca="false">N17/Assumptions!$B$9</f>
        <v>41.8604651162791</v>
      </c>
      <c r="O21" s="21" t="n">
        <f aca="false">O17/Assumptions!$B$9</f>
        <v>41.8604651162791</v>
      </c>
      <c r="P21" s="21" t="n">
        <f aca="false">P17/Assumptions!$B$9</f>
        <v>41.8604651162791</v>
      </c>
      <c r="Q21" s="21" t="n">
        <f aca="false">Q17/Assumptions!$B$9</f>
        <v>41.8604651162791</v>
      </c>
      <c r="R21" s="21" t="n">
        <f aca="false">R17/Assumptions!$B$9</f>
        <v>41.8604651162791</v>
      </c>
      <c r="S21" s="21" t="n">
        <f aca="false">S17/Assumptions!$B$9</f>
        <v>41.8604651162791</v>
      </c>
      <c r="T21" s="21" t="n">
        <f aca="false">T17/Assumptions!$B$9</f>
        <v>41.8604651162791</v>
      </c>
      <c r="U21" s="21" t="n">
        <f aca="false">U17/Assumptions!$B$9</f>
        <v>41.8604651162791</v>
      </c>
      <c r="V21" s="21" t="n">
        <f aca="false">V17/Assumptions!$B$9</f>
        <v>41.8604651162791</v>
      </c>
      <c r="W21" s="21" t="n">
        <f aca="false">W17/Assumptions!$B$9</f>
        <v>41.8604651162791</v>
      </c>
      <c r="X21" s="21" t="n">
        <f aca="false">X17/Assumptions!$B$9</f>
        <v>41.8604651162791</v>
      </c>
      <c r="Y21" s="21" t="n">
        <f aca="false">Y17/Assumptions!$B$9</f>
        <v>41.8604651162791</v>
      </c>
      <c r="Z21" s="2"/>
      <c r="AA21" s="2"/>
      <c r="AB21" s="2"/>
    </row>
    <row r="22" customFormat="false" ht="15" hidden="false" customHeight="false" outlineLevel="0" collapsed="false">
      <c r="A22" s="17" t="s">
        <v>165</v>
      </c>
      <c r="B22" s="21" t="n">
        <f aca="false">MAX(0,(1+IF(B7&gt;0,1,0))*Assumptions!$B$8-B21)</f>
        <v>11.6976744186047</v>
      </c>
      <c r="C22" s="21" t="n">
        <f aca="false">MAX(0,(1+IF(C7&gt;0,1,0))*Assumptions!$B$8-C21)</f>
        <v>9.37209302325582</v>
      </c>
      <c r="D22" s="21" t="n">
        <f aca="false">MAX(0,(1+IF(D7&gt;0,1,0))*Assumptions!$B$8-D21)</f>
        <v>7.04651162790698</v>
      </c>
      <c r="E22" s="21" t="n">
        <f aca="false">MAX(0,(1+IF(E7&gt;0,1,0))*Assumptions!$B$8-E21)</f>
        <v>4.72093023255814</v>
      </c>
      <c r="F22" s="21" t="n">
        <f aca="false">MAX(0,(1+IF(F7&gt;0,1,0))*Assumptions!$B$8-F21)</f>
        <v>2.3953488372093</v>
      </c>
      <c r="G22" s="21" t="n">
        <f aca="false">MAX(0,(1+IF(G7&gt;0,1,0))*Assumptions!$B$8-G21)</f>
        <v>0.0697674418604635</v>
      </c>
      <c r="H22" s="21" t="n">
        <f aca="false">MAX(0,(1+IF(H7&gt;0,1,0))*Assumptions!$B$8-H21)</f>
        <v>9.44186046511628</v>
      </c>
      <c r="I22" s="21" t="n">
        <f aca="false">MAX(0,(1+IF(I7&gt;0,1,0))*Assumptions!$B$8-I21)</f>
        <v>6.34108527131782</v>
      </c>
      <c r="J22" s="21" t="n">
        <f aca="false">MAX(0,(1+IF(J7&gt;0,1,0))*Assumptions!$B$8-J21)</f>
        <v>3.24031007751938</v>
      </c>
      <c r="K22" s="21" t="n">
        <f aca="false">MAX(0,(1+IF(K7&gt;0,1,0))*Assumptions!$B$8-K21)</f>
        <v>0.139534883720927</v>
      </c>
      <c r="L22" s="21" t="n">
        <f aca="false">MAX(0,(1+IF(L7&gt;0,1,0))*Assumptions!$B$8-L21)</f>
        <v>0.139534883720927</v>
      </c>
      <c r="M22" s="21" t="n">
        <f aca="false">MAX(0,(1+IF(M7&gt;0,1,0))*Assumptions!$B$8-M21)</f>
        <v>0.139534883720927</v>
      </c>
      <c r="N22" s="21" t="n">
        <f aca="false">MAX(0,(1+IF(N7&gt;0,1,0))*Assumptions!$B$8-N21)</f>
        <v>0.139534883720927</v>
      </c>
      <c r="O22" s="21" t="n">
        <f aca="false">MAX(0,(1+IF(O7&gt;0,1,0))*Assumptions!$B$8-O21)</f>
        <v>0.139534883720927</v>
      </c>
      <c r="P22" s="21" t="n">
        <f aca="false">MAX(0,(1+IF(P7&gt;0,1,0))*Assumptions!$B$8-P21)</f>
        <v>0.139534883720927</v>
      </c>
      <c r="Q22" s="21" t="n">
        <f aca="false">MAX(0,(1+IF(Q7&gt;0,1,0))*Assumptions!$B$8-Q21)</f>
        <v>0.139534883720927</v>
      </c>
      <c r="R22" s="21" t="n">
        <f aca="false">MAX(0,(1+IF(R7&gt;0,1,0))*Assumptions!$B$8-R21)</f>
        <v>0.139534883720927</v>
      </c>
      <c r="S22" s="21" t="n">
        <f aca="false">MAX(0,(1+IF(S7&gt;0,1,0))*Assumptions!$B$8-S21)</f>
        <v>0.139534883720927</v>
      </c>
      <c r="T22" s="21" t="n">
        <f aca="false">MAX(0,(1+IF(T7&gt;0,1,0))*Assumptions!$B$8-T21)</f>
        <v>0.139534883720927</v>
      </c>
      <c r="U22" s="21" t="n">
        <f aca="false">MAX(0,(1+IF(U7&gt;0,1,0))*Assumptions!$B$8-U21)</f>
        <v>0.139534883720927</v>
      </c>
      <c r="V22" s="21" t="n">
        <f aca="false">MAX(0,(1+IF(V7&gt;0,1,0))*Assumptions!$B$8-V21)</f>
        <v>0.139534883720927</v>
      </c>
      <c r="W22" s="21" t="n">
        <f aca="false">MAX(0,(1+IF(W7&gt;0,1,0))*Assumptions!$B$8-W21)</f>
        <v>0.139534883720927</v>
      </c>
      <c r="X22" s="21" t="n">
        <f aca="false">MAX(0,(1+IF(X7&gt;0,1,0))*Assumptions!$B$8-X21)</f>
        <v>0.139534883720927</v>
      </c>
      <c r="Y22" s="21" t="n">
        <f aca="false">MAX(0,(1+IF(Y7&gt;0,1,0))*Assumptions!$B$8-Y21)</f>
        <v>0.139534883720927</v>
      </c>
      <c r="Z22" s="2"/>
      <c r="AA22" s="2"/>
      <c r="AB22" s="2"/>
    </row>
    <row r="23" customFormat="false" ht="15" hidden="false" customHeight="false" outlineLevel="0" collapsed="false">
      <c r="A23" s="17" t="s">
        <v>166</v>
      </c>
      <c r="B23" s="22" t="n">
        <f aca="false">B17*Assumptions!$B$5</f>
        <v>20000</v>
      </c>
      <c r="C23" s="22" t="n">
        <f aca="false">C17*Assumptions!$B$5</f>
        <v>25000</v>
      </c>
      <c r="D23" s="22" t="n">
        <f aca="false">D17*Assumptions!$B$5</f>
        <v>30000</v>
      </c>
      <c r="E23" s="22" t="n">
        <f aca="false">E17*Assumptions!$B$5</f>
        <v>35000</v>
      </c>
      <c r="F23" s="22" t="n">
        <f aca="false">F17*Assumptions!$B$5</f>
        <v>40000</v>
      </c>
      <c r="G23" s="22" t="n">
        <f aca="false">G17*Assumptions!$B$5</f>
        <v>45000</v>
      </c>
      <c r="H23" s="22" t="n">
        <f aca="false">H17*Assumptions!$B$5</f>
        <v>70000</v>
      </c>
      <c r="I23" s="22" t="n">
        <f aca="false">I17*Assumptions!$B$5</f>
        <v>76666.6666666667</v>
      </c>
      <c r="J23" s="22" t="n">
        <f aca="false">J17*Assumptions!$B$5</f>
        <v>83333.3333333333</v>
      </c>
      <c r="K23" s="22" t="n">
        <f aca="false">K17*Assumptions!$B$5</f>
        <v>90000</v>
      </c>
      <c r="L23" s="22" t="n">
        <f aca="false">L17*Assumptions!$B$5</f>
        <v>90000</v>
      </c>
      <c r="M23" s="22" t="n">
        <f aca="false">M17*Assumptions!$B$5</f>
        <v>90000</v>
      </c>
      <c r="N23" s="22" t="n">
        <f aca="false">N17*Assumptions!$B$5</f>
        <v>90000</v>
      </c>
      <c r="O23" s="22" t="n">
        <f aca="false">O17*Assumptions!$B$5</f>
        <v>90000</v>
      </c>
      <c r="P23" s="22" t="n">
        <f aca="false">P17*Assumptions!$B$5</f>
        <v>90000</v>
      </c>
      <c r="Q23" s="22" t="n">
        <f aca="false">Q17*Assumptions!$B$5</f>
        <v>90000</v>
      </c>
      <c r="R23" s="22" t="n">
        <f aca="false">R17*Assumptions!$B$5</f>
        <v>90000</v>
      </c>
      <c r="S23" s="22" t="n">
        <f aca="false">S17*Assumptions!$B$5</f>
        <v>90000</v>
      </c>
      <c r="T23" s="22" t="n">
        <f aca="false">T17*Assumptions!$B$5</f>
        <v>90000</v>
      </c>
      <c r="U23" s="22" t="n">
        <f aca="false">U17*Assumptions!$B$5</f>
        <v>90000</v>
      </c>
      <c r="V23" s="22" t="n">
        <f aca="false">V17*Assumptions!$B$5</f>
        <v>90000</v>
      </c>
      <c r="W23" s="22" t="n">
        <f aca="false">W17*Assumptions!$B$5</f>
        <v>90000</v>
      </c>
      <c r="X23" s="22" t="n">
        <f aca="false">X17*Assumptions!$B$5</f>
        <v>90000</v>
      </c>
      <c r="Y23" s="22" t="n">
        <f aca="false">Y17*Assumptions!$B$5</f>
        <v>90000</v>
      </c>
      <c r="Z23" s="22" t="n">
        <f aca="false">SUM(B23:M23)</f>
        <v>695000</v>
      </c>
      <c r="AA23" s="22" t="n">
        <f aca="false">SUM(N23:Y23)</f>
        <v>1080000</v>
      </c>
      <c r="AB23" s="22" t="n">
        <f aca="false">SUM(B23:Y23)</f>
        <v>1775000</v>
      </c>
    </row>
    <row r="24" customFormat="false" ht="15" hidden="false" customHeight="false" outlineLevel="0" collapsed="false">
      <c r="A24" s="17" t="s">
        <v>167</v>
      </c>
      <c r="B24" s="22" t="n">
        <f aca="false">B22*Assumptions!$B$10</f>
        <v>11697.6744186047</v>
      </c>
      <c r="C24" s="22" t="n">
        <f aca="false">C22*Assumptions!$B$10</f>
        <v>9372.09302325582</v>
      </c>
      <c r="D24" s="22" t="n">
        <f aca="false">D22*Assumptions!$B$10</f>
        <v>7046.51162790698</v>
      </c>
      <c r="E24" s="22" t="n">
        <f aca="false">E22*Assumptions!$B$10</f>
        <v>4720.93023255814</v>
      </c>
      <c r="F24" s="22" t="n">
        <f aca="false">F22*Assumptions!$B$10</f>
        <v>2395.3488372093</v>
      </c>
      <c r="G24" s="22" t="n">
        <f aca="false">G22*Assumptions!$B$10</f>
        <v>69.7674418604635</v>
      </c>
      <c r="H24" s="22" t="n">
        <f aca="false">H22*Assumptions!$B$10</f>
        <v>9441.86046511628</v>
      </c>
      <c r="I24" s="22" t="n">
        <f aca="false">I22*Assumptions!$B$10</f>
        <v>6341.08527131782</v>
      </c>
      <c r="J24" s="22" t="n">
        <f aca="false">J22*Assumptions!$B$10</f>
        <v>3240.31007751937</v>
      </c>
      <c r="K24" s="22" t="n">
        <f aca="false">K22*Assumptions!$B$10</f>
        <v>139.534883720927</v>
      </c>
      <c r="L24" s="22" t="n">
        <f aca="false">L22*Assumptions!$B$10</f>
        <v>139.534883720927</v>
      </c>
      <c r="M24" s="22" t="n">
        <f aca="false">M22*Assumptions!$B$10</f>
        <v>139.534883720927</v>
      </c>
      <c r="N24" s="22" t="n">
        <f aca="false">N22*Assumptions!$B$10</f>
        <v>139.534883720927</v>
      </c>
      <c r="O24" s="22" t="n">
        <f aca="false">O22*Assumptions!$B$10</f>
        <v>139.534883720927</v>
      </c>
      <c r="P24" s="22" t="n">
        <f aca="false">P22*Assumptions!$B$10</f>
        <v>139.534883720927</v>
      </c>
      <c r="Q24" s="22" t="n">
        <f aca="false">Q22*Assumptions!$B$10</f>
        <v>139.534883720927</v>
      </c>
      <c r="R24" s="22" t="n">
        <f aca="false">R22*Assumptions!$B$10</f>
        <v>139.534883720927</v>
      </c>
      <c r="S24" s="22" t="n">
        <f aca="false">S22*Assumptions!$B$10</f>
        <v>139.534883720927</v>
      </c>
      <c r="T24" s="22" t="n">
        <f aca="false">T22*Assumptions!$B$10</f>
        <v>139.534883720927</v>
      </c>
      <c r="U24" s="22" t="n">
        <f aca="false">U22*Assumptions!$B$10</f>
        <v>139.534883720927</v>
      </c>
      <c r="V24" s="22" t="n">
        <f aca="false">V22*Assumptions!$B$10</f>
        <v>139.534883720927</v>
      </c>
      <c r="W24" s="22" t="n">
        <f aca="false">W22*Assumptions!$B$10</f>
        <v>139.534883720927</v>
      </c>
      <c r="X24" s="22" t="n">
        <f aca="false">X22*Assumptions!$B$10</f>
        <v>139.534883720927</v>
      </c>
      <c r="Y24" s="22" t="n">
        <f aca="false">Y22*Assumptions!$B$10</f>
        <v>139.534883720927</v>
      </c>
      <c r="Z24" s="22" t="n">
        <f aca="false">SUM(B24:M24)</f>
        <v>54744.1860465116</v>
      </c>
      <c r="AA24" s="22" t="n">
        <f aca="false">SUM(N24:Y24)</f>
        <v>1674.41860465112</v>
      </c>
      <c r="AB24" s="22" t="n">
        <f aca="false">SUM(B24:Y24)</f>
        <v>56418.6046511627</v>
      </c>
    </row>
    <row r="25" customFormat="false" ht="15" hidden="false" customHeight="false" outlineLevel="0" collapsed="false">
      <c r="A25" s="15" t="s">
        <v>168</v>
      </c>
      <c r="B25" s="23" t="n">
        <f aca="false">B23+B24</f>
        <v>31697.6744186047</v>
      </c>
      <c r="C25" s="23" t="n">
        <f aca="false">C23+C24</f>
        <v>34372.0930232558</v>
      </c>
      <c r="D25" s="23" t="n">
        <f aca="false">D23+D24</f>
        <v>37046.511627907</v>
      </c>
      <c r="E25" s="23" t="n">
        <f aca="false">E23+E24</f>
        <v>39720.9302325581</v>
      </c>
      <c r="F25" s="23" t="n">
        <f aca="false">F23+F24</f>
        <v>42395.3488372093</v>
      </c>
      <c r="G25" s="23" t="n">
        <f aca="false">G23+G24</f>
        <v>45069.7674418605</v>
      </c>
      <c r="H25" s="23" t="n">
        <f aca="false">H23+H24</f>
        <v>79441.8604651163</v>
      </c>
      <c r="I25" s="23" t="n">
        <f aca="false">I23+I24</f>
        <v>83007.7519379845</v>
      </c>
      <c r="J25" s="23" t="n">
        <f aca="false">J23+J24</f>
        <v>86573.6434108527</v>
      </c>
      <c r="K25" s="23" t="n">
        <f aca="false">K23+K24</f>
        <v>90139.5348837209</v>
      </c>
      <c r="L25" s="23" t="n">
        <f aca="false">L23+L24</f>
        <v>90139.5348837209</v>
      </c>
      <c r="M25" s="23" t="n">
        <f aca="false">M23+M24</f>
        <v>90139.5348837209</v>
      </c>
      <c r="N25" s="23" t="n">
        <f aca="false">N23+N24</f>
        <v>90139.5348837209</v>
      </c>
      <c r="O25" s="23" t="n">
        <f aca="false">O23+O24</f>
        <v>90139.5348837209</v>
      </c>
      <c r="P25" s="23" t="n">
        <f aca="false">P23+P24</f>
        <v>90139.5348837209</v>
      </c>
      <c r="Q25" s="23" t="n">
        <f aca="false">Q23+Q24</f>
        <v>90139.5348837209</v>
      </c>
      <c r="R25" s="23" t="n">
        <f aca="false">R23+R24</f>
        <v>90139.5348837209</v>
      </c>
      <c r="S25" s="23" t="n">
        <f aca="false">S23+S24</f>
        <v>90139.5348837209</v>
      </c>
      <c r="T25" s="23" t="n">
        <f aca="false">T23+T24</f>
        <v>90139.5348837209</v>
      </c>
      <c r="U25" s="23" t="n">
        <f aca="false">U23+U24</f>
        <v>90139.5348837209</v>
      </c>
      <c r="V25" s="23" t="n">
        <f aca="false">V23+V24</f>
        <v>90139.5348837209</v>
      </c>
      <c r="W25" s="23" t="n">
        <f aca="false">W23+W24</f>
        <v>90139.5348837209</v>
      </c>
      <c r="X25" s="23" t="n">
        <f aca="false">X23+X24</f>
        <v>90139.5348837209</v>
      </c>
      <c r="Y25" s="23" t="n">
        <f aca="false">Y23+Y24</f>
        <v>90139.5348837209</v>
      </c>
      <c r="Z25" s="23" t="n">
        <f aca="false">SUM(B25:M25)</f>
        <v>749744.186046512</v>
      </c>
      <c r="AA25" s="23" t="n">
        <f aca="false">SUM(N25:Y25)</f>
        <v>1081674.41860465</v>
      </c>
      <c r="AB25" s="23" t="n">
        <f aca="false">SUM(B25:Y25)</f>
        <v>1831418.60465116</v>
      </c>
    </row>
    <row r="26" customFormat="false" ht="15" hidden="false" customHeight="false" outlineLevel="0" collapsed="false">
      <c r="A26" s="17" t="s">
        <v>169</v>
      </c>
      <c r="B26" s="18" t="n">
        <f aca="false">IF(1&lt;Assumptions!$B$33,0,B17/Assumptions!$B$15*Assumptions!$B$30+IF(1&lt;=Assumptions!$B$33+11,Assumptions!$B$31*Assumptions!$B$32/12,0))</f>
        <v>0</v>
      </c>
      <c r="C26" s="18" t="n">
        <f aca="false">IF(2&lt;Assumptions!$B$33,0,C17/Assumptions!$B$15*Assumptions!$B$30+IF(2&lt;=Assumptions!$B$33+11,Assumptions!$B$31*Assumptions!$B$32/12,0))</f>
        <v>0</v>
      </c>
      <c r="D26" s="18" t="n">
        <f aca="false">IF(3&lt;Assumptions!$B$33,0,D17/Assumptions!$B$15*Assumptions!$B$30+IF(3&lt;=Assumptions!$B$33+11,Assumptions!$B$31*Assumptions!$B$32/12,0))</f>
        <v>4.275</v>
      </c>
      <c r="E26" s="18" t="n">
        <f aca="false">IF(4&lt;Assumptions!$B$33,0,E17/Assumptions!$B$15*Assumptions!$B$30+IF(4&lt;=Assumptions!$B$33+11,Assumptions!$B$31*Assumptions!$B$32/12,0))</f>
        <v>4.675</v>
      </c>
      <c r="F26" s="18" t="n">
        <f aca="false">IF(5&lt;Assumptions!$B$33,0,F17/Assumptions!$B$15*Assumptions!$B$30+IF(5&lt;=Assumptions!$B$33+11,Assumptions!$B$31*Assumptions!$B$32/12,0))</f>
        <v>5.075</v>
      </c>
      <c r="G26" s="18" t="n">
        <f aca="false">IF(6&lt;Assumptions!$B$33,0,G17/Assumptions!$B$15*Assumptions!$B$30+IF(6&lt;=Assumptions!$B$33+11,Assumptions!$B$31*Assumptions!$B$32/12,0))</f>
        <v>5.475</v>
      </c>
      <c r="H26" s="18" t="n">
        <f aca="false">IF(7&lt;Assumptions!$B$33,0,H17/Assumptions!$B$15*Assumptions!$B$30+IF(7&lt;=Assumptions!$B$33+11,Assumptions!$B$31*Assumptions!$B$32/12,0))</f>
        <v>7.475</v>
      </c>
      <c r="I26" s="18" t="n">
        <f aca="false">IF(8&lt;Assumptions!$B$33,0,I17/Assumptions!$B$15*Assumptions!$B$30+IF(8&lt;=Assumptions!$B$33+11,Assumptions!$B$31*Assumptions!$B$32/12,0))</f>
        <v>8.00833333333334</v>
      </c>
      <c r="J26" s="18" t="n">
        <f aca="false">IF(9&lt;Assumptions!$B$33,0,J17/Assumptions!$B$15*Assumptions!$B$30+IF(9&lt;=Assumptions!$B$33+11,Assumptions!$B$31*Assumptions!$B$32/12,0))</f>
        <v>8.54166666666667</v>
      </c>
      <c r="K26" s="18" t="n">
        <f aca="false">IF(10&lt;Assumptions!$B$33,0,K17/Assumptions!$B$15*Assumptions!$B$30+IF(10&lt;=Assumptions!$B$33+11,Assumptions!$B$31*Assumptions!$B$32/12,0))</f>
        <v>9.075</v>
      </c>
      <c r="L26" s="18" t="n">
        <f aca="false">IF(11&lt;Assumptions!$B$33,0,L17/Assumptions!$B$15*Assumptions!$B$30+IF(11&lt;=Assumptions!$B$33+11,Assumptions!$B$31*Assumptions!$B$32/12,0))</f>
        <v>9.075</v>
      </c>
      <c r="M26" s="18" t="n">
        <f aca="false">IF(12&lt;Assumptions!$B$33,0,M17/Assumptions!$B$15*Assumptions!$B$30+IF(12&lt;=Assumptions!$B$33+11,Assumptions!$B$31*Assumptions!$B$32/12,0))</f>
        <v>9.075</v>
      </c>
      <c r="N26" s="18" t="n">
        <f aca="false">IF(13&lt;Assumptions!$B$33,0,N17/Assumptions!$B$15*Assumptions!$B$30+IF(13&lt;=Assumptions!$B$33+11,Assumptions!$B$31*Assumptions!$B$32/12,0))</f>
        <v>9.075</v>
      </c>
      <c r="O26" s="18" t="n">
        <f aca="false">IF(14&lt;Assumptions!$B$33,0,O17/Assumptions!$B$15*Assumptions!$B$30+IF(14&lt;=Assumptions!$B$33+11,Assumptions!$B$31*Assumptions!$B$32/12,0))</f>
        <v>9.075</v>
      </c>
      <c r="P26" s="18" t="n">
        <f aca="false">IF(15&lt;Assumptions!$B$33,0,P17/Assumptions!$B$15*Assumptions!$B$30+IF(15&lt;=Assumptions!$B$33+11,Assumptions!$B$31*Assumptions!$B$32/12,0))</f>
        <v>7.2</v>
      </c>
      <c r="Q26" s="18" t="n">
        <f aca="false">IF(16&lt;Assumptions!$B$33,0,Q17/Assumptions!$B$15*Assumptions!$B$30+IF(16&lt;=Assumptions!$B$33+11,Assumptions!$B$31*Assumptions!$B$32/12,0))</f>
        <v>7.2</v>
      </c>
      <c r="R26" s="18" t="n">
        <f aca="false">IF(17&lt;Assumptions!$B$33,0,R17/Assumptions!$B$15*Assumptions!$B$30+IF(17&lt;=Assumptions!$B$33+11,Assumptions!$B$31*Assumptions!$B$32/12,0))</f>
        <v>7.2</v>
      </c>
      <c r="S26" s="18" t="n">
        <f aca="false">IF(18&lt;Assumptions!$B$33,0,S17/Assumptions!$B$15*Assumptions!$B$30+IF(18&lt;=Assumptions!$B$33+11,Assumptions!$B$31*Assumptions!$B$32/12,0))</f>
        <v>7.2</v>
      </c>
      <c r="T26" s="18" t="n">
        <f aca="false">IF(19&lt;Assumptions!$B$33,0,T17/Assumptions!$B$15*Assumptions!$B$30+IF(19&lt;=Assumptions!$B$33+11,Assumptions!$B$31*Assumptions!$B$32/12,0))</f>
        <v>7.2</v>
      </c>
      <c r="U26" s="18" t="n">
        <f aca="false">IF(20&lt;Assumptions!$B$33,0,U17/Assumptions!$B$15*Assumptions!$B$30+IF(20&lt;=Assumptions!$B$33+11,Assumptions!$B$31*Assumptions!$B$32/12,0))</f>
        <v>7.2</v>
      </c>
      <c r="V26" s="18" t="n">
        <f aca="false">IF(21&lt;Assumptions!$B$33,0,V17/Assumptions!$B$15*Assumptions!$B$30+IF(21&lt;=Assumptions!$B$33+11,Assumptions!$B$31*Assumptions!$B$32/12,0))</f>
        <v>7.2</v>
      </c>
      <c r="W26" s="18" t="n">
        <f aca="false">IF(22&lt;Assumptions!$B$33,0,W17/Assumptions!$B$15*Assumptions!$B$30+IF(22&lt;=Assumptions!$B$33+11,Assumptions!$B$31*Assumptions!$B$32/12,0))</f>
        <v>7.2</v>
      </c>
      <c r="X26" s="18" t="n">
        <f aca="false">IF(23&lt;Assumptions!$B$33,0,X17/Assumptions!$B$15*Assumptions!$B$30+IF(23&lt;=Assumptions!$B$33+11,Assumptions!$B$31*Assumptions!$B$32/12,0))</f>
        <v>7.2</v>
      </c>
      <c r="Y26" s="18" t="n">
        <f aca="false">IF(24&lt;Assumptions!$B$33,0,Y17/Assumptions!$B$15*Assumptions!$B$30+IF(24&lt;=Assumptions!$B$33+11,Assumptions!$B$31*Assumptions!$B$32/12,0))</f>
        <v>7.2</v>
      </c>
      <c r="Z26" s="18" t="n">
        <f aca="false">SUM(B26:M26)</f>
        <v>70.75</v>
      </c>
      <c r="AA26" s="18" t="n">
        <f aca="false">SUM(N26:Y26)</f>
        <v>90.15</v>
      </c>
      <c r="AB26" s="18" t="n">
        <f aca="false">SUM(B26:Y26)</f>
        <v>160.9</v>
      </c>
    </row>
    <row r="27" customFormat="false" ht="15" hidden="false" customHeight="false" outlineLevel="0" collapsed="false">
      <c r="A27" s="17" t="s">
        <v>170</v>
      </c>
      <c r="B27" s="18" t="n">
        <f aca="false">0+B26</f>
        <v>0</v>
      </c>
      <c r="C27" s="18" t="n">
        <f aca="false">B27*(1-0.08/12)+C26</f>
        <v>0</v>
      </c>
      <c r="D27" s="18" t="n">
        <f aca="false">C27*(1-0.08/12)+D26</f>
        <v>4.275</v>
      </c>
      <c r="E27" s="18" t="n">
        <f aca="false">D27*(1-0.08/12)+E26</f>
        <v>8.9215</v>
      </c>
      <c r="F27" s="18" t="n">
        <f aca="false">E27*(1-0.08/12)+F26</f>
        <v>13.9370233333333</v>
      </c>
      <c r="G27" s="18" t="n">
        <f aca="false">F27*(1-0.08/12)+G26</f>
        <v>19.3191098444444</v>
      </c>
      <c r="H27" s="18" t="n">
        <f aca="false">G27*(1-0.08/12)+H26</f>
        <v>26.6653157788148</v>
      </c>
      <c r="I27" s="18" t="n">
        <f aca="false">H27*(1-0.08/12)+I26</f>
        <v>34.4958803402894</v>
      </c>
      <c r="J27" s="18" t="n">
        <f aca="false">I27*(1-0.08/12)+J26</f>
        <v>42.8075744713541</v>
      </c>
      <c r="K27" s="18" t="n">
        <f aca="false">J27*(1-0.08/12)+K26</f>
        <v>51.5971906415451</v>
      </c>
      <c r="L27" s="18" t="n">
        <f aca="false">K27*(1-0.08/12)+L26</f>
        <v>60.3282093706015</v>
      </c>
      <c r="M27" s="18" t="n">
        <f aca="false">L27*(1-0.08/12)+M26</f>
        <v>69.0010213081308</v>
      </c>
      <c r="N27" s="18" t="n">
        <f aca="false">M27*(1-0.08/12)+N26</f>
        <v>77.6160144994099</v>
      </c>
      <c r="O27" s="18" t="n">
        <f aca="false">N27*(1-0.08/12)+O26</f>
        <v>86.1735744027472</v>
      </c>
      <c r="P27" s="18" t="n">
        <f aca="false">O27*(1-0.08/12)+P26</f>
        <v>92.7990839067289</v>
      </c>
      <c r="Q27" s="18" t="n">
        <f aca="false">P27*(1-0.08/12)+Q26</f>
        <v>99.3804233473507</v>
      </c>
      <c r="R27" s="18" t="n">
        <f aca="false">Q27*(1-0.08/12)+R26</f>
        <v>105.917887191702</v>
      </c>
      <c r="S27" s="18" t="n">
        <f aca="false">R27*(1-0.08/12)+S26</f>
        <v>112.411767943757</v>
      </c>
      <c r="T27" s="18" t="n">
        <f aca="false">S27*(1-0.08/12)+T26</f>
        <v>118.862356157465</v>
      </c>
      <c r="U27" s="18" t="n">
        <f aca="false">T27*(1-0.08/12)+U26</f>
        <v>125.269940449749</v>
      </c>
      <c r="V27" s="18" t="n">
        <f aca="false">U27*(1-0.08/12)+V26</f>
        <v>131.634807513417</v>
      </c>
      <c r="W27" s="18" t="n">
        <f aca="false">V27*(1-0.08/12)+W26</f>
        <v>137.957242129994</v>
      </c>
      <c r="X27" s="18" t="n">
        <f aca="false">W27*(1-0.08/12)+X26</f>
        <v>144.237527182461</v>
      </c>
      <c r="Y27" s="18" t="n">
        <f aca="false">X27*(1-0.08/12)+Y26</f>
        <v>150.475943667911</v>
      </c>
      <c r="Z27" s="2"/>
      <c r="AA27" s="2"/>
      <c r="AB27" s="2"/>
    </row>
    <row r="28" customFormat="false" ht="15" hidden="false" customHeight="false" outlineLevel="0" collapsed="false">
      <c r="A28" s="17" t="s">
        <v>171</v>
      </c>
      <c r="B28" s="22" t="n">
        <f aca="false">B27/12/Assumptions!$B$29*Assumptions!$B$28</f>
        <v>0</v>
      </c>
      <c r="C28" s="22" t="n">
        <f aca="false">C27/12/Assumptions!$B$29*Assumptions!$B$28</f>
        <v>0</v>
      </c>
      <c r="D28" s="22" t="n">
        <f aca="false">D27/12/Assumptions!$B$29*Assumptions!$B$28</f>
        <v>88.70625</v>
      </c>
      <c r="E28" s="22" t="n">
        <f aca="false">E27/12/Assumptions!$B$29*Assumptions!$B$28</f>
        <v>185.121125</v>
      </c>
      <c r="F28" s="22" t="n">
        <f aca="false">F27/12/Assumptions!$B$29*Assumptions!$B$28</f>
        <v>289.193234166667</v>
      </c>
      <c r="G28" s="22" t="n">
        <f aca="false">G27/12/Assumptions!$B$29*Assumptions!$B$28</f>
        <v>400.871529272222</v>
      </c>
      <c r="H28" s="22" t="n">
        <f aca="false">H27/12/Assumptions!$B$29*Assumptions!$B$28</f>
        <v>553.305302410408</v>
      </c>
      <c r="I28" s="22" t="n">
        <f aca="false">I27/12/Assumptions!$B$29*Assumptions!$B$28</f>
        <v>715.789517061005</v>
      </c>
      <c r="J28" s="22" t="n">
        <f aca="false">J27/12/Assumptions!$B$29*Assumptions!$B$28</f>
        <v>888.257170280598</v>
      </c>
      <c r="K28" s="22" t="n">
        <f aca="false">K27/12/Assumptions!$B$29*Assumptions!$B$28</f>
        <v>1070.64170581206</v>
      </c>
      <c r="L28" s="22" t="n">
        <f aca="false">L27/12/Assumptions!$B$29*Assumptions!$B$28</f>
        <v>1251.81034443998</v>
      </c>
      <c r="M28" s="22" t="n">
        <f aca="false">M27/12/Assumptions!$B$29*Assumptions!$B$28</f>
        <v>1431.77119214371</v>
      </c>
      <c r="N28" s="22" t="n">
        <f aca="false">N27/12/Assumptions!$B$29*Assumptions!$B$28</f>
        <v>1610.53230086276</v>
      </c>
      <c r="O28" s="22" t="n">
        <f aca="false">O27/12/Assumptions!$B$29*Assumptions!$B$28</f>
        <v>1788.101668857</v>
      </c>
      <c r="P28" s="22" t="n">
        <f aca="false">P27/12/Assumptions!$B$29*Assumptions!$B$28</f>
        <v>1925.58099106462</v>
      </c>
      <c r="Q28" s="22" t="n">
        <f aca="false">Q27/12/Assumptions!$B$29*Assumptions!$B$28</f>
        <v>2062.14378445753</v>
      </c>
      <c r="R28" s="22" t="n">
        <f aca="false">R27/12/Assumptions!$B$29*Assumptions!$B$28</f>
        <v>2197.79615922781</v>
      </c>
      <c r="S28" s="22" t="n">
        <f aca="false">S27/12/Assumptions!$B$29*Assumptions!$B$28</f>
        <v>2332.54418483296</v>
      </c>
      <c r="T28" s="22" t="n">
        <f aca="false">T27/12/Assumptions!$B$29*Assumptions!$B$28</f>
        <v>2466.3938902674</v>
      </c>
      <c r="U28" s="22" t="n">
        <f aca="false">U27/12/Assumptions!$B$29*Assumptions!$B$28</f>
        <v>2599.35126433229</v>
      </c>
      <c r="V28" s="22" t="n">
        <f aca="false">V27/12/Assumptions!$B$29*Assumptions!$B$28</f>
        <v>2731.42225590341</v>
      </c>
      <c r="W28" s="22" t="n">
        <f aca="false">W27/12/Assumptions!$B$29*Assumptions!$B$28</f>
        <v>2862.61277419738</v>
      </c>
      <c r="X28" s="22" t="n">
        <f aca="false">X27/12/Assumptions!$B$29*Assumptions!$B$28</f>
        <v>2992.92868903607</v>
      </c>
      <c r="Y28" s="22" t="n">
        <f aca="false">Y27/12/Assumptions!$B$29*Assumptions!$B$28</f>
        <v>3122.37583110916</v>
      </c>
      <c r="Z28" s="22" t="n">
        <f aca="false">SUM(B28:M28)</f>
        <v>6875.46737058665</v>
      </c>
      <c r="AA28" s="22" t="n">
        <f aca="false">SUM(N28:Y28)</f>
        <v>28691.7837941484</v>
      </c>
      <c r="AB28" s="22" t="n">
        <f aca="false">SUM(B28:Y28)</f>
        <v>35567.251164735</v>
      </c>
    </row>
    <row r="29" customFormat="false" ht="15" hidden="false" customHeight="false" outlineLevel="0" collapsed="false">
      <c r="A29" s="15" t="s">
        <v>172</v>
      </c>
      <c r="B29" s="24" t="n">
        <f aca="false">B25+B28</f>
        <v>31697.6744186047</v>
      </c>
      <c r="C29" s="24" t="n">
        <f aca="false">C25+C28</f>
        <v>34372.0930232558</v>
      </c>
      <c r="D29" s="24" t="n">
        <f aca="false">D25+D28</f>
        <v>37135.217877907</v>
      </c>
      <c r="E29" s="24" t="n">
        <f aca="false">E25+E28</f>
        <v>39906.0513575581</v>
      </c>
      <c r="F29" s="24" t="n">
        <f aca="false">F25+F28</f>
        <v>42684.542071376</v>
      </c>
      <c r="G29" s="24" t="n">
        <f aca="false">G25+G28</f>
        <v>45470.6389711327</v>
      </c>
      <c r="H29" s="24" t="n">
        <f aca="false">H25+H28</f>
        <v>79995.1657675267</v>
      </c>
      <c r="I29" s="24" t="n">
        <f aca="false">I25+I28</f>
        <v>83723.5414550455</v>
      </c>
      <c r="J29" s="24" t="n">
        <f aca="false">J25+J28</f>
        <v>87461.9005811333</v>
      </c>
      <c r="K29" s="24" t="n">
        <f aca="false">K25+K28</f>
        <v>91210.176589533</v>
      </c>
      <c r="L29" s="24" t="n">
        <f aca="false">L25+L28</f>
        <v>91391.3452281609</v>
      </c>
      <c r="M29" s="24" t="n">
        <f aca="false">M25+M28</f>
        <v>91571.3060758647</v>
      </c>
      <c r="N29" s="24" t="n">
        <f aca="false">N25+N28</f>
        <v>91750.0671845837</v>
      </c>
      <c r="O29" s="24" t="n">
        <f aca="false">O25+O28</f>
        <v>91927.6365525779</v>
      </c>
      <c r="P29" s="24" t="n">
        <f aca="false">P25+P28</f>
        <v>92065.1158747856</v>
      </c>
      <c r="Q29" s="24" t="n">
        <f aca="false">Q25+Q28</f>
        <v>92201.6786681785</v>
      </c>
      <c r="R29" s="24" t="n">
        <f aca="false">R25+R28</f>
        <v>92337.3310429488</v>
      </c>
      <c r="S29" s="24" t="n">
        <f aca="false">S25+S28</f>
        <v>92472.0790685539</v>
      </c>
      <c r="T29" s="24" t="n">
        <f aca="false">T25+T28</f>
        <v>92605.9287739883</v>
      </c>
      <c r="U29" s="24" t="n">
        <f aca="false">U25+U28</f>
        <v>92738.8861480532</v>
      </c>
      <c r="V29" s="24" t="n">
        <f aca="false">V25+V28</f>
        <v>92870.9571396243</v>
      </c>
      <c r="W29" s="24" t="n">
        <f aca="false">W25+W28</f>
        <v>93002.1476579183</v>
      </c>
      <c r="X29" s="24" t="n">
        <f aca="false">X25+X28</f>
        <v>93132.463572757</v>
      </c>
      <c r="Y29" s="24" t="n">
        <f aca="false">Y25+Y28</f>
        <v>93261.9107148301</v>
      </c>
      <c r="Z29" s="23" t="n">
        <f aca="false">SUM(B29:M29)</f>
        <v>756619.653417098</v>
      </c>
      <c r="AA29" s="23" t="n">
        <f aca="false">SUM(N29:Y29)</f>
        <v>1110366.2023988</v>
      </c>
      <c r="AB29" s="23" t="n">
        <f aca="false">SUM(B29:Y29)</f>
        <v>1866985.8558159</v>
      </c>
    </row>
    <row r="30" customFormat="false" ht="15" hidden="false" customHeight="false" outlineLevel="0" collapsed="false">
      <c r="A30" s="4" t="s">
        <v>173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customFormat="false" ht="15" hidden="false" customHeight="false" outlineLevel="0" collapsed="false">
      <c r="A31" s="17" t="s">
        <v>174</v>
      </c>
      <c r="B31" s="18" t="n">
        <f aca="false">1+IF(B7&gt;0,1,0)</f>
        <v>1</v>
      </c>
      <c r="C31" s="18" t="n">
        <f aca="false">1+IF(C7&gt;0,1,0)</f>
        <v>1</v>
      </c>
      <c r="D31" s="18" t="n">
        <f aca="false">1+IF(D7&gt;0,1,0)</f>
        <v>1</v>
      </c>
      <c r="E31" s="18" t="n">
        <f aca="false">1+IF(E7&gt;0,1,0)</f>
        <v>1</v>
      </c>
      <c r="F31" s="18" t="n">
        <f aca="false">1+IF(F7&gt;0,1,0)</f>
        <v>1</v>
      </c>
      <c r="G31" s="18" t="n">
        <f aca="false">1+IF(G7&gt;0,1,0)</f>
        <v>1</v>
      </c>
      <c r="H31" s="18" t="n">
        <f aca="false">1+IF(H7&gt;0,1,0)</f>
        <v>2</v>
      </c>
      <c r="I31" s="18" t="n">
        <f aca="false">1+IF(I7&gt;0,1,0)</f>
        <v>2</v>
      </c>
      <c r="J31" s="18" t="n">
        <f aca="false">1+IF(J7&gt;0,1,0)</f>
        <v>2</v>
      </c>
      <c r="K31" s="18" t="n">
        <f aca="false">1+IF(K7&gt;0,1,0)</f>
        <v>2</v>
      </c>
      <c r="L31" s="18" t="n">
        <f aca="false">1+IF(L7&gt;0,1,0)</f>
        <v>2</v>
      </c>
      <c r="M31" s="18" t="n">
        <f aca="false">1+IF(M7&gt;0,1,0)</f>
        <v>2</v>
      </c>
      <c r="N31" s="18" t="n">
        <f aca="false">1+IF(N7&gt;0,1,0)</f>
        <v>2</v>
      </c>
      <c r="O31" s="18" t="n">
        <f aca="false">1+IF(O7&gt;0,1,0)</f>
        <v>2</v>
      </c>
      <c r="P31" s="18" t="n">
        <f aca="false">1+IF(P7&gt;0,1,0)</f>
        <v>2</v>
      </c>
      <c r="Q31" s="18" t="n">
        <f aca="false">1+IF(Q7&gt;0,1,0)</f>
        <v>2</v>
      </c>
      <c r="R31" s="18" t="n">
        <f aca="false">1+IF(R7&gt;0,1,0)</f>
        <v>2</v>
      </c>
      <c r="S31" s="18" t="n">
        <f aca="false">1+IF(S7&gt;0,1,0)</f>
        <v>2</v>
      </c>
      <c r="T31" s="18" t="n">
        <f aca="false">1+IF(T7&gt;0,1,0)</f>
        <v>2</v>
      </c>
      <c r="U31" s="18" t="n">
        <f aca="false">1+IF(U7&gt;0,1,0)</f>
        <v>2</v>
      </c>
      <c r="V31" s="18" t="n">
        <f aca="false">1+IF(V7&gt;0,1,0)</f>
        <v>2</v>
      </c>
      <c r="W31" s="18" t="n">
        <f aca="false">1+IF(W7&gt;0,1,0)</f>
        <v>2</v>
      </c>
      <c r="X31" s="18" t="n">
        <f aca="false">1+IF(X7&gt;0,1,0)</f>
        <v>2</v>
      </c>
      <c r="Y31" s="18" t="n">
        <f aca="false">1+IF(Y7&gt;0,1,0)</f>
        <v>2</v>
      </c>
      <c r="Z31" s="2"/>
      <c r="AA31" s="2"/>
      <c r="AB31" s="2"/>
    </row>
    <row r="32" customFormat="false" ht="15" hidden="false" customHeight="false" outlineLevel="0" collapsed="false">
      <c r="A32" s="17" t="s">
        <v>175</v>
      </c>
      <c r="B32" s="22" t="n">
        <f aca="false">IF(Assumptions!$B$18=1,B25*Assumptions!$B$19,B31*(Assumptions!$B$24*Assumptions!$B$25*Assumptions!$B$21+Assumptions!$B$25*Assumptions!$B$22+Assumptions!$B$24*Assumptions!$B$26*Assumptions!$B$21*1.5)*(1+Assumptions!$B$23))</f>
        <v>13904.01</v>
      </c>
      <c r="C32" s="22" t="n">
        <f aca="false">IF(Assumptions!$B$18=1,C25*Assumptions!$B$19,C31*(Assumptions!$B$24*Assumptions!$B$25*Assumptions!$B$21+Assumptions!$B$25*Assumptions!$B$22+Assumptions!$B$24*Assumptions!$B$26*Assumptions!$B$21*1.5)*(1+Assumptions!$B$23))</f>
        <v>13904.01</v>
      </c>
      <c r="D32" s="22" t="n">
        <f aca="false">IF(Assumptions!$B$18=1,D25*Assumptions!$B$19,D31*(Assumptions!$B$24*Assumptions!$B$25*Assumptions!$B$21+Assumptions!$B$25*Assumptions!$B$22+Assumptions!$B$24*Assumptions!$B$26*Assumptions!$B$21*1.5)*(1+Assumptions!$B$23))</f>
        <v>13904.01</v>
      </c>
      <c r="E32" s="22" t="n">
        <f aca="false">IF(Assumptions!$B$18=1,E25*Assumptions!$B$19,E31*(Assumptions!$B$24*Assumptions!$B$25*Assumptions!$B$21+Assumptions!$B$25*Assumptions!$B$22+Assumptions!$B$24*Assumptions!$B$26*Assumptions!$B$21*1.5)*(1+Assumptions!$B$23))</f>
        <v>13904.01</v>
      </c>
      <c r="F32" s="22" t="n">
        <f aca="false">IF(Assumptions!$B$18=1,F25*Assumptions!$B$19,F31*(Assumptions!$B$24*Assumptions!$B$25*Assumptions!$B$21+Assumptions!$B$25*Assumptions!$B$22+Assumptions!$B$24*Assumptions!$B$26*Assumptions!$B$21*1.5)*(1+Assumptions!$B$23))</f>
        <v>13904.01</v>
      </c>
      <c r="G32" s="22" t="n">
        <f aca="false">IF(Assumptions!$B$18=1,G25*Assumptions!$B$19,G31*(Assumptions!$B$24*Assumptions!$B$25*Assumptions!$B$21+Assumptions!$B$25*Assumptions!$B$22+Assumptions!$B$24*Assumptions!$B$26*Assumptions!$B$21*1.5)*(1+Assumptions!$B$23))</f>
        <v>13904.01</v>
      </c>
      <c r="H32" s="22" t="n">
        <f aca="false">IF(Assumptions!$B$18=1,H25*Assumptions!$B$19,H31*(Assumptions!$B$24*Assumptions!$B$25*Assumptions!$B$21+Assumptions!$B$25*Assumptions!$B$22+Assumptions!$B$24*Assumptions!$B$26*Assumptions!$B$21*1.5)*(1+Assumptions!$B$23))</f>
        <v>27808.02</v>
      </c>
      <c r="I32" s="22" t="n">
        <f aca="false">IF(Assumptions!$B$18=1,I25*Assumptions!$B$19,I31*(Assumptions!$B$24*Assumptions!$B$25*Assumptions!$B$21+Assumptions!$B$25*Assumptions!$B$22+Assumptions!$B$24*Assumptions!$B$26*Assumptions!$B$21*1.5)*(1+Assumptions!$B$23))</f>
        <v>27808.02</v>
      </c>
      <c r="J32" s="22" t="n">
        <f aca="false">IF(Assumptions!$B$18=1,J25*Assumptions!$B$19,J31*(Assumptions!$B$24*Assumptions!$B$25*Assumptions!$B$21+Assumptions!$B$25*Assumptions!$B$22+Assumptions!$B$24*Assumptions!$B$26*Assumptions!$B$21*1.5)*(1+Assumptions!$B$23))</f>
        <v>27808.02</v>
      </c>
      <c r="K32" s="22" t="n">
        <f aca="false">IF(Assumptions!$B$18=1,K25*Assumptions!$B$19,K31*(Assumptions!$B$24*Assumptions!$B$25*Assumptions!$B$21+Assumptions!$B$25*Assumptions!$B$22+Assumptions!$B$24*Assumptions!$B$26*Assumptions!$B$21*1.5)*(1+Assumptions!$B$23))</f>
        <v>27808.02</v>
      </c>
      <c r="L32" s="22" t="n">
        <f aca="false">IF(Assumptions!$B$18=1,L25*Assumptions!$B$19,L31*(Assumptions!$B$24*Assumptions!$B$25*Assumptions!$B$21+Assumptions!$B$25*Assumptions!$B$22+Assumptions!$B$24*Assumptions!$B$26*Assumptions!$B$21*1.5)*(1+Assumptions!$B$23))</f>
        <v>27808.02</v>
      </c>
      <c r="M32" s="22" t="n">
        <f aca="false">IF(Assumptions!$B$18=1,M25*Assumptions!$B$19,M31*(Assumptions!$B$24*Assumptions!$B$25*Assumptions!$B$21+Assumptions!$B$25*Assumptions!$B$22+Assumptions!$B$24*Assumptions!$B$26*Assumptions!$B$21*1.5)*(1+Assumptions!$B$23))</f>
        <v>27808.02</v>
      </c>
      <c r="N32" s="22" t="n">
        <f aca="false">IF(Assumptions!$B$18=1,N25*Assumptions!$B$19,N31*(Assumptions!$B$24*Assumptions!$B$25*Assumptions!$B$21+Assumptions!$B$25*Assumptions!$B$22+Assumptions!$B$24*Assumptions!$B$26*Assumptions!$B$21*1.5)*(1+Assumptions!$B$23))</f>
        <v>27808.02</v>
      </c>
      <c r="O32" s="22" t="n">
        <f aca="false">IF(Assumptions!$B$18=1,O25*Assumptions!$B$19,O31*(Assumptions!$B$24*Assumptions!$B$25*Assumptions!$B$21+Assumptions!$B$25*Assumptions!$B$22+Assumptions!$B$24*Assumptions!$B$26*Assumptions!$B$21*1.5)*(1+Assumptions!$B$23))</f>
        <v>27808.02</v>
      </c>
      <c r="P32" s="22" t="n">
        <f aca="false">IF(Assumptions!$B$18=1,P25*Assumptions!$B$19,P31*(Assumptions!$B$24*Assumptions!$B$25*Assumptions!$B$21+Assumptions!$B$25*Assumptions!$B$22+Assumptions!$B$24*Assumptions!$B$26*Assumptions!$B$21*1.5)*(1+Assumptions!$B$23))</f>
        <v>27808.02</v>
      </c>
      <c r="Q32" s="22" t="n">
        <f aca="false">IF(Assumptions!$B$18=1,Q25*Assumptions!$B$19,Q31*(Assumptions!$B$24*Assumptions!$B$25*Assumptions!$B$21+Assumptions!$B$25*Assumptions!$B$22+Assumptions!$B$24*Assumptions!$B$26*Assumptions!$B$21*1.5)*(1+Assumptions!$B$23))</f>
        <v>27808.02</v>
      </c>
      <c r="R32" s="22" t="n">
        <f aca="false">IF(Assumptions!$B$18=1,R25*Assumptions!$B$19,R31*(Assumptions!$B$24*Assumptions!$B$25*Assumptions!$B$21+Assumptions!$B$25*Assumptions!$B$22+Assumptions!$B$24*Assumptions!$B$26*Assumptions!$B$21*1.5)*(1+Assumptions!$B$23))</f>
        <v>27808.02</v>
      </c>
      <c r="S32" s="22" t="n">
        <f aca="false">IF(Assumptions!$B$18=1,S25*Assumptions!$B$19,S31*(Assumptions!$B$24*Assumptions!$B$25*Assumptions!$B$21+Assumptions!$B$25*Assumptions!$B$22+Assumptions!$B$24*Assumptions!$B$26*Assumptions!$B$21*1.5)*(1+Assumptions!$B$23))</f>
        <v>27808.02</v>
      </c>
      <c r="T32" s="22" t="n">
        <f aca="false">IF(Assumptions!$B$18=1,T25*Assumptions!$B$19,T31*(Assumptions!$B$24*Assumptions!$B$25*Assumptions!$B$21+Assumptions!$B$25*Assumptions!$B$22+Assumptions!$B$24*Assumptions!$B$26*Assumptions!$B$21*1.5)*(1+Assumptions!$B$23))</f>
        <v>27808.02</v>
      </c>
      <c r="U32" s="22" t="n">
        <f aca="false">IF(Assumptions!$B$18=1,U25*Assumptions!$B$19,U31*(Assumptions!$B$24*Assumptions!$B$25*Assumptions!$B$21+Assumptions!$B$25*Assumptions!$B$22+Assumptions!$B$24*Assumptions!$B$26*Assumptions!$B$21*1.5)*(1+Assumptions!$B$23))</f>
        <v>27808.02</v>
      </c>
      <c r="V32" s="22" t="n">
        <f aca="false">IF(Assumptions!$B$18=1,V25*Assumptions!$B$19,V31*(Assumptions!$B$24*Assumptions!$B$25*Assumptions!$B$21+Assumptions!$B$25*Assumptions!$B$22+Assumptions!$B$24*Assumptions!$B$26*Assumptions!$B$21*1.5)*(1+Assumptions!$B$23))</f>
        <v>27808.02</v>
      </c>
      <c r="W32" s="22" t="n">
        <f aca="false">IF(Assumptions!$B$18=1,W25*Assumptions!$B$19,W31*(Assumptions!$B$24*Assumptions!$B$25*Assumptions!$B$21+Assumptions!$B$25*Assumptions!$B$22+Assumptions!$B$24*Assumptions!$B$26*Assumptions!$B$21*1.5)*(1+Assumptions!$B$23))</f>
        <v>27808.02</v>
      </c>
      <c r="X32" s="22" t="n">
        <f aca="false">IF(Assumptions!$B$18=1,X25*Assumptions!$B$19,X31*(Assumptions!$B$24*Assumptions!$B$25*Assumptions!$B$21+Assumptions!$B$25*Assumptions!$B$22+Assumptions!$B$24*Assumptions!$B$26*Assumptions!$B$21*1.5)*(1+Assumptions!$B$23))</f>
        <v>27808.02</v>
      </c>
      <c r="Y32" s="22" t="n">
        <f aca="false">IF(Assumptions!$B$18=1,Y25*Assumptions!$B$19,Y31*(Assumptions!$B$24*Assumptions!$B$25*Assumptions!$B$21+Assumptions!$B$25*Assumptions!$B$22+Assumptions!$B$24*Assumptions!$B$26*Assumptions!$B$21*1.5)*(1+Assumptions!$B$23))</f>
        <v>27808.02</v>
      </c>
      <c r="Z32" s="22" t="n">
        <f aca="false">SUM(B32:M32)</f>
        <v>250272.18</v>
      </c>
      <c r="AA32" s="22" t="n">
        <f aca="false">SUM(N32:Y32)</f>
        <v>333696.24</v>
      </c>
      <c r="AB32" s="22" t="n">
        <f aca="false">SUM(B32:Y32)</f>
        <v>583968.42</v>
      </c>
    </row>
    <row r="33" customFormat="false" ht="15" hidden="false" customHeight="false" outlineLevel="0" collapsed="false">
      <c r="A33" s="17" t="s">
        <v>176</v>
      </c>
      <c r="B33" s="22" t="n">
        <f aca="false">B25*Assumptions!$B$20</f>
        <v>6339.53488372093</v>
      </c>
      <c r="C33" s="22" t="n">
        <f aca="false">C25*Assumptions!$B$20</f>
        <v>6874.41860465116</v>
      </c>
      <c r="D33" s="22" t="n">
        <f aca="false">D25*Assumptions!$B$20</f>
        <v>7409.3023255814</v>
      </c>
      <c r="E33" s="22" t="n">
        <f aca="false">E25*Assumptions!$B$20</f>
        <v>7944.18604651163</v>
      </c>
      <c r="F33" s="22" t="n">
        <f aca="false">F25*Assumptions!$B$20</f>
        <v>8479.06976744186</v>
      </c>
      <c r="G33" s="22" t="n">
        <f aca="false">G25*Assumptions!$B$20</f>
        <v>9013.95348837209</v>
      </c>
      <c r="H33" s="22" t="n">
        <f aca="false">H25*Assumptions!$B$20</f>
        <v>15888.3720930233</v>
      </c>
      <c r="I33" s="22" t="n">
        <f aca="false">I25*Assumptions!$B$20</f>
        <v>16601.5503875969</v>
      </c>
      <c r="J33" s="22" t="n">
        <f aca="false">J25*Assumptions!$B$20</f>
        <v>17314.7286821705</v>
      </c>
      <c r="K33" s="22" t="n">
        <f aca="false">K25*Assumptions!$B$20</f>
        <v>18027.9069767442</v>
      </c>
      <c r="L33" s="22" t="n">
        <f aca="false">L25*Assumptions!$B$20</f>
        <v>18027.9069767442</v>
      </c>
      <c r="M33" s="22" t="n">
        <f aca="false">M25*Assumptions!$B$20</f>
        <v>18027.9069767442</v>
      </c>
      <c r="N33" s="22" t="n">
        <f aca="false">N25*Assumptions!$B$20</f>
        <v>18027.9069767442</v>
      </c>
      <c r="O33" s="22" t="n">
        <f aca="false">O25*Assumptions!$B$20</f>
        <v>18027.9069767442</v>
      </c>
      <c r="P33" s="22" t="n">
        <f aca="false">P25*Assumptions!$B$20</f>
        <v>18027.9069767442</v>
      </c>
      <c r="Q33" s="22" t="n">
        <f aca="false">Q25*Assumptions!$B$20</f>
        <v>18027.9069767442</v>
      </c>
      <c r="R33" s="22" t="n">
        <f aca="false">R25*Assumptions!$B$20</f>
        <v>18027.9069767442</v>
      </c>
      <c r="S33" s="22" t="n">
        <f aca="false">S25*Assumptions!$B$20</f>
        <v>18027.9069767442</v>
      </c>
      <c r="T33" s="22" t="n">
        <f aca="false">T25*Assumptions!$B$20</f>
        <v>18027.9069767442</v>
      </c>
      <c r="U33" s="22" t="n">
        <f aca="false">U25*Assumptions!$B$20</f>
        <v>18027.9069767442</v>
      </c>
      <c r="V33" s="22" t="n">
        <f aca="false">V25*Assumptions!$B$20</f>
        <v>18027.9069767442</v>
      </c>
      <c r="W33" s="22" t="n">
        <f aca="false">W25*Assumptions!$B$20</f>
        <v>18027.9069767442</v>
      </c>
      <c r="X33" s="22" t="n">
        <f aca="false">X25*Assumptions!$B$20</f>
        <v>18027.9069767442</v>
      </c>
      <c r="Y33" s="22" t="n">
        <f aca="false">Y25*Assumptions!$B$20</f>
        <v>18027.9069767442</v>
      </c>
      <c r="Z33" s="22" t="n">
        <f aca="false">SUM(B33:M33)</f>
        <v>149948.837209302</v>
      </c>
      <c r="AA33" s="22" t="n">
        <f aca="false">SUM(N33:Y33)</f>
        <v>216334.88372093</v>
      </c>
      <c r="AB33" s="22" t="n">
        <f aca="false">SUM(B33:Y33)</f>
        <v>366283.720930233</v>
      </c>
    </row>
    <row r="34" customFormat="false" ht="15" hidden="false" customHeight="false" outlineLevel="0" collapsed="false">
      <c r="A34" s="17" t="s">
        <v>177</v>
      </c>
      <c r="B34" s="22" t="n">
        <f aca="false">B27/12/Assumptions!$B$29*Assumptions!$B$34</f>
        <v>0</v>
      </c>
      <c r="C34" s="22" t="n">
        <f aca="false">C27/12/Assumptions!$B$29*Assumptions!$B$34</f>
        <v>0</v>
      </c>
      <c r="D34" s="22" t="n">
        <f aca="false">D27/12/Assumptions!$B$29*Assumptions!$B$34</f>
        <v>24.9375</v>
      </c>
      <c r="E34" s="22" t="n">
        <f aca="false">E27/12/Assumptions!$B$29*Assumptions!$B$34</f>
        <v>52.0420833333333</v>
      </c>
      <c r="F34" s="22" t="n">
        <f aca="false">F27/12/Assumptions!$B$29*Assumptions!$B$34</f>
        <v>81.2993027777778</v>
      </c>
      <c r="G34" s="22" t="n">
        <f aca="false">G27/12/Assumptions!$B$29*Assumptions!$B$34</f>
        <v>112.694807425926</v>
      </c>
      <c r="H34" s="22" t="n">
        <f aca="false">H27/12/Assumptions!$B$29*Assumptions!$B$34</f>
        <v>155.54767537642</v>
      </c>
      <c r="I34" s="22" t="n">
        <f aca="false">I27/12/Assumptions!$B$29*Assumptions!$B$34</f>
        <v>201.225968651688</v>
      </c>
      <c r="J34" s="22" t="n">
        <f aca="false">J27/12/Assumptions!$B$29*Assumptions!$B$34</f>
        <v>249.710851082899</v>
      </c>
      <c r="K34" s="22" t="n">
        <f aca="false">K27/12/Assumptions!$B$29*Assumptions!$B$34</f>
        <v>300.98361207568</v>
      </c>
      <c r="L34" s="22" t="n">
        <f aca="false">L27/12/Assumptions!$B$29*Assumptions!$B$34</f>
        <v>351.914554661842</v>
      </c>
      <c r="M34" s="22" t="n">
        <f aca="false">M27/12/Assumptions!$B$29*Assumptions!$B$34</f>
        <v>402.505957630763</v>
      </c>
      <c r="N34" s="22" t="n">
        <f aca="false">N27/12/Assumptions!$B$29*Assumptions!$B$34</f>
        <v>452.760084579891</v>
      </c>
      <c r="O34" s="22" t="n">
        <f aca="false">O27/12/Assumptions!$B$29*Assumptions!$B$34</f>
        <v>502.679184016025</v>
      </c>
      <c r="P34" s="22" t="n">
        <f aca="false">P27/12/Assumptions!$B$29*Assumptions!$B$34</f>
        <v>541.327989455918</v>
      </c>
      <c r="Q34" s="22" t="n">
        <f aca="false">Q27/12/Assumptions!$B$29*Assumptions!$B$34</f>
        <v>579.719136192879</v>
      </c>
      <c r="R34" s="22" t="n">
        <f aca="false">R27/12/Assumptions!$B$29*Assumptions!$B$34</f>
        <v>617.854341951593</v>
      </c>
      <c r="S34" s="22" t="n">
        <f aca="false">S27/12/Assumptions!$B$29*Assumptions!$B$34</f>
        <v>655.735313005249</v>
      </c>
      <c r="T34" s="22" t="n">
        <f aca="false">T27/12/Assumptions!$B$29*Assumptions!$B$34</f>
        <v>693.363744251881</v>
      </c>
      <c r="U34" s="22" t="n">
        <f aca="false">U27/12/Assumptions!$B$29*Assumptions!$B$34</f>
        <v>730.741319290201</v>
      </c>
      <c r="V34" s="22" t="n">
        <f aca="false">V27/12/Assumptions!$B$29*Assumptions!$B$34</f>
        <v>767.869710494933</v>
      </c>
      <c r="W34" s="22" t="n">
        <f aca="false">W27/12/Assumptions!$B$29*Assumptions!$B$34</f>
        <v>804.750579091634</v>
      </c>
      <c r="X34" s="22" t="n">
        <f aca="false">X27/12/Assumptions!$B$29*Assumptions!$B$34</f>
        <v>841.385575231023</v>
      </c>
      <c r="Y34" s="22" t="n">
        <f aca="false">Y27/12/Assumptions!$B$29*Assumptions!$B$34</f>
        <v>877.776338062816</v>
      </c>
      <c r="Z34" s="22" t="n">
        <f aca="false">SUM(B34:M34)</f>
        <v>1932.86231301633</v>
      </c>
      <c r="AA34" s="22" t="n">
        <f aca="false">SUM(N34:Y34)</f>
        <v>8065.96331562404</v>
      </c>
      <c r="AB34" s="22" t="n">
        <f aca="false">SUM(B34:Y34)</f>
        <v>9998.82562864037</v>
      </c>
    </row>
    <row r="35" customFormat="false" ht="15" hidden="false" customHeight="false" outlineLevel="0" collapsed="false">
      <c r="A35" s="15" t="s">
        <v>178</v>
      </c>
      <c r="B35" s="24" t="n">
        <f aca="false">B32+B33+B34</f>
        <v>20243.5448837209</v>
      </c>
      <c r="C35" s="24" t="n">
        <f aca="false">C32+C33+C34</f>
        <v>20778.4286046512</v>
      </c>
      <c r="D35" s="24" t="n">
        <f aca="false">D32+D33+D34</f>
        <v>21338.2498255814</v>
      </c>
      <c r="E35" s="24" t="n">
        <f aca="false">E32+E33+E34</f>
        <v>21900.238129845</v>
      </c>
      <c r="F35" s="24" t="n">
        <f aca="false">F32+F33+F34</f>
        <v>22464.3790702196</v>
      </c>
      <c r="G35" s="24" t="n">
        <f aca="false">G32+G33+G34</f>
        <v>23030.658295798</v>
      </c>
      <c r="H35" s="24" t="n">
        <f aca="false">H32+H33+H34</f>
        <v>43851.9397683997</v>
      </c>
      <c r="I35" s="24" t="n">
        <f aca="false">I32+I33+I34</f>
        <v>44610.7963562486</v>
      </c>
      <c r="J35" s="24" t="n">
        <f aca="false">J32+J33+J34</f>
        <v>45372.4595332535</v>
      </c>
      <c r="K35" s="24" t="n">
        <f aca="false">K32+K33+K34</f>
        <v>46136.9105888199</v>
      </c>
      <c r="L35" s="24" t="n">
        <f aca="false">L32+L33+L34</f>
        <v>46187.841531406</v>
      </c>
      <c r="M35" s="24" t="n">
        <f aca="false">M32+M33+M34</f>
        <v>46238.432934375</v>
      </c>
      <c r="N35" s="24" t="n">
        <f aca="false">N32+N33+N34</f>
        <v>46288.6870613241</v>
      </c>
      <c r="O35" s="24" t="n">
        <f aca="false">O32+O33+O34</f>
        <v>46338.6061607602</v>
      </c>
      <c r="P35" s="24" t="n">
        <f aca="false">P32+P33+P34</f>
        <v>46377.2549662001</v>
      </c>
      <c r="Q35" s="24" t="n">
        <f aca="false">Q32+Q33+Q34</f>
        <v>46415.6461129371</v>
      </c>
      <c r="R35" s="24" t="n">
        <f aca="false">R32+R33+R34</f>
        <v>46453.7813186958</v>
      </c>
      <c r="S35" s="24" t="n">
        <f aca="false">S32+S33+S34</f>
        <v>46491.6622897494</v>
      </c>
      <c r="T35" s="24" t="n">
        <f aca="false">T32+T33+T34</f>
        <v>46529.2907209961</v>
      </c>
      <c r="U35" s="24" t="n">
        <f aca="false">U32+U33+U34</f>
        <v>46566.6682960344</v>
      </c>
      <c r="V35" s="24" t="n">
        <f aca="false">V32+V33+V34</f>
        <v>46603.7966872391</v>
      </c>
      <c r="W35" s="24" t="n">
        <f aca="false">W32+W33+W34</f>
        <v>46640.6775558358</v>
      </c>
      <c r="X35" s="24" t="n">
        <f aca="false">X32+X33+X34</f>
        <v>46677.3125519752</v>
      </c>
      <c r="Y35" s="24" t="n">
        <f aca="false">Y32+Y33+Y34</f>
        <v>46713.703314807</v>
      </c>
      <c r="Z35" s="23" t="n">
        <f aca="false">SUM(B35:M35)</f>
        <v>402153.879522319</v>
      </c>
      <c r="AA35" s="23" t="n">
        <f aca="false">SUM(N35:Y35)</f>
        <v>558097.087036554</v>
      </c>
      <c r="AB35" s="23" t="n">
        <f aca="false">SUM(B35:Y35)</f>
        <v>960250.966558873</v>
      </c>
    </row>
    <row r="36" customFormat="false" ht="15" hidden="false" customHeight="false" outlineLevel="0" collapsed="false">
      <c r="A36" s="15" t="s">
        <v>179</v>
      </c>
      <c r="B36" s="23" t="n">
        <f aca="false">B29-B35</f>
        <v>11454.1295348837</v>
      </c>
      <c r="C36" s="23" t="n">
        <f aca="false">C29-C35</f>
        <v>13593.6644186047</v>
      </c>
      <c r="D36" s="23" t="n">
        <f aca="false">D29-D35</f>
        <v>15796.9680523256</v>
      </c>
      <c r="E36" s="23" t="n">
        <f aca="false">E29-E35</f>
        <v>18005.8132277132</v>
      </c>
      <c r="F36" s="23" t="n">
        <f aca="false">F29-F35</f>
        <v>20220.1630011563</v>
      </c>
      <c r="G36" s="23" t="n">
        <f aca="false">G29-G35</f>
        <v>22439.9806753347</v>
      </c>
      <c r="H36" s="23" t="n">
        <f aca="false">H29-H35</f>
        <v>36143.225999127</v>
      </c>
      <c r="I36" s="23" t="n">
        <f aca="false">I29-I35</f>
        <v>39112.7450987969</v>
      </c>
      <c r="J36" s="23" t="n">
        <f aca="false">J29-J35</f>
        <v>42089.4410478799</v>
      </c>
      <c r="K36" s="23" t="n">
        <f aca="false">K29-K35</f>
        <v>45073.2660007131</v>
      </c>
      <c r="L36" s="23" t="n">
        <f aca="false">L29-L35</f>
        <v>45203.5036967549</v>
      </c>
      <c r="M36" s="23" t="n">
        <f aca="false">M29-M35</f>
        <v>45332.8731414897</v>
      </c>
      <c r="N36" s="23" t="n">
        <f aca="false">N29-N35</f>
        <v>45461.3801232596</v>
      </c>
      <c r="O36" s="23" t="n">
        <f aca="false">O29-O35</f>
        <v>45589.0303918177</v>
      </c>
      <c r="P36" s="23" t="n">
        <f aca="false">P29-P35</f>
        <v>45687.8609085855</v>
      </c>
      <c r="Q36" s="23" t="n">
        <f aca="false">Q29-Q35</f>
        <v>45786.0325552414</v>
      </c>
      <c r="R36" s="23" t="n">
        <f aca="false">R29-R35</f>
        <v>45883.549724253</v>
      </c>
      <c r="S36" s="23" t="n">
        <f aca="false">S29-S35</f>
        <v>45980.4167788045</v>
      </c>
      <c r="T36" s="23" t="n">
        <f aca="false">T29-T35</f>
        <v>46076.6380529923</v>
      </c>
      <c r="U36" s="23" t="n">
        <f aca="false">U29-U35</f>
        <v>46172.2178520188</v>
      </c>
      <c r="V36" s="23" t="n">
        <f aca="false">V29-V35</f>
        <v>46267.1604523852</v>
      </c>
      <c r="W36" s="23" t="n">
        <f aca="false">W29-W35</f>
        <v>46361.4701020825</v>
      </c>
      <c r="X36" s="23" t="n">
        <f aca="false">X29-X35</f>
        <v>46455.1510207818</v>
      </c>
      <c r="Y36" s="23" t="n">
        <f aca="false">Y29-Y35</f>
        <v>46548.2074000231</v>
      </c>
      <c r="Z36" s="23" t="n">
        <f aca="false">SUM(B36:M36)</f>
        <v>354465.77389478</v>
      </c>
      <c r="AA36" s="23" t="n">
        <f aca="false">SUM(N36:Y36)</f>
        <v>552269.115362245</v>
      </c>
      <c r="AB36" s="23" t="n">
        <f aca="false">SUM(B36:Y36)</f>
        <v>906734.889257025</v>
      </c>
    </row>
    <row r="37" customFormat="false" ht="15" hidden="false" customHeight="false" outlineLevel="0" collapsed="false">
      <c r="A37" s="17" t="s">
        <v>180</v>
      </c>
      <c r="B37" s="20" t="n">
        <f aca="false">IF(B29=0,0,B36/B29)</f>
        <v>0.361355517241379</v>
      </c>
      <c r="C37" s="20" t="n">
        <f aca="false">IF(C29=0,0,C36/C29)</f>
        <v>0.39548550067659</v>
      </c>
      <c r="D37" s="20" t="n">
        <f aca="false">IF(D29=0,0,D36/D29)</f>
        <v>0.425390477154673</v>
      </c>
      <c r="E37" s="20" t="n">
        <f aca="false">IF(E29=0,0,E36/E29)</f>
        <v>0.451205083318846</v>
      </c>
      <c r="F37" s="20" t="n">
        <f aca="false">IF(F29=0,0,F36/F29)</f>
        <v>0.473711606589212</v>
      </c>
      <c r="G37" s="20" t="n">
        <f aca="false">IF(G29=0,0,G36/G29)</f>
        <v>0.493504845832073</v>
      </c>
      <c r="H37" s="20" t="n">
        <f aca="false">IF(H29=0,0,H36/H29)</f>
        <v>0.451817627382166</v>
      </c>
      <c r="I37" s="20" t="n">
        <f aca="false">IF(I29=0,0,I36/I29)</f>
        <v>0.46716544019818</v>
      </c>
      <c r="J37" s="20" t="n">
        <f aca="false">IF(J29=0,0,J36/J29)</f>
        <v>0.481231722249575</v>
      </c>
      <c r="K37" s="20" t="n">
        <f aca="false">IF(K29=0,0,K36/K29)</f>
        <v>0.494169265821656</v>
      </c>
      <c r="L37" s="20" t="n">
        <f aca="false">IF(L29=0,0,L36/L29)</f>
        <v>0.494614709783548</v>
      </c>
      <c r="M37" s="20" t="n">
        <f aca="false">IF(M29=0,0,M36/M29)</f>
        <v>0.495055439134312</v>
      </c>
      <c r="N37" s="20" t="n">
        <f aca="false">IF(N29=0,0,N36/N29)</f>
        <v>0.495491518625267</v>
      </c>
      <c r="O37" s="20" t="n">
        <f aca="false">IF(O29=0,0,O36/O29)</f>
        <v>0.495923011854472</v>
      </c>
      <c r="P37" s="20" t="n">
        <f aca="false">IF(P29=0,0,P36/P29)</f>
        <v>0.496255943138375</v>
      </c>
      <c r="Q37" s="20" t="n">
        <f aca="false">IF(Q29=0,0,Q36/Q29)</f>
        <v>0.496585671937918</v>
      </c>
      <c r="R37" s="20" t="n">
        <f aca="false">IF(R29=0,0,R36/R29)</f>
        <v>0.496912236968504</v>
      </c>
      <c r="S37" s="20" t="n">
        <f aca="false">IF(S29=0,0,S36/S29)</f>
        <v>0.497235676346338</v>
      </c>
      <c r="T37" s="20" t="n">
        <f aca="false">IF(T29=0,0,T36/T29)</f>
        <v>0.497556027599979</v>
      </c>
      <c r="U37" s="20" t="n">
        <f aca="false">IF(U29=0,0,U36/U29)</f>
        <v>0.497873327681627</v>
      </c>
      <c r="V37" s="20" t="n">
        <f aca="false">IF(V29=0,0,V36/V29)</f>
        <v>0.498187612978147</v>
      </c>
      <c r="W37" s="20" t="n">
        <f aca="false">IF(W29=0,0,W36/W29)</f>
        <v>0.49849891932184</v>
      </c>
      <c r="X37" s="20" t="n">
        <f aca="false">IF(X29=0,0,X36/X29)</f>
        <v>0.498807282000976</v>
      </c>
      <c r="Y37" s="20" t="n">
        <f aca="false">IF(Y29=0,0,Y36/Y29)</f>
        <v>0.499112735770073</v>
      </c>
      <c r="Z37" s="2"/>
      <c r="AA37" s="2"/>
      <c r="AB37" s="2"/>
    </row>
    <row r="38" customFormat="false" ht="15" hidden="false" customHeight="false" outlineLevel="0" collapsed="false">
      <c r="A38" s="4" t="s">
        <v>181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customFormat="false" ht="15" hidden="false" customHeight="false" outlineLevel="0" collapsed="false">
      <c r="A39" s="17" t="s">
        <v>182</v>
      </c>
      <c r="B39" s="22" t="n">
        <f aca="false">Assumptions!$B$55</f>
        <v>6000</v>
      </c>
      <c r="C39" s="22" t="n">
        <f aca="false">Assumptions!$B$55</f>
        <v>6000</v>
      </c>
      <c r="D39" s="22" t="n">
        <f aca="false">Assumptions!$B$55</f>
        <v>6000</v>
      </c>
      <c r="E39" s="22" t="n">
        <f aca="false">Assumptions!$B$55</f>
        <v>6000</v>
      </c>
      <c r="F39" s="22" t="n">
        <f aca="false">Assumptions!$B$55</f>
        <v>6000</v>
      </c>
      <c r="G39" s="22" t="n">
        <f aca="false">Assumptions!$B$55</f>
        <v>6000</v>
      </c>
      <c r="H39" s="22" t="n">
        <f aca="false">Assumptions!$B$55</f>
        <v>6000</v>
      </c>
      <c r="I39" s="22" t="n">
        <f aca="false">Assumptions!$B$55</f>
        <v>6000</v>
      </c>
      <c r="J39" s="22" t="n">
        <f aca="false">Assumptions!$B$55</f>
        <v>6000</v>
      </c>
      <c r="K39" s="22" t="n">
        <f aca="false">Assumptions!$B$55</f>
        <v>6000</v>
      </c>
      <c r="L39" s="22" t="n">
        <f aca="false">Assumptions!$B$55</f>
        <v>6000</v>
      </c>
      <c r="M39" s="22" t="n">
        <f aca="false">Assumptions!$B$55</f>
        <v>6000</v>
      </c>
      <c r="N39" s="22" t="n">
        <f aca="false">Assumptions!$B$55</f>
        <v>6000</v>
      </c>
      <c r="O39" s="22" t="n">
        <f aca="false">Assumptions!$B$55</f>
        <v>6000</v>
      </c>
      <c r="P39" s="22" t="n">
        <f aca="false">Assumptions!$B$55</f>
        <v>6000</v>
      </c>
      <c r="Q39" s="22" t="n">
        <f aca="false">Assumptions!$B$55</f>
        <v>6000</v>
      </c>
      <c r="R39" s="22" t="n">
        <f aca="false">Assumptions!$B$55</f>
        <v>6000</v>
      </c>
      <c r="S39" s="22" t="n">
        <f aca="false">Assumptions!$B$55</f>
        <v>6000</v>
      </c>
      <c r="T39" s="22" t="n">
        <f aca="false">Assumptions!$B$55</f>
        <v>6000</v>
      </c>
      <c r="U39" s="22" t="n">
        <f aca="false">Assumptions!$B$55</f>
        <v>6000</v>
      </c>
      <c r="V39" s="22" t="n">
        <f aca="false">Assumptions!$B$55</f>
        <v>6000</v>
      </c>
      <c r="W39" s="22" t="n">
        <f aca="false">Assumptions!$B$55</f>
        <v>6000</v>
      </c>
      <c r="X39" s="22" t="n">
        <f aca="false">Assumptions!$B$55</f>
        <v>6000</v>
      </c>
      <c r="Y39" s="22" t="n">
        <f aca="false">Assumptions!$B$55</f>
        <v>6000</v>
      </c>
      <c r="Z39" s="22" t="n">
        <f aca="false">SUM(B39:M39)</f>
        <v>72000</v>
      </c>
      <c r="AA39" s="22" t="n">
        <f aca="false">SUM(N39:Y39)</f>
        <v>72000</v>
      </c>
      <c r="AB39" s="22" t="n">
        <f aca="false">SUM(B39:Y39)</f>
        <v>144000</v>
      </c>
    </row>
    <row r="40" customFormat="false" ht="15" hidden="false" customHeight="false" outlineLevel="0" collapsed="false">
      <c r="A40" s="17" t="s">
        <v>183</v>
      </c>
      <c r="B40" s="22" t="n">
        <f aca="false">Assumptions!$B$56</f>
        <v>900</v>
      </c>
      <c r="C40" s="22" t="n">
        <f aca="false">Assumptions!$B$56</f>
        <v>900</v>
      </c>
      <c r="D40" s="22" t="n">
        <f aca="false">Assumptions!$B$56</f>
        <v>900</v>
      </c>
      <c r="E40" s="22" t="n">
        <f aca="false">Assumptions!$B$56</f>
        <v>900</v>
      </c>
      <c r="F40" s="22" t="n">
        <f aca="false">Assumptions!$B$56</f>
        <v>900</v>
      </c>
      <c r="G40" s="22" t="n">
        <f aca="false">Assumptions!$B$56</f>
        <v>900</v>
      </c>
      <c r="H40" s="22" t="n">
        <f aca="false">Assumptions!$B$56</f>
        <v>900</v>
      </c>
      <c r="I40" s="22" t="n">
        <f aca="false">Assumptions!$B$56</f>
        <v>900</v>
      </c>
      <c r="J40" s="22" t="n">
        <f aca="false">Assumptions!$B$56</f>
        <v>900</v>
      </c>
      <c r="K40" s="22" t="n">
        <f aca="false">Assumptions!$B$56</f>
        <v>900</v>
      </c>
      <c r="L40" s="22" t="n">
        <f aca="false">Assumptions!$B$56</f>
        <v>900</v>
      </c>
      <c r="M40" s="22" t="n">
        <f aca="false">Assumptions!$B$56</f>
        <v>900</v>
      </c>
      <c r="N40" s="22" t="n">
        <f aca="false">Assumptions!$B$56</f>
        <v>900</v>
      </c>
      <c r="O40" s="22" t="n">
        <f aca="false">Assumptions!$B$56</f>
        <v>900</v>
      </c>
      <c r="P40" s="22" t="n">
        <f aca="false">Assumptions!$B$56</f>
        <v>900</v>
      </c>
      <c r="Q40" s="22" t="n">
        <f aca="false">Assumptions!$B$56</f>
        <v>900</v>
      </c>
      <c r="R40" s="22" t="n">
        <f aca="false">Assumptions!$B$56</f>
        <v>900</v>
      </c>
      <c r="S40" s="22" t="n">
        <f aca="false">Assumptions!$B$56</f>
        <v>900</v>
      </c>
      <c r="T40" s="22" t="n">
        <f aca="false">Assumptions!$B$56</f>
        <v>900</v>
      </c>
      <c r="U40" s="22" t="n">
        <f aca="false">Assumptions!$B$56</f>
        <v>900</v>
      </c>
      <c r="V40" s="22" t="n">
        <f aca="false">Assumptions!$B$56</f>
        <v>900</v>
      </c>
      <c r="W40" s="22" t="n">
        <f aca="false">Assumptions!$B$56</f>
        <v>900</v>
      </c>
      <c r="X40" s="22" t="n">
        <f aca="false">Assumptions!$B$56</f>
        <v>900</v>
      </c>
      <c r="Y40" s="22" t="n">
        <f aca="false">Assumptions!$B$56</f>
        <v>900</v>
      </c>
      <c r="Z40" s="22" t="n">
        <f aca="false">SUM(B40:M40)</f>
        <v>10800</v>
      </c>
      <c r="AA40" s="22" t="n">
        <f aca="false">SUM(N40:Y40)</f>
        <v>10800</v>
      </c>
      <c r="AB40" s="22" t="n">
        <f aca="false">SUM(B40:Y40)</f>
        <v>21600</v>
      </c>
    </row>
    <row r="41" customFormat="false" ht="15" hidden="false" customHeight="false" outlineLevel="0" collapsed="false">
      <c r="A41" s="17" t="s">
        <v>184</v>
      </c>
      <c r="B41" s="22" t="n">
        <f aca="false">Assumptions!$B$57</f>
        <v>1800</v>
      </c>
      <c r="C41" s="22" t="n">
        <f aca="false">Assumptions!$B$57</f>
        <v>1800</v>
      </c>
      <c r="D41" s="22" t="n">
        <f aca="false">Assumptions!$B$57</f>
        <v>1800</v>
      </c>
      <c r="E41" s="22" t="n">
        <f aca="false">Assumptions!$B$57</f>
        <v>1800</v>
      </c>
      <c r="F41" s="22" t="n">
        <f aca="false">Assumptions!$B$57</f>
        <v>1800</v>
      </c>
      <c r="G41" s="22" t="n">
        <f aca="false">Assumptions!$B$57</f>
        <v>1800</v>
      </c>
      <c r="H41" s="22" t="n">
        <f aca="false">Assumptions!$B$57</f>
        <v>1800</v>
      </c>
      <c r="I41" s="22" t="n">
        <f aca="false">Assumptions!$B$57</f>
        <v>1800</v>
      </c>
      <c r="J41" s="22" t="n">
        <f aca="false">Assumptions!$B$57</f>
        <v>1800</v>
      </c>
      <c r="K41" s="22" t="n">
        <f aca="false">Assumptions!$B$57</f>
        <v>1800</v>
      </c>
      <c r="L41" s="22" t="n">
        <f aca="false">Assumptions!$B$57</f>
        <v>1800</v>
      </c>
      <c r="M41" s="22" t="n">
        <f aca="false">Assumptions!$B$57</f>
        <v>1800</v>
      </c>
      <c r="N41" s="22" t="n">
        <f aca="false">Assumptions!$B$57</f>
        <v>1800</v>
      </c>
      <c r="O41" s="22" t="n">
        <f aca="false">Assumptions!$B$57</f>
        <v>1800</v>
      </c>
      <c r="P41" s="22" t="n">
        <f aca="false">Assumptions!$B$57</f>
        <v>1800</v>
      </c>
      <c r="Q41" s="22" t="n">
        <f aca="false">Assumptions!$B$57</f>
        <v>1800</v>
      </c>
      <c r="R41" s="22" t="n">
        <f aca="false">Assumptions!$B$57</f>
        <v>1800</v>
      </c>
      <c r="S41" s="22" t="n">
        <f aca="false">Assumptions!$B$57</f>
        <v>1800</v>
      </c>
      <c r="T41" s="22" t="n">
        <f aca="false">Assumptions!$B$57</f>
        <v>1800</v>
      </c>
      <c r="U41" s="22" t="n">
        <f aca="false">Assumptions!$B$57</f>
        <v>1800</v>
      </c>
      <c r="V41" s="22" t="n">
        <f aca="false">Assumptions!$B$57</f>
        <v>1800</v>
      </c>
      <c r="W41" s="22" t="n">
        <f aca="false">Assumptions!$B$57</f>
        <v>1800</v>
      </c>
      <c r="X41" s="22" t="n">
        <f aca="false">Assumptions!$B$57</f>
        <v>1800</v>
      </c>
      <c r="Y41" s="22" t="n">
        <f aca="false">Assumptions!$B$57</f>
        <v>1800</v>
      </c>
      <c r="Z41" s="22" t="n">
        <f aca="false">SUM(B41:M41)</f>
        <v>21600</v>
      </c>
      <c r="AA41" s="22" t="n">
        <f aca="false">SUM(N41:Y41)</f>
        <v>21600</v>
      </c>
      <c r="AB41" s="22" t="n">
        <f aca="false">SUM(B41:Y41)</f>
        <v>43200</v>
      </c>
    </row>
    <row r="42" customFormat="false" ht="15" hidden="false" customHeight="false" outlineLevel="0" collapsed="false">
      <c r="A42" s="17" t="s">
        <v>185</v>
      </c>
      <c r="B42" s="22" t="n">
        <f aca="false">Assumptions!$B$58</f>
        <v>350</v>
      </c>
      <c r="C42" s="22" t="n">
        <f aca="false">Assumptions!$B$58</f>
        <v>350</v>
      </c>
      <c r="D42" s="22" t="n">
        <f aca="false">Assumptions!$B$58</f>
        <v>350</v>
      </c>
      <c r="E42" s="22" t="n">
        <f aca="false">Assumptions!$B$58</f>
        <v>350</v>
      </c>
      <c r="F42" s="22" t="n">
        <f aca="false">Assumptions!$B$58</f>
        <v>350</v>
      </c>
      <c r="G42" s="22" t="n">
        <f aca="false">Assumptions!$B$58</f>
        <v>350</v>
      </c>
      <c r="H42" s="22" t="n">
        <f aca="false">Assumptions!$B$58</f>
        <v>350</v>
      </c>
      <c r="I42" s="22" t="n">
        <f aca="false">Assumptions!$B$58</f>
        <v>350</v>
      </c>
      <c r="J42" s="22" t="n">
        <f aca="false">Assumptions!$B$58</f>
        <v>350</v>
      </c>
      <c r="K42" s="22" t="n">
        <f aca="false">Assumptions!$B$58</f>
        <v>350</v>
      </c>
      <c r="L42" s="22" t="n">
        <f aca="false">Assumptions!$B$58</f>
        <v>350</v>
      </c>
      <c r="M42" s="22" t="n">
        <f aca="false">Assumptions!$B$58</f>
        <v>350</v>
      </c>
      <c r="N42" s="22" t="n">
        <f aca="false">Assumptions!$B$58</f>
        <v>350</v>
      </c>
      <c r="O42" s="22" t="n">
        <f aca="false">Assumptions!$B$58</f>
        <v>350</v>
      </c>
      <c r="P42" s="22" t="n">
        <f aca="false">Assumptions!$B$58</f>
        <v>350</v>
      </c>
      <c r="Q42" s="22" t="n">
        <f aca="false">Assumptions!$B$58</f>
        <v>350</v>
      </c>
      <c r="R42" s="22" t="n">
        <f aca="false">Assumptions!$B$58</f>
        <v>350</v>
      </c>
      <c r="S42" s="22" t="n">
        <f aca="false">Assumptions!$B$58</f>
        <v>350</v>
      </c>
      <c r="T42" s="22" t="n">
        <f aca="false">Assumptions!$B$58</f>
        <v>350</v>
      </c>
      <c r="U42" s="22" t="n">
        <f aca="false">Assumptions!$B$58</f>
        <v>350</v>
      </c>
      <c r="V42" s="22" t="n">
        <f aca="false">Assumptions!$B$58</f>
        <v>350</v>
      </c>
      <c r="W42" s="22" t="n">
        <f aca="false">Assumptions!$B$58</f>
        <v>350</v>
      </c>
      <c r="X42" s="22" t="n">
        <f aca="false">Assumptions!$B$58</f>
        <v>350</v>
      </c>
      <c r="Y42" s="22" t="n">
        <f aca="false">Assumptions!$B$58</f>
        <v>350</v>
      </c>
      <c r="Z42" s="22" t="n">
        <f aca="false">SUM(B42:M42)</f>
        <v>4200</v>
      </c>
      <c r="AA42" s="22" t="n">
        <f aca="false">SUM(N42:Y42)</f>
        <v>4200</v>
      </c>
      <c r="AB42" s="22" t="n">
        <f aca="false">SUM(B42:Y42)</f>
        <v>8400</v>
      </c>
    </row>
    <row r="43" customFormat="false" ht="15" hidden="false" customHeight="false" outlineLevel="0" collapsed="false">
      <c r="A43" s="17" t="s">
        <v>186</v>
      </c>
      <c r="B43" s="22" t="n">
        <f aca="false">Assumptions!$B$59</f>
        <v>250</v>
      </c>
      <c r="C43" s="22" t="n">
        <f aca="false">Assumptions!$B$59</f>
        <v>250</v>
      </c>
      <c r="D43" s="22" t="n">
        <f aca="false">Assumptions!$B$59</f>
        <v>250</v>
      </c>
      <c r="E43" s="22" t="n">
        <f aca="false">Assumptions!$B$59</f>
        <v>250</v>
      </c>
      <c r="F43" s="22" t="n">
        <f aca="false">Assumptions!$B$59</f>
        <v>250</v>
      </c>
      <c r="G43" s="22" t="n">
        <f aca="false">Assumptions!$B$59</f>
        <v>250</v>
      </c>
      <c r="H43" s="22" t="n">
        <f aca="false">Assumptions!$B$59</f>
        <v>250</v>
      </c>
      <c r="I43" s="22" t="n">
        <f aca="false">Assumptions!$B$59</f>
        <v>250</v>
      </c>
      <c r="J43" s="22" t="n">
        <f aca="false">Assumptions!$B$59</f>
        <v>250</v>
      </c>
      <c r="K43" s="22" t="n">
        <f aca="false">Assumptions!$B$59</f>
        <v>250</v>
      </c>
      <c r="L43" s="22" t="n">
        <f aca="false">Assumptions!$B$59</f>
        <v>250</v>
      </c>
      <c r="M43" s="22" t="n">
        <f aca="false">Assumptions!$B$59</f>
        <v>250</v>
      </c>
      <c r="N43" s="22" t="n">
        <f aca="false">Assumptions!$B$59</f>
        <v>250</v>
      </c>
      <c r="O43" s="22" t="n">
        <f aca="false">Assumptions!$B$59</f>
        <v>250</v>
      </c>
      <c r="P43" s="22" t="n">
        <f aca="false">Assumptions!$B$59</f>
        <v>250</v>
      </c>
      <c r="Q43" s="22" t="n">
        <f aca="false">Assumptions!$B$59</f>
        <v>250</v>
      </c>
      <c r="R43" s="22" t="n">
        <f aca="false">Assumptions!$B$59</f>
        <v>250</v>
      </c>
      <c r="S43" s="22" t="n">
        <f aca="false">Assumptions!$B$59</f>
        <v>250</v>
      </c>
      <c r="T43" s="22" t="n">
        <f aca="false">Assumptions!$B$59</f>
        <v>250</v>
      </c>
      <c r="U43" s="22" t="n">
        <f aca="false">Assumptions!$B$59</f>
        <v>250</v>
      </c>
      <c r="V43" s="22" t="n">
        <f aca="false">Assumptions!$B$59</f>
        <v>250</v>
      </c>
      <c r="W43" s="22" t="n">
        <f aca="false">Assumptions!$B$59</f>
        <v>250</v>
      </c>
      <c r="X43" s="22" t="n">
        <f aca="false">Assumptions!$B$59</f>
        <v>250</v>
      </c>
      <c r="Y43" s="22" t="n">
        <f aca="false">Assumptions!$B$59</f>
        <v>250</v>
      </c>
      <c r="Z43" s="22" t="n">
        <f aca="false">SUM(B43:M43)</f>
        <v>3000</v>
      </c>
      <c r="AA43" s="22" t="n">
        <f aca="false">SUM(N43:Y43)</f>
        <v>3000</v>
      </c>
      <c r="AB43" s="22" t="n">
        <f aca="false">SUM(B43:Y43)</f>
        <v>6000</v>
      </c>
    </row>
    <row r="44" customFormat="false" ht="15" hidden="false" customHeight="false" outlineLevel="0" collapsed="false">
      <c r="A44" s="17" t="s">
        <v>187</v>
      </c>
      <c r="B44" s="22" t="n">
        <f aca="false">Assumptions!$B$60</f>
        <v>600</v>
      </c>
      <c r="C44" s="22" t="n">
        <f aca="false">Assumptions!$B$60</f>
        <v>600</v>
      </c>
      <c r="D44" s="22" t="n">
        <f aca="false">Assumptions!$B$60</f>
        <v>600</v>
      </c>
      <c r="E44" s="22" t="n">
        <f aca="false">Assumptions!$B$60</f>
        <v>600</v>
      </c>
      <c r="F44" s="22" t="n">
        <f aca="false">Assumptions!$B$60</f>
        <v>600</v>
      </c>
      <c r="G44" s="22" t="n">
        <f aca="false">Assumptions!$B$60</f>
        <v>600</v>
      </c>
      <c r="H44" s="22" t="n">
        <f aca="false">Assumptions!$B$60</f>
        <v>600</v>
      </c>
      <c r="I44" s="22" t="n">
        <f aca="false">Assumptions!$B$60</f>
        <v>600</v>
      </c>
      <c r="J44" s="22" t="n">
        <f aca="false">Assumptions!$B$60</f>
        <v>600</v>
      </c>
      <c r="K44" s="22" t="n">
        <f aca="false">Assumptions!$B$60</f>
        <v>600</v>
      </c>
      <c r="L44" s="22" t="n">
        <f aca="false">Assumptions!$B$60</f>
        <v>600</v>
      </c>
      <c r="M44" s="22" t="n">
        <f aca="false">Assumptions!$B$60</f>
        <v>600</v>
      </c>
      <c r="N44" s="22" t="n">
        <f aca="false">Assumptions!$B$60</f>
        <v>600</v>
      </c>
      <c r="O44" s="22" t="n">
        <f aca="false">Assumptions!$B$60</f>
        <v>600</v>
      </c>
      <c r="P44" s="22" t="n">
        <f aca="false">Assumptions!$B$60</f>
        <v>600</v>
      </c>
      <c r="Q44" s="22" t="n">
        <f aca="false">Assumptions!$B$60</f>
        <v>600</v>
      </c>
      <c r="R44" s="22" t="n">
        <f aca="false">Assumptions!$B$60</f>
        <v>600</v>
      </c>
      <c r="S44" s="22" t="n">
        <f aca="false">Assumptions!$B$60</f>
        <v>600</v>
      </c>
      <c r="T44" s="22" t="n">
        <f aca="false">Assumptions!$B$60</f>
        <v>600</v>
      </c>
      <c r="U44" s="22" t="n">
        <f aca="false">Assumptions!$B$60</f>
        <v>600</v>
      </c>
      <c r="V44" s="22" t="n">
        <f aca="false">Assumptions!$B$60</f>
        <v>600</v>
      </c>
      <c r="W44" s="22" t="n">
        <f aca="false">Assumptions!$B$60</f>
        <v>600</v>
      </c>
      <c r="X44" s="22" t="n">
        <f aca="false">Assumptions!$B$60</f>
        <v>600</v>
      </c>
      <c r="Y44" s="22" t="n">
        <f aca="false">Assumptions!$B$60</f>
        <v>600</v>
      </c>
      <c r="Z44" s="22" t="n">
        <f aca="false">SUM(B44:M44)</f>
        <v>7200</v>
      </c>
      <c r="AA44" s="22" t="n">
        <f aca="false">SUM(N44:Y44)</f>
        <v>7200</v>
      </c>
      <c r="AB44" s="22" t="n">
        <f aca="false">SUM(B44:Y44)</f>
        <v>14400</v>
      </c>
    </row>
    <row r="45" customFormat="false" ht="15" hidden="false" customHeight="false" outlineLevel="0" collapsed="false">
      <c r="A45" s="17" t="s">
        <v>188</v>
      </c>
      <c r="B45" s="22" t="n">
        <f aca="false">Assumptions!$B$61</f>
        <v>0</v>
      </c>
      <c r="C45" s="22" t="n">
        <f aca="false">Assumptions!$B$61</f>
        <v>0</v>
      </c>
      <c r="D45" s="22" t="n">
        <f aca="false">Assumptions!$B$61</f>
        <v>0</v>
      </c>
      <c r="E45" s="22" t="n">
        <f aca="false">Assumptions!$B$61</f>
        <v>0</v>
      </c>
      <c r="F45" s="22" t="n">
        <f aca="false">Assumptions!$B$61</f>
        <v>0</v>
      </c>
      <c r="G45" s="22" t="n">
        <f aca="false">Assumptions!$B$61</f>
        <v>0</v>
      </c>
      <c r="H45" s="22" t="n">
        <f aca="false">Assumptions!$B$61</f>
        <v>0</v>
      </c>
      <c r="I45" s="22" t="n">
        <f aca="false">Assumptions!$B$61</f>
        <v>0</v>
      </c>
      <c r="J45" s="22" t="n">
        <f aca="false">Assumptions!$B$61</f>
        <v>0</v>
      </c>
      <c r="K45" s="22" t="n">
        <f aca="false">Assumptions!$B$61</f>
        <v>0</v>
      </c>
      <c r="L45" s="22" t="n">
        <f aca="false">Assumptions!$B$61</f>
        <v>0</v>
      </c>
      <c r="M45" s="22" t="n">
        <f aca="false">Assumptions!$B$61</f>
        <v>0</v>
      </c>
      <c r="N45" s="22" t="n">
        <f aca="false">Assumptions!$B$61</f>
        <v>0</v>
      </c>
      <c r="O45" s="22" t="n">
        <f aca="false">Assumptions!$B$61</f>
        <v>0</v>
      </c>
      <c r="P45" s="22" t="n">
        <f aca="false">Assumptions!$B$61</f>
        <v>0</v>
      </c>
      <c r="Q45" s="22" t="n">
        <f aca="false">Assumptions!$B$61</f>
        <v>0</v>
      </c>
      <c r="R45" s="22" t="n">
        <f aca="false">Assumptions!$B$61</f>
        <v>0</v>
      </c>
      <c r="S45" s="22" t="n">
        <f aca="false">Assumptions!$B$61</f>
        <v>0</v>
      </c>
      <c r="T45" s="22" t="n">
        <f aca="false">Assumptions!$B$61</f>
        <v>0</v>
      </c>
      <c r="U45" s="22" t="n">
        <f aca="false">Assumptions!$B$61</f>
        <v>0</v>
      </c>
      <c r="V45" s="22" t="n">
        <f aca="false">Assumptions!$B$61</f>
        <v>0</v>
      </c>
      <c r="W45" s="22" t="n">
        <f aca="false">Assumptions!$B$61</f>
        <v>0</v>
      </c>
      <c r="X45" s="22" t="n">
        <f aca="false">Assumptions!$B$61</f>
        <v>0</v>
      </c>
      <c r="Y45" s="22" t="n">
        <f aca="false">Assumptions!$B$61</f>
        <v>0</v>
      </c>
      <c r="Z45" s="22" t="n">
        <f aca="false">SUM(B45:M45)</f>
        <v>0</v>
      </c>
      <c r="AA45" s="22" t="n">
        <f aca="false">SUM(N45:Y45)</f>
        <v>0</v>
      </c>
      <c r="AB45" s="22" t="n">
        <f aca="false">SUM(B45:Y45)</f>
        <v>0</v>
      </c>
    </row>
    <row r="46" customFormat="false" ht="15" hidden="false" customHeight="false" outlineLevel="0" collapsed="false">
      <c r="A46" s="17" t="s">
        <v>189</v>
      </c>
      <c r="B46" s="22" t="n">
        <f aca="false">Assumptions!$B$62</f>
        <v>0</v>
      </c>
      <c r="C46" s="22" t="n">
        <f aca="false">Assumptions!$B$62</f>
        <v>0</v>
      </c>
      <c r="D46" s="22" t="n">
        <f aca="false">Assumptions!$B$62</f>
        <v>0</v>
      </c>
      <c r="E46" s="22" t="n">
        <f aca="false">Assumptions!$B$62</f>
        <v>0</v>
      </c>
      <c r="F46" s="22" t="n">
        <f aca="false">Assumptions!$B$62</f>
        <v>0</v>
      </c>
      <c r="G46" s="22" t="n">
        <f aca="false">Assumptions!$B$62</f>
        <v>0</v>
      </c>
      <c r="H46" s="22" t="n">
        <f aca="false">Assumptions!$B$62</f>
        <v>0</v>
      </c>
      <c r="I46" s="22" t="n">
        <f aca="false">Assumptions!$B$62</f>
        <v>0</v>
      </c>
      <c r="J46" s="22" t="n">
        <f aca="false">Assumptions!$B$62</f>
        <v>0</v>
      </c>
      <c r="K46" s="22" t="n">
        <f aca="false">Assumptions!$B$62</f>
        <v>0</v>
      </c>
      <c r="L46" s="22" t="n">
        <f aca="false">Assumptions!$B$62</f>
        <v>0</v>
      </c>
      <c r="M46" s="22" t="n">
        <f aca="false">Assumptions!$B$62</f>
        <v>0</v>
      </c>
      <c r="N46" s="22" t="n">
        <f aca="false">Assumptions!$B$62</f>
        <v>0</v>
      </c>
      <c r="O46" s="22" t="n">
        <f aca="false">Assumptions!$B$62</f>
        <v>0</v>
      </c>
      <c r="P46" s="22" t="n">
        <f aca="false">Assumptions!$B$62</f>
        <v>0</v>
      </c>
      <c r="Q46" s="22" t="n">
        <f aca="false">Assumptions!$B$62</f>
        <v>0</v>
      </c>
      <c r="R46" s="22" t="n">
        <f aca="false">Assumptions!$B$62</f>
        <v>0</v>
      </c>
      <c r="S46" s="22" t="n">
        <f aca="false">Assumptions!$B$62</f>
        <v>0</v>
      </c>
      <c r="T46" s="22" t="n">
        <f aca="false">Assumptions!$B$62</f>
        <v>0</v>
      </c>
      <c r="U46" s="22" t="n">
        <f aca="false">Assumptions!$B$62</f>
        <v>0</v>
      </c>
      <c r="V46" s="22" t="n">
        <f aca="false">Assumptions!$B$62</f>
        <v>0</v>
      </c>
      <c r="W46" s="22" t="n">
        <f aca="false">Assumptions!$B$62</f>
        <v>0</v>
      </c>
      <c r="X46" s="22" t="n">
        <f aca="false">Assumptions!$B$62</f>
        <v>0</v>
      </c>
      <c r="Y46" s="22" t="n">
        <f aca="false">Assumptions!$B$62</f>
        <v>0</v>
      </c>
      <c r="Z46" s="22" t="n">
        <f aca="false">SUM(B46:M46)</f>
        <v>0</v>
      </c>
      <c r="AA46" s="22" t="n">
        <f aca="false">SUM(N46:Y46)</f>
        <v>0</v>
      </c>
      <c r="AB46" s="22" t="n">
        <f aca="false">SUM(B46:Y46)</f>
        <v>0</v>
      </c>
    </row>
    <row r="47" customFormat="false" ht="15" hidden="false" customHeight="false" outlineLevel="0" collapsed="false">
      <c r="A47" s="17" t="s">
        <v>190</v>
      </c>
      <c r="B47" s="22" t="n">
        <f aca="false">Assumptions!$B$41*IF(1&gt;=Assumptions!$B$12,Assumptions!$B$52,1)</f>
        <v>900</v>
      </c>
      <c r="C47" s="22" t="n">
        <f aca="false">Assumptions!$B$41*IF(2&gt;=Assumptions!$B$12,Assumptions!$B$52,1)</f>
        <v>900</v>
      </c>
      <c r="D47" s="22" t="n">
        <f aca="false">Assumptions!$B$41*IF(3&gt;=Assumptions!$B$12,Assumptions!$B$52,1)</f>
        <v>900</v>
      </c>
      <c r="E47" s="22" t="n">
        <f aca="false">Assumptions!$B$41*IF(4&gt;=Assumptions!$B$12,Assumptions!$B$52,1)</f>
        <v>900</v>
      </c>
      <c r="F47" s="22" t="n">
        <f aca="false">Assumptions!$B$41*IF(5&gt;=Assumptions!$B$12,Assumptions!$B$52,1)</f>
        <v>900</v>
      </c>
      <c r="G47" s="22" t="n">
        <f aca="false">Assumptions!$B$41*IF(6&gt;=Assumptions!$B$12,Assumptions!$B$52,1)</f>
        <v>900</v>
      </c>
      <c r="H47" s="22" t="n">
        <f aca="false">Assumptions!$B$41*IF(7&gt;=Assumptions!$B$12,Assumptions!$B$52,1)</f>
        <v>1440</v>
      </c>
      <c r="I47" s="22" t="n">
        <f aca="false">Assumptions!$B$41*IF(8&gt;=Assumptions!$B$12,Assumptions!$B$52,1)</f>
        <v>1440</v>
      </c>
      <c r="J47" s="22" t="n">
        <f aca="false">Assumptions!$B$41*IF(9&gt;=Assumptions!$B$12,Assumptions!$B$52,1)</f>
        <v>1440</v>
      </c>
      <c r="K47" s="22" t="n">
        <f aca="false">Assumptions!$B$41*IF(10&gt;=Assumptions!$B$12,Assumptions!$B$52,1)</f>
        <v>1440</v>
      </c>
      <c r="L47" s="22" t="n">
        <f aca="false">Assumptions!$B$41*IF(11&gt;=Assumptions!$B$12,Assumptions!$B$52,1)</f>
        <v>1440</v>
      </c>
      <c r="M47" s="22" t="n">
        <f aca="false">Assumptions!$B$41*IF(12&gt;=Assumptions!$B$12,Assumptions!$B$52,1)</f>
        <v>1440</v>
      </c>
      <c r="N47" s="22" t="n">
        <f aca="false">Assumptions!$B$41*IF(13&gt;=Assumptions!$B$12,Assumptions!$B$52,1)</f>
        <v>1440</v>
      </c>
      <c r="O47" s="22" t="n">
        <f aca="false">Assumptions!$B$41*IF(14&gt;=Assumptions!$B$12,Assumptions!$B$52,1)</f>
        <v>1440</v>
      </c>
      <c r="P47" s="22" t="n">
        <f aca="false">Assumptions!$B$41*IF(15&gt;=Assumptions!$B$12,Assumptions!$B$52,1)</f>
        <v>1440</v>
      </c>
      <c r="Q47" s="22" t="n">
        <f aca="false">Assumptions!$B$41*IF(16&gt;=Assumptions!$B$12,Assumptions!$B$52,1)</f>
        <v>1440</v>
      </c>
      <c r="R47" s="22" t="n">
        <f aca="false">Assumptions!$B$41*IF(17&gt;=Assumptions!$B$12,Assumptions!$B$52,1)</f>
        <v>1440</v>
      </c>
      <c r="S47" s="22" t="n">
        <f aca="false">Assumptions!$B$41*IF(18&gt;=Assumptions!$B$12,Assumptions!$B$52,1)</f>
        <v>1440</v>
      </c>
      <c r="T47" s="22" t="n">
        <f aca="false">Assumptions!$B$41*IF(19&gt;=Assumptions!$B$12,Assumptions!$B$52,1)</f>
        <v>1440</v>
      </c>
      <c r="U47" s="22" t="n">
        <f aca="false">Assumptions!$B$41*IF(20&gt;=Assumptions!$B$12,Assumptions!$B$52,1)</f>
        <v>1440</v>
      </c>
      <c r="V47" s="22" t="n">
        <f aca="false">Assumptions!$B$41*IF(21&gt;=Assumptions!$B$12,Assumptions!$B$52,1)</f>
        <v>1440</v>
      </c>
      <c r="W47" s="22" t="n">
        <f aca="false">Assumptions!$B$41*IF(22&gt;=Assumptions!$B$12,Assumptions!$B$52,1)</f>
        <v>1440</v>
      </c>
      <c r="X47" s="22" t="n">
        <f aca="false">Assumptions!$B$41*IF(23&gt;=Assumptions!$B$12,Assumptions!$B$52,1)</f>
        <v>1440</v>
      </c>
      <c r="Y47" s="22" t="n">
        <f aca="false">Assumptions!$B$41*IF(24&gt;=Assumptions!$B$12,Assumptions!$B$52,1)</f>
        <v>1440</v>
      </c>
      <c r="Z47" s="22" t="n">
        <f aca="false">SUM(B47:M47)</f>
        <v>14040</v>
      </c>
      <c r="AA47" s="22" t="n">
        <f aca="false">SUM(N47:Y47)</f>
        <v>17280</v>
      </c>
      <c r="AB47" s="22" t="n">
        <f aca="false">SUM(B47:Y47)</f>
        <v>31320</v>
      </c>
    </row>
    <row r="48" customFormat="false" ht="15" hidden="false" customHeight="false" outlineLevel="0" collapsed="false">
      <c r="A48" s="17" t="s">
        <v>191</v>
      </c>
      <c r="B48" s="22" t="n">
        <f aca="false">IF(1&gt;=2,Assumptions!$B$44*IF(1&gt;=Assumptions!$B$12,Assumptions!$B$52,1),0)</f>
        <v>0</v>
      </c>
      <c r="C48" s="22" t="n">
        <f aca="false">IF(2&gt;=2,Assumptions!$B$44*IF(2&gt;=Assumptions!$B$12,Assumptions!$B$52,1),0)</f>
        <v>600</v>
      </c>
      <c r="D48" s="22" t="n">
        <f aca="false">IF(3&gt;=2,Assumptions!$B$44*IF(3&gt;=Assumptions!$B$12,Assumptions!$B$52,1),0)</f>
        <v>600</v>
      </c>
      <c r="E48" s="22" t="n">
        <f aca="false">IF(4&gt;=2,Assumptions!$B$44*IF(4&gt;=Assumptions!$B$12,Assumptions!$B$52,1),0)</f>
        <v>600</v>
      </c>
      <c r="F48" s="22" t="n">
        <f aca="false">IF(5&gt;=2,Assumptions!$B$44*IF(5&gt;=Assumptions!$B$12,Assumptions!$B$52,1),0)</f>
        <v>600</v>
      </c>
      <c r="G48" s="22" t="n">
        <f aca="false">IF(6&gt;=2,Assumptions!$B$44*IF(6&gt;=Assumptions!$B$12,Assumptions!$B$52,1),0)</f>
        <v>600</v>
      </c>
      <c r="H48" s="22" t="n">
        <f aca="false">IF(7&gt;=2,Assumptions!$B$44*IF(7&gt;=Assumptions!$B$12,Assumptions!$B$52,1),0)</f>
        <v>960</v>
      </c>
      <c r="I48" s="22" t="n">
        <f aca="false">IF(8&gt;=2,Assumptions!$B$44*IF(8&gt;=Assumptions!$B$12,Assumptions!$B$52,1),0)</f>
        <v>960</v>
      </c>
      <c r="J48" s="22" t="n">
        <f aca="false">IF(9&gt;=2,Assumptions!$B$44*IF(9&gt;=Assumptions!$B$12,Assumptions!$B$52,1),0)</f>
        <v>960</v>
      </c>
      <c r="K48" s="22" t="n">
        <f aca="false">IF(10&gt;=2,Assumptions!$B$44*IF(10&gt;=Assumptions!$B$12,Assumptions!$B$52,1),0)</f>
        <v>960</v>
      </c>
      <c r="L48" s="22" t="n">
        <f aca="false">IF(11&gt;=2,Assumptions!$B$44*IF(11&gt;=Assumptions!$B$12,Assumptions!$B$52,1),0)</f>
        <v>960</v>
      </c>
      <c r="M48" s="22" t="n">
        <f aca="false">IF(12&gt;=2,Assumptions!$B$44*IF(12&gt;=Assumptions!$B$12,Assumptions!$B$52,1),0)</f>
        <v>960</v>
      </c>
      <c r="N48" s="22" t="n">
        <f aca="false">IF(13&gt;=2,Assumptions!$B$44*IF(13&gt;=Assumptions!$B$12,Assumptions!$B$52,1),0)</f>
        <v>960</v>
      </c>
      <c r="O48" s="22" t="n">
        <f aca="false">IF(14&gt;=2,Assumptions!$B$44*IF(14&gt;=Assumptions!$B$12,Assumptions!$B$52,1),0)</f>
        <v>960</v>
      </c>
      <c r="P48" s="22" t="n">
        <f aca="false">IF(15&gt;=2,Assumptions!$B$44*IF(15&gt;=Assumptions!$B$12,Assumptions!$B$52,1),0)</f>
        <v>960</v>
      </c>
      <c r="Q48" s="22" t="n">
        <f aca="false">IF(16&gt;=2,Assumptions!$B$44*IF(16&gt;=Assumptions!$B$12,Assumptions!$B$52,1),0)</f>
        <v>960</v>
      </c>
      <c r="R48" s="22" t="n">
        <f aca="false">IF(17&gt;=2,Assumptions!$B$44*IF(17&gt;=Assumptions!$B$12,Assumptions!$B$52,1),0)</f>
        <v>960</v>
      </c>
      <c r="S48" s="22" t="n">
        <f aca="false">IF(18&gt;=2,Assumptions!$B$44*IF(18&gt;=Assumptions!$B$12,Assumptions!$B$52,1),0)</f>
        <v>960</v>
      </c>
      <c r="T48" s="22" t="n">
        <f aca="false">IF(19&gt;=2,Assumptions!$B$44*IF(19&gt;=Assumptions!$B$12,Assumptions!$B$52,1),0)</f>
        <v>960</v>
      </c>
      <c r="U48" s="22" t="n">
        <f aca="false">IF(20&gt;=2,Assumptions!$B$44*IF(20&gt;=Assumptions!$B$12,Assumptions!$B$52,1),0)</f>
        <v>960</v>
      </c>
      <c r="V48" s="22" t="n">
        <f aca="false">IF(21&gt;=2,Assumptions!$B$44*IF(21&gt;=Assumptions!$B$12,Assumptions!$B$52,1),0)</f>
        <v>960</v>
      </c>
      <c r="W48" s="22" t="n">
        <f aca="false">IF(22&gt;=2,Assumptions!$B$44*IF(22&gt;=Assumptions!$B$12,Assumptions!$B$52,1),0)</f>
        <v>960</v>
      </c>
      <c r="X48" s="22" t="n">
        <f aca="false">IF(23&gt;=2,Assumptions!$B$44*IF(23&gt;=Assumptions!$B$12,Assumptions!$B$52,1),0)</f>
        <v>960</v>
      </c>
      <c r="Y48" s="22" t="n">
        <f aca="false">IF(24&gt;=2,Assumptions!$B$44*IF(24&gt;=Assumptions!$B$12,Assumptions!$B$52,1),0)</f>
        <v>960</v>
      </c>
      <c r="Z48" s="22" t="n">
        <f aca="false">SUM(B48:M48)</f>
        <v>8760</v>
      </c>
      <c r="AA48" s="22" t="n">
        <f aca="false">SUM(N48:Y48)</f>
        <v>11520</v>
      </c>
      <c r="AB48" s="22" t="n">
        <f aca="false">SUM(B48:Y48)</f>
        <v>20280</v>
      </c>
    </row>
    <row r="49" customFormat="false" ht="15" hidden="false" customHeight="false" outlineLevel="0" collapsed="false">
      <c r="A49" s="17" t="s">
        <v>192</v>
      </c>
      <c r="B49" s="22" t="n">
        <f aca="false">Assumptions!$B$53</f>
        <v>300</v>
      </c>
      <c r="C49" s="22" t="n">
        <f aca="false">Assumptions!$B$53</f>
        <v>300</v>
      </c>
      <c r="D49" s="22" t="n">
        <f aca="false">Assumptions!$B$53</f>
        <v>300</v>
      </c>
      <c r="E49" s="22" t="n">
        <f aca="false">Assumptions!$B$53</f>
        <v>300</v>
      </c>
      <c r="F49" s="22" t="n">
        <f aca="false">Assumptions!$B$53</f>
        <v>300</v>
      </c>
      <c r="G49" s="22" t="n">
        <f aca="false">Assumptions!$B$53</f>
        <v>300</v>
      </c>
      <c r="H49" s="22" t="n">
        <f aca="false">Assumptions!$B$53</f>
        <v>300</v>
      </c>
      <c r="I49" s="22" t="n">
        <f aca="false">Assumptions!$B$53</f>
        <v>300</v>
      </c>
      <c r="J49" s="22" t="n">
        <f aca="false">Assumptions!$B$53</f>
        <v>300</v>
      </c>
      <c r="K49" s="22" t="n">
        <f aca="false">Assumptions!$B$53</f>
        <v>300</v>
      </c>
      <c r="L49" s="22" t="n">
        <f aca="false">Assumptions!$B$53</f>
        <v>300</v>
      </c>
      <c r="M49" s="22" t="n">
        <f aca="false">Assumptions!$B$53</f>
        <v>300</v>
      </c>
      <c r="N49" s="22" t="n">
        <f aca="false">Assumptions!$B$53</f>
        <v>300</v>
      </c>
      <c r="O49" s="22" t="n">
        <f aca="false">Assumptions!$B$53</f>
        <v>300</v>
      </c>
      <c r="P49" s="22" t="n">
        <f aca="false">Assumptions!$B$53</f>
        <v>300</v>
      </c>
      <c r="Q49" s="22" t="n">
        <f aca="false">Assumptions!$B$53</f>
        <v>300</v>
      </c>
      <c r="R49" s="22" t="n">
        <f aca="false">Assumptions!$B$53</f>
        <v>300</v>
      </c>
      <c r="S49" s="22" t="n">
        <f aca="false">Assumptions!$B$53</f>
        <v>300</v>
      </c>
      <c r="T49" s="22" t="n">
        <f aca="false">Assumptions!$B$53</f>
        <v>300</v>
      </c>
      <c r="U49" s="22" t="n">
        <f aca="false">Assumptions!$B$53</f>
        <v>300</v>
      </c>
      <c r="V49" s="22" t="n">
        <f aca="false">Assumptions!$B$53</f>
        <v>300</v>
      </c>
      <c r="W49" s="22" t="n">
        <f aca="false">Assumptions!$B$53</f>
        <v>300</v>
      </c>
      <c r="X49" s="22" t="n">
        <f aca="false">Assumptions!$B$53</f>
        <v>300</v>
      </c>
      <c r="Y49" s="22" t="n">
        <f aca="false">Assumptions!$B$53</f>
        <v>300</v>
      </c>
      <c r="Z49" s="22" t="n">
        <f aca="false">SUM(B49:M49)</f>
        <v>3600</v>
      </c>
      <c r="AA49" s="22" t="n">
        <f aca="false">SUM(N49:Y49)</f>
        <v>3600</v>
      </c>
      <c r="AB49" s="22" t="n">
        <f aca="false">SUM(B49:Y49)</f>
        <v>7200</v>
      </c>
    </row>
    <row r="50" customFormat="false" ht="15" hidden="false" customHeight="false" outlineLevel="0" collapsed="false">
      <c r="A50" s="17" t="s">
        <v>193</v>
      </c>
      <c r="B50" s="22" t="n">
        <f aca="false">IF(AND(1&gt;=Assumptions!$B$12,1&lt;Assumptions!$B$12+Assumptions!$B$66),Assumptions!$B$65,0)+IF(AND(1&gt;=Assumptions!$B$12,1&lt;Assumptions!$B$12+Assumptions!$B$69),Assumptions!$B$68,0)+IF(AND(1&gt;=Assumptions!$B$12,1&lt;Assumptions!$B$12+Assumptions!$B$72),Assumptions!$B$71,0)+IF(AND(1&gt;=Assumptions!$B$12,1&lt;Assumptions!$B$12+Assumptions!$B$75),Assumptions!$B$74,0)+IF(AND(1&gt;=Assumptions!$B$12,1&lt;Assumptions!$B$12+Assumptions!$B$78),Assumptions!$B$77,0)+IF(1=Assumptions!$B$12,Assumptions!$B$82,0)</f>
        <v>0</v>
      </c>
      <c r="C50" s="22" t="n">
        <f aca="false">IF(AND(2&gt;=Assumptions!$B$12,2&lt;Assumptions!$B$12+Assumptions!$B$66),Assumptions!$B$65,0)+IF(AND(2&gt;=Assumptions!$B$12,2&lt;Assumptions!$B$12+Assumptions!$B$69),Assumptions!$B$68,0)+IF(AND(2&gt;=Assumptions!$B$12,2&lt;Assumptions!$B$12+Assumptions!$B$72),Assumptions!$B$71,0)+IF(AND(2&gt;=Assumptions!$B$12,2&lt;Assumptions!$B$12+Assumptions!$B$75),Assumptions!$B$74,0)+IF(AND(2&gt;=Assumptions!$B$12,2&lt;Assumptions!$B$12+Assumptions!$B$78),Assumptions!$B$77,0)+IF(2=Assumptions!$B$12,Assumptions!$B$82,0)</f>
        <v>0</v>
      </c>
      <c r="D50" s="22" t="n">
        <f aca="false">IF(AND(3&gt;=Assumptions!$B$12,3&lt;Assumptions!$B$12+Assumptions!$B$66),Assumptions!$B$65,0)+IF(AND(3&gt;=Assumptions!$B$12,3&lt;Assumptions!$B$12+Assumptions!$B$69),Assumptions!$B$68,0)+IF(AND(3&gt;=Assumptions!$B$12,3&lt;Assumptions!$B$12+Assumptions!$B$72),Assumptions!$B$71,0)+IF(AND(3&gt;=Assumptions!$B$12,3&lt;Assumptions!$B$12+Assumptions!$B$75),Assumptions!$B$74,0)+IF(AND(3&gt;=Assumptions!$B$12,3&lt;Assumptions!$B$12+Assumptions!$B$78),Assumptions!$B$77,0)+IF(3=Assumptions!$B$12,Assumptions!$B$82,0)</f>
        <v>0</v>
      </c>
      <c r="E50" s="22" t="n">
        <f aca="false">IF(AND(4&gt;=Assumptions!$B$12,4&lt;Assumptions!$B$12+Assumptions!$B$66),Assumptions!$B$65,0)+IF(AND(4&gt;=Assumptions!$B$12,4&lt;Assumptions!$B$12+Assumptions!$B$69),Assumptions!$B$68,0)+IF(AND(4&gt;=Assumptions!$B$12,4&lt;Assumptions!$B$12+Assumptions!$B$72),Assumptions!$B$71,0)+IF(AND(4&gt;=Assumptions!$B$12,4&lt;Assumptions!$B$12+Assumptions!$B$75),Assumptions!$B$74,0)+IF(AND(4&gt;=Assumptions!$B$12,4&lt;Assumptions!$B$12+Assumptions!$B$78),Assumptions!$B$77,0)+IF(4=Assumptions!$B$12,Assumptions!$B$82,0)</f>
        <v>0</v>
      </c>
      <c r="F50" s="22" t="n">
        <f aca="false">IF(AND(5&gt;=Assumptions!$B$12,5&lt;Assumptions!$B$12+Assumptions!$B$66),Assumptions!$B$65,0)+IF(AND(5&gt;=Assumptions!$B$12,5&lt;Assumptions!$B$12+Assumptions!$B$69),Assumptions!$B$68,0)+IF(AND(5&gt;=Assumptions!$B$12,5&lt;Assumptions!$B$12+Assumptions!$B$72),Assumptions!$B$71,0)+IF(AND(5&gt;=Assumptions!$B$12,5&lt;Assumptions!$B$12+Assumptions!$B$75),Assumptions!$B$74,0)+IF(AND(5&gt;=Assumptions!$B$12,5&lt;Assumptions!$B$12+Assumptions!$B$78),Assumptions!$B$77,0)+IF(5=Assumptions!$B$12,Assumptions!$B$82,0)</f>
        <v>0</v>
      </c>
      <c r="G50" s="22" t="n">
        <f aca="false">IF(AND(6&gt;=Assumptions!$B$12,6&lt;Assumptions!$B$12+Assumptions!$B$66),Assumptions!$B$65,0)+IF(AND(6&gt;=Assumptions!$B$12,6&lt;Assumptions!$B$12+Assumptions!$B$69),Assumptions!$B$68,0)+IF(AND(6&gt;=Assumptions!$B$12,6&lt;Assumptions!$B$12+Assumptions!$B$72),Assumptions!$B$71,0)+IF(AND(6&gt;=Assumptions!$B$12,6&lt;Assumptions!$B$12+Assumptions!$B$75),Assumptions!$B$74,0)+IF(AND(6&gt;=Assumptions!$B$12,6&lt;Assumptions!$B$12+Assumptions!$B$78),Assumptions!$B$77,0)+IF(6=Assumptions!$B$12,Assumptions!$B$82,0)</f>
        <v>0</v>
      </c>
      <c r="H50" s="22" t="n">
        <f aca="false">IF(AND(7&gt;=Assumptions!$B$12,7&lt;Assumptions!$B$12+Assumptions!$B$66),Assumptions!$B$65,0)+IF(AND(7&gt;=Assumptions!$B$12,7&lt;Assumptions!$B$12+Assumptions!$B$69),Assumptions!$B$68,0)+IF(AND(7&gt;=Assumptions!$B$12,7&lt;Assumptions!$B$12+Assumptions!$B$72),Assumptions!$B$71,0)+IF(AND(7&gt;=Assumptions!$B$12,7&lt;Assumptions!$B$12+Assumptions!$B$75),Assumptions!$B$74,0)+IF(AND(7&gt;=Assumptions!$B$12,7&lt;Assumptions!$B$12+Assumptions!$B$78),Assumptions!$B$77,0)+IF(7=Assumptions!$B$12,Assumptions!$B$82,0)</f>
        <v>8200</v>
      </c>
      <c r="I50" s="22" t="n">
        <f aca="false">IF(AND(8&gt;=Assumptions!$B$12,8&lt;Assumptions!$B$12+Assumptions!$B$66),Assumptions!$B$65,0)+IF(AND(8&gt;=Assumptions!$B$12,8&lt;Assumptions!$B$12+Assumptions!$B$69),Assumptions!$B$68,0)+IF(AND(8&gt;=Assumptions!$B$12,8&lt;Assumptions!$B$12+Assumptions!$B$72),Assumptions!$B$71,0)+IF(AND(8&gt;=Assumptions!$B$12,8&lt;Assumptions!$B$12+Assumptions!$B$75),Assumptions!$B$74,0)+IF(AND(8&gt;=Assumptions!$B$12,8&lt;Assumptions!$B$12+Assumptions!$B$78),Assumptions!$B$77,0)+IF(8=Assumptions!$B$12,Assumptions!$B$82,0)</f>
        <v>3700</v>
      </c>
      <c r="J50" s="22" t="n">
        <f aca="false">IF(AND(9&gt;=Assumptions!$B$12,9&lt;Assumptions!$B$12+Assumptions!$B$66),Assumptions!$B$65,0)+IF(AND(9&gt;=Assumptions!$B$12,9&lt;Assumptions!$B$12+Assumptions!$B$69),Assumptions!$B$68,0)+IF(AND(9&gt;=Assumptions!$B$12,9&lt;Assumptions!$B$12+Assumptions!$B$72),Assumptions!$B$71,0)+IF(AND(9&gt;=Assumptions!$B$12,9&lt;Assumptions!$B$12+Assumptions!$B$75),Assumptions!$B$74,0)+IF(AND(9&gt;=Assumptions!$B$12,9&lt;Assumptions!$B$12+Assumptions!$B$78),Assumptions!$B$77,0)+IF(9=Assumptions!$B$12,Assumptions!$B$82,0)</f>
        <v>3700</v>
      </c>
      <c r="K50" s="22" t="n">
        <f aca="false">IF(AND(10&gt;=Assumptions!$B$12,10&lt;Assumptions!$B$12+Assumptions!$B$66),Assumptions!$B$65,0)+IF(AND(10&gt;=Assumptions!$B$12,10&lt;Assumptions!$B$12+Assumptions!$B$69),Assumptions!$B$68,0)+IF(AND(10&gt;=Assumptions!$B$12,10&lt;Assumptions!$B$12+Assumptions!$B$72),Assumptions!$B$71,0)+IF(AND(10&gt;=Assumptions!$B$12,10&lt;Assumptions!$B$12+Assumptions!$B$75),Assumptions!$B$74,0)+IF(AND(10&gt;=Assumptions!$B$12,10&lt;Assumptions!$B$12+Assumptions!$B$78),Assumptions!$B$77,0)+IF(10=Assumptions!$B$12,Assumptions!$B$82,0)</f>
        <v>0</v>
      </c>
      <c r="L50" s="22" t="n">
        <f aca="false">IF(AND(11&gt;=Assumptions!$B$12,11&lt;Assumptions!$B$12+Assumptions!$B$66),Assumptions!$B$65,0)+IF(AND(11&gt;=Assumptions!$B$12,11&lt;Assumptions!$B$12+Assumptions!$B$69),Assumptions!$B$68,0)+IF(AND(11&gt;=Assumptions!$B$12,11&lt;Assumptions!$B$12+Assumptions!$B$72),Assumptions!$B$71,0)+IF(AND(11&gt;=Assumptions!$B$12,11&lt;Assumptions!$B$12+Assumptions!$B$75),Assumptions!$B$74,0)+IF(AND(11&gt;=Assumptions!$B$12,11&lt;Assumptions!$B$12+Assumptions!$B$78),Assumptions!$B$77,0)+IF(11=Assumptions!$B$12,Assumptions!$B$82,0)</f>
        <v>0</v>
      </c>
      <c r="M50" s="22" t="n">
        <f aca="false">IF(AND(12&gt;=Assumptions!$B$12,12&lt;Assumptions!$B$12+Assumptions!$B$66),Assumptions!$B$65,0)+IF(AND(12&gt;=Assumptions!$B$12,12&lt;Assumptions!$B$12+Assumptions!$B$69),Assumptions!$B$68,0)+IF(AND(12&gt;=Assumptions!$B$12,12&lt;Assumptions!$B$12+Assumptions!$B$72),Assumptions!$B$71,0)+IF(AND(12&gt;=Assumptions!$B$12,12&lt;Assumptions!$B$12+Assumptions!$B$75),Assumptions!$B$74,0)+IF(AND(12&gt;=Assumptions!$B$12,12&lt;Assumptions!$B$12+Assumptions!$B$78),Assumptions!$B$77,0)+IF(12=Assumptions!$B$12,Assumptions!$B$82,0)</f>
        <v>0</v>
      </c>
      <c r="N50" s="22" t="n">
        <f aca="false">IF(AND(13&gt;=Assumptions!$B$12,13&lt;Assumptions!$B$12+Assumptions!$B$66),Assumptions!$B$65,0)+IF(AND(13&gt;=Assumptions!$B$12,13&lt;Assumptions!$B$12+Assumptions!$B$69),Assumptions!$B$68,0)+IF(AND(13&gt;=Assumptions!$B$12,13&lt;Assumptions!$B$12+Assumptions!$B$72),Assumptions!$B$71,0)+IF(AND(13&gt;=Assumptions!$B$12,13&lt;Assumptions!$B$12+Assumptions!$B$75),Assumptions!$B$74,0)+IF(AND(13&gt;=Assumptions!$B$12,13&lt;Assumptions!$B$12+Assumptions!$B$78),Assumptions!$B$77,0)+IF(13=Assumptions!$B$12,Assumptions!$B$82,0)</f>
        <v>0</v>
      </c>
      <c r="O50" s="22" t="n">
        <f aca="false">IF(AND(14&gt;=Assumptions!$B$12,14&lt;Assumptions!$B$12+Assumptions!$B$66),Assumptions!$B$65,0)+IF(AND(14&gt;=Assumptions!$B$12,14&lt;Assumptions!$B$12+Assumptions!$B$69),Assumptions!$B$68,0)+IF(AND(14&gt;=Assumptions!$B$12,14&lt;Assumptions!$B$12+Assumptions!$B$72),Assumptions!$B$71,0)+IF(AND(14&gt;=Assumptions!$B$12,14&lt;Assumptions!$B$12+Assumptions!$B$75),Assumptions!$B$74,0)+IF(AND(14&gt;=Assumptions!$B$12,14&lt;Assumptions!$B$12+Assumptions!$B$78),Assumptions!$B$77,0)+IF(14=Assumptions!$B$12,Assumptions!$B$82,0)</f>
        <v>0</v>
      </c>
      <c r="P50" s="22" t="n">
        <f aca="false">IF(AND(15&gt;=Assumptions!$B$12,15&lt;Assumptions!$B$12+Assumptions!$B$66),Assumptions!$B$65,0)+IF(AND(15&gt;=Assumptions!$B$12,15&lt;Assumptions!$B$12+Assumptions!$B$69),Assumptions!$B$68,0)+IF(AND(15&gt;=Assumptions!$B$12,15&lt;Assumptions!$B$12+Assumptions!$B$72),Assumptions!$B$71,0)+IF(AND(15&gt;=Assumptions!$B$12,15&lt;Assumptions!$B$12+Assumptions!$B$75),Assumptions!$B$74,0)+IF(AND(15&gt;=Assumptions!$B$12,15&lt;Assumptions!$B$12+Assumptions!$B$78),Assumptions!$B$77,0)+IF(15=Assumptions!$B$12,Assumptions!$B$82,0)</f>
        <v>0</v>
      </c>
      <c r="Q50" s="22" t="n">
        <f aca="false">IF(AND(16&gt;=Assumptions!$B$12,16&lt;Assumptions!$B$12+Assumptions!$B$66),Assumptions!$B$65,0)+IF(AND(16&gt;=Assumptions!$B$12,16&lt;Assumptions!$B$12+Assumptions!$B$69),Assumptions!$B$68,0)+IF(AND(16&gt;=Assumptions!$B$12,16&lt;Assumptions!$B$12+Assumptions!$B$72),Assumptions!$B$71,0)+IF(AND(16&gt;=Assumptions!$B$12,16&lt;Assumptions!$B$12+Assumptions!$B$75),Assumptions!$B$74,0)+IF(AND(16&gt;=Assumptions!$B$12,16&lt;Assumptions!$B$12+Assumptions!$B$78),Assumptions!$B$77,0)+IF(16=Assumptions!$B$12,Assumptions!$B$82,0)</f>
        <v>0</v>
      </c>
      <c r="R50" s="22" t="n">
        <f aca="false">IF(AND(17&gt;=Assumptions!$B$12,17&lt;Assumptions!$B$12+Assumptions!$B$66),Assumptions!$B$65,0)+IF(AND(17&gt;=Assumptions!$B$12,17&lt;Assumptions!$B$12+Assumptions!$B$69),Assumptions!$B$68,0)+IF(AND(17&gt;=Assumptions!$B$12,17&lt;Assumptions!$B$12+Assumptions!$B$72),Assumptions!$B$71,0)+IF(AND(17&gt;=Assumptions!$B$12,17&lt;Assumptions!$B$12+Assumptions!$B$75),Assumptions!$B$74,0)+IF(AND(17&gt;=Assumptions!$B$12,17&lt;Assumptions!$B$12+Assumptions!$B$78),Assumptions!$B$77,0)+IF(17=Assumptions!$B$12,Assumptions!$B$82,0)</f>
        <v>0</v>
      </c>
      <c r="S50" s="22" t="n">
        <f aca="false">IF(AND(18&gt;=Assumptions!$B$12,18&lt;Assumptions!$B$12+Assumptions!$B$66),Assumptions!$B$65,0)+IF(AND(18&gt;=Assumptions!$B$12,18&lt;Assumptions!$B$12+Assumptions!$B$69),Assumptions!$B$68,0)+IF(AND(18&gt;=Assumptions!$B$12,18&lt;Assumptions!$B$12+Assumptions!$B$72),Assumptions!$B$71,0)+IF(AND(18&gt;=Assumptions!$B$12,18&lt;Assumptions!$B$12+Assumptions!$B$75),Assumptions!$B$74,0)+IF(AND(18&gt;=Assumptions!$B$12,18&lt;Assumptions!$B$12+Assumptions!$B$78),Assumptions!$B$77,0)+IF(18=Assumptions!$B$12,Assumptions!$B$82,0)</f>
        <v>0</v>
      </c>
      <c r="T50" s="22" t="n">
        <f aca="false">IF(AND(19&gt;=Assumptions!$B$12,19&lt;Assumptions!$B$12+Assumptions!$B$66),Assumptions!$B$65,0)+IF(AND(19&gt;=Assumptions!$B$12,19&lt;Assumptions!$B$12+Assumptions!$B$69),Assumptions!$B$68,0)+IF(AND(19&gt;=Assumptions!$B$12,19&lt;Assumptions!$B$12+Assumptions!$B$72),Assumptions!$B$71,0)+IF(AND(19&gt;=Assumptions!$B$12,19&lt;Assumptions!$B$12+Assumptions!$B$75),Assumptions!$B$74,0)+IF(AND(19&gt;=Assumptions!$B$12,19&lt;Assumptions!$B$12+Assumptions!$B$78),Assumptions!$B$77,0)+IF(19=Assumptions!$B$12,Assumptions!$B$82,0)</f>
        <v>0</v>
      </c>
      <c r="U50" s="22" t="n">
        <f aca="false">IF(AND(20&gt;=Assumptions!$B$12,20&lt;Assumptions!$B$12+Assumptions!$B$66),Assumptions!$B$65,0)+IF(AND(20&gt;=Assumptions!$B$12,20&lt;Assumptions!$B$12+Assumptions!$B$69),Assumptions!$B$68,0)+IF(AND(20&gt;=Assumptions!$B$12,20&lt;Assumptions!$B$12+Assumptions!$B$72),Assumptions!$B$71,0)+IF(AND(20&gt;=Assumptions!$B$12,20&lt;Assumptions!$B$12+Assumptions!$B$75),Assumptions!$B$74,0)+IF(AND(20&gt;=Assumptions!$B$12,20&lt;Assumptions!$B$12+Assumptions!$B$78),Assumptions!$B$77,0)+IF(20=Assumptions!$B$12,Assumptions!$B$82,0)</f>
        <v>0</v>
      </c>
      <c r="V50" s="22" t="n">
        <f aca="false">IF(AND(21&gt;=Assumptions!$B$12,21&lt;Assumptions!$B$12+Assumptions!$B$66),Assumptions!$B$65,0)+IF(AND(21&gt;=Assumptions!$B$12,21&lt;Assumptions!$B$12+Assumptions!$B$69),Assumptions!$B$68,0)+IF(AND(21&gt;=Assumptions!$B$12,21&lt;Assumptions!$B$12+Assumptions!$B$72),Assumptions!$B$71,0)+IF(AND(21&gt;=Assumptions!$B$12,21&lt;Assumptions!$B$12+Assumptions!$B$75),Assumptions!$B$74,0)+IF(AND(21&gt;=Assumptions!$B$12,21&lt;Assumptions!$B$12+Assumptions!$B$78),Assumptions!$B$77,0)+IF(21=Assumptions!$B$12,Assumptions!$B$82,0)</f>
        <v>0</v>
      </c>
      <c r="W50" s="22" t="n">
        <f aca="false">IF(AND(22&gt;=Assumptions!$B$12,22&lt;Assumptions!$B$12+Assumptions!$B$66),Assumptions!$B$65,0)+IF(AND(22&gt;=Assumptions!$B$12,22&lt;Assumptions!$B$12+Assumptions!$B$69),Assumptions!$B$68,0)+IF(AND(22&gt;=Assumptions!$B$12,22&lt;Assumptions!$B$12+Assumptions!$B$72),Assumptions!$B$71,0)+IF(AND(22&gt;=Assumptions!$B$12,22&lt;Assumptions!$B$12+Assumptions!$B$75),Assumptions!$B$74,0)+IF(AND(22&gt;=Assumptions!$B$12,22&lt;Assumptions!$B$12+Assumptions!$B$78),Assumptions!$B$77,0)+IF(22=Assumptions!$B$12,Assumptions!$B$82,0)</f>
        <v>0</v>
      </c>
      <c r="X50" s="22" t="n">
        <f aca="false">IF(AND(23&gt;=Assumptions!$B$12,23&lt;Assumptions!$B$12+Assumptions!$B$66),Assumptions!$B$65,0)+IF(AND(23&gt;=Assumptions!$B$12,23&lt;Assumptions!$B$12+Assumptions!$B$69),Assumptions!$B$68,0)+IF(AND(23&gt;=Assumptions!$B$12,23&lt;Assumptions!$B$12+Assumptions!$B$72),Assumptions!$B$71,0)+IF(AND(23&gt;=Assumptions!$B$12,23&lt;Assumptions!$B$12+Assumptions!$B$75),Assumptions!$B$74,0)+IF(AND(23&gt;=Assumptions!$B$12,23&lt;Assumptions!$B$12+Assumptions!$B$78),Assumptions!$B$77,0)+IF(23=Assumptions!$B$12,Assumptions!$B$82,0)</f>
        <v>0</v>
      </c>
      <c r="Y50" s="22" t="n">
        <f aca="false">IF(AND(24&gt;=Assumptions!$B$12,24&lt;Assumptions!$B$12+Assumptions!$B$66),Assumptions!$B$65,0)+IF(AND(24&gt;=Assumptions!$B$12,24&lt;Assumptions!$B$12+Assumptions!$B$69),Assumptions!$B$68,0)+IF(AND(24&gt;=Assumptions!$B$12,24&lt;Assumptions!$B$12+Assumptions!$B$72),Assumptions!$B$71,0)+IF(AND(24&gt;=Assumptions!$B$12,24&lt;Assumptions!$B$12+Assumptions!$B$75),Assumptions!$B$74,0)+IF(AND(24&gt;=Assumptions!$B$12,24&lt;Assumptions!$B$12+Assumptions!$B$78),Assumptions!$B$77,0)+IF(24=Assumptions!$B$12,Assumptions!$B$82,0)</f>
        <v>0</v>
      </c>
      <c r="Z50" s="22" t="n">
        <f aca="false">SUM(B50:M50)</f>
        <v>15600</v>
      </c>
      <c r="AA50" s="22" t="n">
        <f aca="false">SUM(N50:Y50)</f>
        <v>0</v>
      </c>
      <c r="AB50" s="22" t="n">
        <f aca="false">SUM(B50:Y50)</f>
        <v>15600</v>
      </c>
    </row>
    <row r="51" customFormat="false" ht="15" hidden="false" customHeight="false" outlineLevel="0" collapsed="false">
      <c r="A51" s="17" t="s">
        <v>194</v>
      </c>
      <c r="B51" s="22" t="n">
        <f aca="false">IF(1&gt;=Assumptions!$B$12+Assumptions!$B$66,-PMT(Assumptions!$B$80/12,Assumptions!$B$81,Assumptions!$B$64*Assumptions!$B$79),0)+IF(1&gt;=Assumptions!$B$12+Assumptions!$B$69,-PMT(Assumptions!$B$80/12,Assumptions!$B$81,Assumptions!$B$67*Assumptions!$B$79),0)+IF(1&gt;=Assumptions!$B$12+Assumptions!$B$72,-PMT(Assumptions!$B$80/12,Assumptions!$B$81,Assumptions!$B$70*Assumptions!$B$79),0)+IF(1&gt;=Assumptions!$B$12+Assumptions!$B$75,-PMT(Assumptions!$B$80/12,Assumptions!$B$81,Assumptions!$B$73*Assumptions!$B$79),0)+IF(1&gt;=Assumptions!$B$12+Assumptions!$B$78,-PMT(Assumptions!$B$80/12,Assumptions!$B$81,Assumptions!$B$76*Assumptions!$B$79),0)</f>
        <v>0</v>
      </c>
      <c r="C51" s="22" t="n">
        <f aca="false">IF(2&gt;=Assumptions!$B$12+Assumptions!$B$66,-PMT(Assumptions!$B$80/12,Assumptions!$B$81,Assumptions!$B$64*Assumptions!$B$79),0)+IF(2&gt;=Assumptions!$B$12+Assumptions!$B$69,-PMT(Assumptions!$B$80/12,Assumptions!$B$81,Assumptions!$B$67*Assumptions!$B$79),0)+IF(2&gt;=Assumptions!$B$12+Assumptions!$B$72,-PMT(Assumptions!$B$80/12,Assumptions!$B$81,Assumptions!$B$70*Assumptions!$B$79),0)+IF(2&gt;=Assumptions!$B$12+Assumptions!$B$75,-PMT(Assumptions!$B$80/12,Assumptions!$B$81,Assumptions!$B$73*Assumptions!$B$79),0)+IF(2&gt;=Assumptions!$B$12+Assumptions!$B$78,-PMT(Assumptions!$B$80/12,Assumptions!$B$81,Assumptions!$B$76*Assumptions!$B$79),0)</f>
        <v>0</v>
      </c>
      <c r="D51" s="22" t="n">
        <f aca="false">IF(3&gt;=Assumptions!$B$12+Assumptions!$B$66,-PMT(Assumptions!$B$80/12,Assumptions!$B$81,Assumptions!$B$64*Assumptions!$B$79),0)+IF(3&gt;=Assumptions!$B$12+Assumptions!$B$69,-PMT(Assumptions!$B$80/12,Assumptions!$B$81,Assumptions!$B$67*Assumptions!$B$79),0)+IF(3&gt;=Assumptions!$B$12+Assumptions!$B$72,-PMT(Assumptions!$B$80/12,Assumptions!$B$81,Assumptions!$B$70*Assumptions!$B$79),0)+IF(3&gt;=Assumptions!$B$12+Assumptions!$B$75,-PMT(Assumptions!$B$80/12,Assumptions!$B$81,Assumptions!$B$73*Assumptions!$B$79),0)+IF(3&gt;=Assumptions!$B$12+Assumptions!$B$78,-PMT(Assumptions!$B$80/12,Assumptions!$B$81,Assumptions!$B$76*Assumptions!$B$79),0)</f>
        <v>0</v>
      </c>
      <c r="E51" s="22" t="n">
        <f aca="false">IF(4&gt;=Assumptions!$B$12+Assumptions!$B$66,-PMT(Assumptions!$B$80/12,Assumptions!$B$81,Assumptions!$B$64*Assumptions!$B$79),0)+IF(4&gt;=Assumptions!$B$12+Assumptions!$B$69,-PMT(Assumptions!$B$80/12,Assumptions!$B$81,Assumptions!$B$67*Assumptions!$B$79),0)+IF(4&gt;=Assumptions!$B$12+Assumptions!$B$72,-PMT(Assumptions!$B$80/12,Assumptions!$B$81,Assumptions!$B$70*Assumptions!$B$79),0)+IF(4&gt;=Assumptions!$B$12+Assumptions!$B$75,-PMT(Assumptions!$B$80/12,Assumptions!$B$81,Assumptions!$B$73*Assumptions!$B$79),0)+IF(4&gt;=Assumptions!$B$12+Assumptions!$B$78,-PMT(Assumptions!$B$80/12,Assumptions!$B$81,Assumptions!$B$76*Assumptions!$B$79),0)</f>
        <v>0</v>
      </c>
      <c r="F51" s="22" t="n">
        <f aca="false">IF(5&gt;=Assumptions!$B$12+Assumptions!$B$66,-PMT(Assumptions!$B$80/12,Assumptions!$B$81,Assumptions!$B$64*Assumptions!$B$79),0)+IF(5&gt;=Assumptions!$B$12+Assumptions!$B$69,-PMT(Assumptions!$B$80/12,Assumptions!$B$81,Assumptions!$B$67*Assumptions!$B$79),0)+IF(5&gt;=Assumptions!$B$12+Assumptions!$B$72,-PMT(Assumptions!$B$80/12,Assumptions!$B$81,Assumptions!$B$70*Assumptions!$B$79),0)+IF(5&gt;=Assumptions!$B$12+Assumptions!$B$75,-PMT(Assumptions!$B$80/12,Assumptions!$B$81,Assumptions!$B$73*Assumptions!$B$79),0)+IF(5&gt;=Assumptions!$B$12+Assumptions!$B$78,-PMT(Assumptions!$B$80/12,Assumptions!$B$81,Assumptions!$B$76*Assumptions!$B$79),0)</f>
        <v>0</v>
      </c>
      <c r="G51" s="22" t="n">
        <f aca="false">IF(6&gt;=Assumptions!$B$12+Assumptions!$B$66,-PMT(Assumptions!$B$80/12,Assumptions!$B$81,Assumptions!$B$64*Assumptions!$B$79),0)+IF(6&gt;=Assumptions!$B$12+Assumptions!$B$69,-PMT(Assumptions!$B$80/12,Assumptions!$B$81,Assumptions!$B$67*Assumptions!$B$79),0)+IF(6&gt;=Assumptions!$B$12+Assumptions!$B$72,-PMT(Assumptions!$B$80/12,Assumptions!$B$81,Assumptions!$B$70*Assumptions!$B$79),0)+IF(6&gt;=Assumptions!$B$12+Assumptions!$B$75,-PMT(Assumptions!$B$80/12,Assumptions!$B$81,Assumptions!$B$73*Assumptions!$B$79),0)+IF(6&gt;=Assumptions!$B$12+Assumptions!$B$78,-PMT(Assumptions!$B$80/12,Assumptions!$B$81,Assumptions!$B$76*Assumptions!$B$79),0)</f>
        <v>0</v>
      </c>
      <c r="H51" s="22" t="n">
        <f aca="false">IF(7&gt;=Assumptions!$B$12+Assumptions!$B$66,-PMT(Assumptions!$B$80/12,Assumptions!$B$81,Assumptions!$B$64*Assumptions!$B$79),0)+IF(7&gt;=Assumptions!$B$12+Assumptions!$B$69,-PMT(Assumptions!$B$80/12,Assumptions!$B$81,Assumptions!$B$67*Assumptions!$B$79),0)+IF(7&gt;=Assumptions!$B$12+Assumptions!$B$72,-PMT(Assumptions!$B$80/12,Assumptions!$B$81,Assumptions!$B$70*Assumptions!$B$79),0)+IF(7&gt;=Assumptions!$B$12+Assumptions!$B$75,-PMT(Assumptions!$B$80/12,Assumptions!$B$81,Assumptions!$B$73*Assumptions!$B$79),0)+IF(7&gt;=Assumptions!$B$12+Assumptions!$B$78,-PMT(Assumptions!$B$80/12,Assumptions!$B$81,Assumptions!$B$76*Assumptions!$B$79),0)</f>
        <v>838.637551144702</v>
      </c>
      <c r="I51" s="22" t="n">
        <f aca="false">IF(8&gt;=Assumptions!$B$12+Assumptions!$B$66,-PMT(Assumptions!$B$80/12,Assumptions!$B$81,Assumptions!$B$64*Assumptions!$B$79),0)+IF(8&gt;=Assumptions!$B$12+Assumptions!$B$69,-PMT(Assumptions!$B$80/12,Assumptions!$B$81,Assumptions!$B$67*Assumptions!$B$79),0)+IF(8&gt;=Assumptions!$B$12+Assumptions!$B$72,-PMT(Assumptions!$B$80/12,Assumptions!$B$81,Assumptions!$B$70*Assumptions!$B$79),0)+IF(8&gt;=Assumptions!$B$12+Assumptions!$B$75,-PMT(Assumptions!$B$80/12,Assumptions!$B$81,Assumptions!$B$73*Assumptions!$B$79),0)+IF(8&gt;=Assumptions!$B$12+Assumptions!$B$78,-PMT(Assumptions!$B$80/12,Assumptions!$B$81,Assumptions!$B$76*Assumptions!$B$79),0)</f>
        <v>838.637551144702</v>
      </c>
      <c r="J51" s="22" t="n">
        <f aca="false">IF(9&gt;=Assumptions!$B$12+Assumptions!$B$66,-PMT(Assumptions!$B$80/12,Assumptions!$B$81,Assumptions!$B$64*Assumptions!$B$79),0)+IF(9&gt;=Assumptions!$B$12+Assumptions!$B$69,-PMT(Assumptions!$B$80/12,Assumptions!$B$81,Assumptions!$B$67*Assumptions!$B$79),0)+IF(9&gt;=Assumptions!$B$12+Assumptions!$B$72,-PMT(Assumptions!$B$80/12,Assumptions!$B$81,Assumptions!$B$70*Assumptions!$B$79),0)+IF(9&gt;=Assumptions!$B$12+Assumptions!$B$75,-PMT(Assumptions!$B$80/12,Assumptions!$B$81,Assumptions!$B$73*Assumptions!$B$79),0)+IF(9&gt;=Assumptions!$B$12+Assumptions!$B$78,-PMT(Assumptions!$B$80/12,Assumptions!$B$81,Assumptions!$B$76*Assumptions!$B$79),0)</f>
        <v>838.637551144702</v>
      </c>
      <c r="K51" s="22" t="n">
        <f aca="false">IF(10&gt;=Assumptions!$B$12+Assumptions!$B$66,-PMT(Assumptions!$B$80/12,Assumptions!$B$81,Assumptions!$B$64*Assumptions!$B$79),0)+IF(10&gt;=Assumptions!$B$12+Assumptions!$B$69,-PMT(Assumptions!$B$80/12,Assumptions!$B$81,Assumptions!$B$67*Assumptions!$B$79),0)+IF(10&gt;=Assumptions!$B$12+Assumptions!$B$72,-PMT(Assumptions!$B$80/12,Assumptions!$B$81,Assumptions!$B$70*Assumptions!$B$79),0)+IF(10&gt;=Assumptions!$B$12+Assumptions!$B$75,-PMT(Assumptions!$B$80/12,Assumptions!$B$81,Assumptions!$B$73*Assumptions!$B$79),0)+IF(10&gt;=Assumptions!$B$12+Assumptions!$B$78,-PMT(Assumptions!$B$80/12,Assumptions!$B$81,Assumptions!$B$76*Assumptions!$B$79),0)</f>
        <v>2300.02575908002</v>
      </c>
      <c r="L51" s="22" t="n">
        <f aca="false">IF(11&gt;=Assumptions!$B$12+Assumptions!$B$66,-PMT(Assumptions!$B$80/12,Assumptions!$B$81,Assumptions!$B$64*Assumptions!$B$79),0)+IF(11&gt;=Assumptions!$B$12+Assumptions!$B$69,-PMT(Assumptions!$B$80/12,Assumptions!$B$81,Assumptions!$B$67*Assumptions!$B$79),0)+IF(11&gt;=Assumptions!$B$12+Assumptions!$B$72,-PMT(Assumptions!$B$80/12,Assumptions!$B$81,Assumptions!$B$70*Assumptions!$B$79),0)+IF(11&gt;=Assumptions!$B$12+Assumptions!$B$75,-PMT(Assumptions!$B$80/12,Assumptions!$B$81,Assumptions!$B$73*Assumptions!$B$79),0)+IF(11&gt;=Assumptions!$B$12+Assumptions!$B$78,-PMT(Assumptions!$B$80/12,Assumptions!$B$81,Assumptions!$B$76*Assumptions!$B$79),0)</f>
        <v>2300.02575908002</v>
      </c>
      <c r="M51" s="22" t="n">
        <f aca="false">IF(12&gt;=Assumptions!$B$12+Assumptions!$B$66,-PMT(Assumptions!$B$80/12,Assumptions!$B$81,Assumptions!$B$64*Assumptions!$B$79),0)+IF(12&gt;=Assumptions!$B$12+Assumptions!$B$69,-PMT(Assumptions!$B$80/12,Assumptions!$B$81,Assumptions!$B$67*Assumptions!$B$79),0)+IF(12&gt;=Assumptions!$B$12+Assumptions!$B$72,-PMT(Assumptions!$B$80/12,Assumptions!$B$81,Assumptions!$B$70*Assumptions!$B$79),0)+IF(12&gt;=Assumptions!$B$12+Assumptions!$B$75,-PMT(Assumptions!$B$80/12,Assumptions!$B$81,Assumptions!$B$73*Assumptions!$B$79),0)+IF(12&gt;=Assumptions!$B$12+Assumptions!$B$78,-PMT(Assumptions!$B$80/12,Assumptions!$B$81,Assumptions!$B$76*Assumptions!$B$79),0)</f>
        <v>2300.02575908002</v>
      </c>
      <c r="N51" s="22" t="n">
        <f aca="false">IF(13&gt;=Assumptions!$B$12+Assumptions!$B$66,-PMT(Assumptions!$B$80/12,Assumptions!$B$81,Assumptions!$B$64*Assumptions!$B$79),0)+IF(13&gt;=Assumptions!$B$12+Assumptions!$B$69,-PMT(Assumptions!$B$80/12,Assumptions!$B$81,Assumptions!$B$67*Assumptions!$B$79),0)+IF(13&gt;=Assumptions!$B$12+Assumptions!$B$72,-PMT(Assumptions!$B$80/12,Assumptions!$B$81,Assumptions!$B$70*Assumptions!$B$79),0)+IF(13&gt;=Assumptions!$B$12+Assumptions!$B$75,-PMT(Assumptions!$B$80/12,Assumptions!$B$81,Assumptions!$B$73*Assumptions!$B$79),0)+IF(13&gt;=Assumptions!$B$12+Assumptions!$B$78,-PMT(Assumptions!$B$80/12,Assumptions!$B$81,Assumptions!$B$76*Assumptions!$B$79),0)</f>
        <v>2300.02575908002</v>
      </c>
      <c r="O51" s="22" t="n">
        <f aca="false">IF(14&gt;=Assumptions!$B$12+Assumptions!$B$66,-PMT(Assumptions!$B$80/12,Assumptions!$B$81,Assumptions!$B$64*Assumptions!$B$79),0)+IF(14&gt;=Assumptions!$B$12+Assumptions!$B$69,-PMT(Assumptions!$B$80/12,Assumptions!$B$81,Assumptions!$B$67*Assumptions!$B$79),0)+IF(14&gt;=Assumptions!$B$12+Assumptions!$B$72,-PMT(Assumptions!$B$80/12,Assumptions!$B$81,Assumptions!$B$70*Assumptions!$B$79),0)+IF(14&gt;=Assumptions!$B$12+Assumptions!$B$75,-PMT(Assumptions!$B$80/12,Assumptions!$B$81,Assumptions!$B$73*Assumptions!$B$79),0)+IF(14&gt;=Assumptions!$B$12+Assumptions!$B$78,-PMT(Assumptions!$B$80/12,Assumptions!$B$81,Assumptions!$B$76*Assumptions!$B$79),0)</f>
        <v>2300.02575908002</v>
      </c>
      <c r="P51" s="22" t="n">
        <f aca="false">IF(15&gt;=Assumptions!$B$12+Assumptions!$B$66,-PMT(Assumptions!$B$80/12,Assumptions!$B$81,Assumptions!$B$64*Assumptions!$B$79),0)+IF(15&gt;=Assumptions!$B$12+Assumptions!$B$69,-PMT(Assumptions!$B$80/12,Assumptions!$B$81,Assumptions!$B$67*Assumptions!$B$79),0)+IF(15&gt;=Assumptions!$B$12+Assumptions!$B$72,-PMT(Assumptions!$B$80/12,Assumptions!$B$81,Assumptions!$B$70*Assumptions!$B$79),0)+IF(15&gt;=Assumptions!$B$12+Assumptions!$B$75,-PMT(Assumptions!$B$80/12,Assumptions!$B$81,Assumptions!$B$73*Assumptions!$B$79),0)+IF(15&gt;=Assumptions!$B$12+Assumptions!$B$78,-PMT(Assumptions!$B$80/12,Assumptions!$B$81,Assumptions!$B$76*Assumptions!$B$79),0)</f>
        <v>2300.02575908002</v>
      </c>
      <c r="Q51" s="22" t="n">
        <f aca="false">IF(16&gt;=Assumptions!$B$12+Assumptions!$B$66,-PMT(Assumptions!$B$80/12,Assumptions!$B$81,Assumptions!$B$64*Assumptions!$B$79),0)+IF(16&gt;=Assumptions!$B$12+Assumptions!$B$69,-PMT(Assumptions!$B$80/12,Assumptions!$B$81,Assumptions!$B$67*Assumptions!$B$79),0)+IF(16&gt;=Assumptions!$B$12+Assumptions!$B$72,-PMT(Assumptions!$B$80/12,Assumptions!$B$81,Assumptions!$B$70*Assumptions!$B$79),0)+IF(16&gt;=Assumptions!$B$12+Assumptions!$B$75,-PMT(Assumptions!$B$80/12,Assumptions!$B$81,Assumptions!$B$73*Assumptions!$B$79),0)+IF(16&gt;=Assumptions!$B$12+Assumptions!$B$78,-PMT(Assumptions!$B$80/12,Assumptions!$B$81,Assumptions!$B$76*Assumptions!$B$79),0)</f>
        <v>2300.02575908002</v>
      </c>
      <c r="R51" s="22" t="n">
        <f aca="false">IF(17&gt;=Assumptions!$B$12+Assumptions!$B$66,-PMT(Assumptions!$B$80/12,Assumptions!$B$81,Assumptions!$B$64*Assumptions!$B$79),0)+IF(17&gt;=Assumptions!$B$12+Assumptions!$B$69,-PMT(Assumptions!$B$80/12,Assumptions!$B$81,Assumptions!$B$67*Assumptions!$B$79),0)+IF(17&gt;=Assumptions!$B$12+Assumptions!$B$72,-PMT(Assumptions!$B$80/12,Assumptions!$B$81,Assumptions!$B$70*Assumptions!$B$79),0)+IF(17&gt;=Assumptions!$B$12+Assumptions!$B$75,-PMT(Assumptions!$B$80/12,Assumptions!$B$81,Assumptions!$B$73*Assumptions!$B$79),0)+IF(17&gt;=Assumptions!$B$12+Assumptions!$B$78,-PMT(Assumptions!$B$80/12,Assumptions!$B$81,Assumptions!$B$76*Assumptions!$B$79),0)</f>
        <v>2300.02575908002</v>
      </c>
      <c r="S51" s="22" t="n">
        <f aca="false">IF(18&gt;=Assumptions!$B$12+Assumptions!$B$66,-PMT(Assumptions!$B$80/12,Assumptions!$B$81,Assumptions!$B$64*Assumptions!$B$79),0)+IF(18&gt;=Assumptions!$B$12+Assumptions!$B$69,-PMT(Assumptions!$B$80/12,Assumptions!$B$81,Assumptions!$B$67*Assumptions!$B$79),0)+IF(18&gt;=Assumptions!$B$12+Assumptions!$B$72,-PMT(Assumptions!$B$80/12,Assumptions!$B$81,Assumptions!$B$70*Assumptions!$B$79),0)+IF(18&gt;=Assumptions!$B$12+Assumptions!$B$75,-PMT(Assumptions!$B$80/12,Assumptions!$B$81,Assumptions!$B$73*Assumptions!$B$79),0)+IF(18&gt;=Assumptions!$B$12+Assumptions!$B$78,-PMT(Assumptions!$B$80/12,Assumptions!$B$81,Assumptions!$B$76*Assumptions!$B$79),0)</f>
        <v>2300.02575908002</v>
      </c>
      <c r="T51" s="22" t="n">
        <f aca="false">IF(19&gt;=Assumptions!$B$12+Assumptions!$B$66,-PMT(Assumptions!$B$80/12,Assumptions!$B$81,Assumptions!$B$64*Assumptions!$B$79),0)+IF(19&gt;=Assumptions!$B$12+Assumptions!$B$69,-PMT(Assumptions!$B$80/12,Assumptions!$B$81,Assumptions!$B$67*Assumptions!$B$79),0)+IF(19&gt;=Assumptions!$B$12+Assumptions!$B$72,-PMT(Assumptions!$B$80/12,Assumptions!$B$81,Assumptions!$B$70*Assumptions!$B$79),0)+IF(19&gt;=Assumptions!$B$12+Assumptions!$B$75,-PMT(Assumptions!$B$80/12,Assumptions!$B$81,Assumptions!$B$73*Assumptions!$B$79),0)+IF(19&gt;=Assumptions!$B$12+Assumptions!$B$78,-PMT(Assumptions!$B$80/12,Assumptions!$B$81,Assumptions!$B$76*Assumptions!$B$79),0)</f>
        <v>2300.02575908002</v>
      </c>
      <c r="U51" s="22" t="n">
        <f aca="false">IF(20&gt;=Assumptions!$B$12+Assumptions!$B$66,-PMT(Assumptions!$B$80/12,Assumptions!$B$81,Assumptions!$B$64*Assumptions!$B$79),0)+IF(20&gt;=Assumptions!$B$12+Assumptions!$B$69,-PMT(Assumptions!$B$80/12,Assumptions!$B$81,Assumptions!$B$67*Assumptions!$B$79),0)+IF(20&gt;=Assumptions!$B$12+Assumptions!$B$72,-PMT(Assumptions!$B$80/12,Assumptions!$B$81,Assumptions!$B$70*Assumptions!$B$79),0)+IF(20&gt;=Assumptions!$B$12+Assumptions!$B$75,-PMT(Assumptions!$B$80/12,Assumptions!$B$81,Assumptions!$B$73*Assumptions!$B$79),0)+IF(20&gt;=Assumptions!$B$12+Assumptions!$B$78,-PMT(Assumptions!$B$80/12,Assumptions!$B$81,Assumptions!$B$76*Assumptions!$B$79),0)</f>
        <v>2300.02575908002</v>
      </c>
      <c r="V51" s="22" t="n">
        <f aca="false">IF(21&gt;=Assumptions!$B$12+Assumptions!$B$66,-PMT(Assumptions!$B$80/12,Assumptions!$B$81,Assumptions!$B$64*Assumptions!$B$79),0)+IF(21&gt;=Assumptions!$B$12+Assumptions!$B$69,-PMT(Assumptions!$B$80/12,Assumptions!$B$81,Assumptions!$B$67*Assumptions!$B$79),0)+IF(21&gt;=Assumptions!$B$12+Assumptions!$B$72,-PMT(Assumptions!$B$80/12,Assumptions!$B$81,Assumptions!$B$70*Assumptions!$B$79),0)+IF(21&gt;=Assumptions!$B$12+Assumptions!$B$75,-PMT(Assumptions!$B$80/12,Assumptions!$B$81,Assumptions!$B$73*Assumptions!$B$79),0)+IF(21&gt;=Assumptions!$B$12+Assumptions!$B$78,-PMT(Assumptions!$B$80/12,Assumptions!$B$81,Assumptions!$B$76*Assumptions!$B$79),0)</f>
        <v>2300.02575908002</v>
      </c>
      <c r="W51" s="22" t="n">
        <f aca="false">IF(22&gt;=Assumptions!$B$12+Assumptions!$B$66,-PMT(Assumptions!$B$80/12,Assumptions!$B$81,Assumptions!$B$64*Assumptions!$B$79),0)+IF(22&gt;=Assumptions!$B$12+Assumptions!$B$69,-PMT(Assumptions!$B$80/12,Assumptions!$B$81,Assumptions!$B$67*Assumptions!$B$79),0)+IF(22&gt;=Assumptions!$B$12+Assumptions!$B$72,-PMT(Assumptions!$B$80/12,Assumptions!$B$81,Assumptions!$B$70*Assumptions!$B$79),0)+IF(22&gt;=Assumptions!$B$12+Assumptions!$B$75,-PMT(Assumptions!$B$80/12,Assumptions!$B$81,Assumptions!$B$73*Assumptions!$B$79),0)+IF(22&gt;=Assumptions!$B$12+Assumptions!$B$78,-PMT(Assumptions!$B$80/12,Assumptions!$B$81,Assumptions!$B$76*Assumptions!$B$79),0)</f>
        <v>2300.02575908002</v>
      </c>
      <c r="X51" s="22" t="n">
        <f aca="false">IF(23&gt;=Assumptions!$B$12+Assumptions!$B$66,-PMT(Assumptions!$B$80/12,Assumptions!$B$81,Assumptions!$B$64*Assumptions!$B$79),0)+IF(23&gt;=Assumptions!$B$12+Assumptions!$B$69,-PMT(Assumptions!$B$80/12,Assumptions!$B$81,Assumptions!$B$67*Assumptions!$B$79),0)+IF(23&gt;=Assumptions!$B$12+Assumptions!$B$72,-PMT(Assumptions!$B$80/12,Assumptions!$B$81,Assumptions!$B$70*Assumptions!$B$79),0)+IF(23&gt;=Assumptions!$B$12+Assumptions!$B$75,-PMT(Assumptions!$B$80/12,Assumptions!$B$81,Assumptions!$B$73*Assumptions!$B$79),0)+IF(23&gt;=Assumptions!$B$12+Assumptions!$B$78,-PMT(Assumptions!$B$80/12,Assumptions!$B$81,Assumptions!$B$76*Assumptions!$B$79),0)</f>
        <v>2300.02575908002</v>
      </c>
      <c r="Y51" s="22" t="n">
        <f aca="false">IF(24&gt;=Assumptions!$B$12+Assumptions!$B$66,-PMT(Assumptions!$B$80/12,Assumptions!$B$81,Assumptions!$B$64*Assumptions!$B$79),0)+IF(24&gt;=Assumptions!$B$12+Assumptions!$B$69,-PMT(Assumptions!$B$80/12,Assumptions!$B$81,Assumptions!$B$67*Assumptions!$B$79),0)+IF(24&gt;=Assumptions!$B$12+Assumptions!$B$72,-PMT(Assumptions!$B$80/12,Assumptions!$B$81,Assumptions!$B$70*Assumptions!$B$79),0)+IF(24&gt;=Assumptions!$B$12+Assumptions!$B$75,-PMT(Assumptions!$B$80/12,Assumptions!$B$81,Assumptions!$B$73*Assumptions!$B$79),0)+IF(24&gt;=Assumptions!$B$12+Assumptions!$B$78,-PMT(Assumptions!$B$80/12,Assumptions!$B$81,Assumptions!$B$76*Assumptions!$B$79),0)</f>
        <v>2300.02575908002</v>
      </c>
      <c r="Z51" s="22" t="n">
        <f aca="false">SUM(B51:M51)</f>
        <v>9415.98993067418</v>
      </c>
      <c r="AA51" s="22" t="n">
        <f aca="false">SUM(N51:Y51)</f>
        <v>27600.3091089603</v>
      </c>
      <c r="AB51" s="22" t="n">
        <f aca="false">SUM(B51:Y51)</f>
        <v>37016.2990396345</v>
      </c>
    </row>
    <row r="52" customFormat="false" ht="15" hidden="false" customHeight="false" outlineLevel="0" collapsed="false">
      <c r="A52" s="15" t="s">
        <v>195</v>
      </c>
      <c r="B52" s="24" t="n">
        <f aca="false">SUM(B39:B51)</f>
        <v>11100</v>
      </c>
      <c r="C52" s="24" t="n">
        <f aca="false">SUM(C39:C51)</f>
        <v>11700</v>
      </c>
      <c r="D52" s="24" t="n">
        <f aca="false">SUM(D39:D51)</f>
        <v>11700</v>
      </c>
      <c r="E52" s="24" t="n">
        <f aca="false">SUM(E39:E51)</f>
        <v>11700</v>
      </c>
      <c r="F52" s="24" t="n">
        <f aca="false">SUM(F39:F51)</f>
        <v>11700</v>
      </c>
      <c r="G52" s="24" t="n">
        <f aca="false">SUM(G39:G51)</f>
        <v>11700</v>
      </c>
      <c r="H52" s="24" t="n">
        <f aca="false">SUM(H39:H51)</f>
        <v>21638.6375511447</v>
      </c>
      <c r="I52" s="24" t="n">
        <f aca="false">SUM(I39:I51)</f>
        <v>17138.6375511447</v>
      </c>
      <c r="J52" s="24" t="n">
        <f aca="false">SUM(J39:J51)</f>
        <v>17138.6375511447</v>
      </c>
      <c r="K52" s="24" t="n">
        <f aca="false">SUM(K39:K51)</f>
        <v>14900.02575908</v>
      </c>
      <c r="L52" s="24" t="n">
        <f aca="false">SUM(L39:L51)</f>
        <v>14900.02575908</v>
      </c>
      <c r="M52" s="24" t="n">
        <f aca="false">SUM(M39:M51)</f>
        <v>14900.02575908</v>
      </c>
      <c r="N52" s="24" t="n">
        <f aca="false">SUM(N39:N51)</f>
        <v>14900.02575908</v>
      </c>
      <c r="O52" s="24" t="n">
        <f aca="false">SUM(O39:O51)</f>
        <v>14900.02575908</v>
      </c>
      <c r="P52" s="24" t="n">
        <f aca="false">SUM(P39:P51)</f>
        <v>14900.02575908</v>
      </c>
      <c r="Q52" s="24" t="n">
        <f aca="false">SUM(Q39:Q51)</f>
        <v>14900.02575908</v>
      </c>
      <c r="R52" s="24" t="n">
        <f aca="false">SUM(R39:R51)</f>
        <v>14900.02575908</v>
      </c>
      <c r="S52" s="24" t="n">
        <f aca="false">SUM(S39:S51)</f>
        <v>14900.02575908</v>
      </c>
      <c r="T52" s="24" t="n">
        <f aca="false">SUM(T39:T51)</f>
        <v>14900.02575908</v>
      </c>
      <c r="U52" s="24" t="n">
        <f aca="false">SUM(U39:U51)</f>
        <v>14900.02575908</v>
      </c>
      <c r="V52" s="24" t="n">
        <f aca="false">SUM(V39:V51)</f>
        <v>14900.02575908</v>
      </c>
      <c r="W52" s="24" t="n">
        <f aca="false">SUM(W39:W51)</f>
        <v>14900.02575908</v>
      </c>
      <c r="X52" s="24" t="n">
        <f aca="false">SUM(X39:X51)</f>
        <v>14900.02575908</v>
      </c>
      <c r="Y52" s="24" t="n">
        <f aca="false">SUM(Y39:Y51)</f>
        <v>14900.02575908</v>
      </c>
      <c r="Z52" s="23" t="n">
        <f aca="false">SUM(B52:M52)</f>
        <v>170215.989930674</v>
      </c>
      <c r="AA52" s="23" t="n">
        <f aca="false">SUM(N52:Y52)</f>
        <v>178800.30910896</v>
      </c>
      <c r="AB52" s="23" t="n">
        <f aca="false">SUM(B52:Y52)</f>
        <v>349016.299039634</v>
      </c>
    </row>
    <row r="53" customFormat="false" ht="15" hidden="false" customHeight="false" outlineLevel="0" collapsed="false">
      <c r="A53" s="15" t="s">
        <v>196</v>
      </c>
      <c r="B53" s="23" t="n">
        <f aca="false">B36-B52</f>
        <v>354.129534883716</v>
      </c>
      <c r="C53" s="23" t="n">
        <f aca="false">C36-C52</f>
        <v>1893.66441860465</v>
      </c>
      <c r="D53" s="23" t="n">
        <f aca="false">D36-D52</f>
        <v>4096.96805232558</v>
      </c>
      <c r="E53" s="23" t="n">
        <f aca="false">E36-E52</f>
        <v>6305.81322771317</v>
      </c>
      <c r="F53" s="23" t="n">
        <f aca="false">F36-F52</f>
        <v>8520.16300115633</v>
      </c>
      <c r="G53" s="23" t="n">
        <f aca="false">G36-G52</f>
        <v>10739.9806753347</v>
      </c>
      <c r="H53" s="23" t="n">
        <f aca="false">H36-H52</f>
        <v>14504.5884479823</v>
      </c>
      <c r="I53" s="23" t="n">
        <f aca="false">I36-I52</f>
        <v>21974.1075476522</v>
      </c>
      <c r="J53" s="23" t="n">
        <f aca="false">J36-J52</f>
        <v>24950.8034967352</v>
      </c>
      <c r="K53" s="23" t="n">
        <f aca="false">K36-K52</f>
        <v>30173.2402416331</v>
      </c>
      <c r="L53" s="23" t="n">
        <f aca="false">L36-L52</f>
        <v>30303.4779376749</v>
      </c>
      <c r="M53" s="23" t="n">
        <f aca="false">M36-M52</f>
        <v>30432.8473824097</v>
      </c>
      <c r="N53" s="23" t="n">
        <f aca="false">N36-N52</f>
        <v>30561.3543641796</v>
      </c>
      <c r="O53" s="23" t="n">
        <f aca="false">O36-O52</f>
        <v>30689.0046327377</v>
      </c>
      <c r="P53" s="23" t="n">
        <f aca="false">P36-P52</f>
        <v>30787.8351495054</v>
      </c>
      <c r="Q53" s="23" t="n">
        <f aca="false">Q36-Q52</f>
        <v>30886.0067961614</v>
      </c>
      <c r="R53" s="23" t="n">
        <f aca="false">R36-R52</f>
        <v>30983.5239651729</v>
      </c>
      <c r="S53" s="23" t="n">
        <f aca="false">S36-S52</f>
        <v>31080.3910197244</v>
      </c>
      <c r="T53" s="23" t="n">
        <f aca="false">T36-T52</f>
        <v>31176.6122939122</v>
      </c>
      <c r="U53" s="23" t="n">
        <f aca="false">U36-U52</f>
        <v>31272.1920929388</v>
      </c>
      <c r="V53" s="23" t="n">
        <f aca="false">V36-V52</f>
        <v>31367.1346933052</v>
      </c>
      <c r="W53" s="23" t="n">
        <f aca="false">W36-W52</f>
        <v>31461.4443430025</v>
      </c>
      <c r="X53" s="23" t="n">
        <f aca="false">X36-X52</f>
        <v>31555.1252617018</v>
      </c>
      <c r="Y53" s="23" t="n">
        <f aca="false">Y36-Y52</f>
        <v>31648.1816409431</v>
      </c>
      <c r="Z53" s="23" t="n">
        <f aca="false">SUM(B53:M53)</f>
        <v>184249.783964105</v>
      </c>
      <c r="AA53" s="23" t="n">
        <f aca="false">SUM(N53:Y53)</f>
        <v>373468.806253285</v>
      </c>
      <c r="AB53" s="23" t="n">
        <f aca="false">SUM(B53:Y53)</f>
        <v>557718.59021739</v>
      </c>
    </row>
    <row r="54" customFormat="false" ht="15" hidden="false" customHeight="false" outlineLevel="0" collapsed="false">
      <c r="A54" s="17" t="s">
        <v>197</v>
      </c>
      <c r="B54" s="20" t="n">
        <f aca="false">IF(B29=0,0,B53/B29)</f>
        <v>0.0111720983125457</v>
      </c>
      <c r="C54" s="20" t="n">
        <f aca="false">IF(C29=0,0,C53/C29)</f>
        <v>0.0550930784844384</v>
      </c>
      <c r="D54" s="20" t="n">
        <f aca="false">IF(D29=0,0,D53/D29)</f>
        <v>0.110325676983923</v>
      </c>
      <c r="E54" s="20" t="n">
        <f aca="false">IF(E29=0,0,E53/E29)</f>
        <v>0.158016466505621</v>
      </c>
      <c r="F54" s="20" t="n">
        <f aca="false">IF(F29=0,0,F53/F29)</f>
        <v>0.199607693738617</v>
      </c>
      <c r="G54" s="20" t="n">
        <f aca="false">IF(G29=0,0,G53/G29)</f>
        <v>0.23619594794243</v>
      </c>
      <c r="H54" s="20" t="n">
        <f aca="false">IF(H29=0,0,H53/H29)</f>
        <v>0.181318312285694</v>
      </c>
      <c r="I54" s="20" t="n">
        <f aca="false">IF(I29=0,0,I53/I29)</f>
        <v>0.262460320786251</v>
      </c>
      <c r="J54" s="20" t="n">
        <f aca="false">IF(J29=0,0,J53/J29)</f>
        <v>0.285276255500414</v>
      </c>
      <c r="K54" s="20" t="n">
        <f aca="false">IF(K29=0,0,K53/K29)</f>
        <v>0.330810018901944</v>
      </c>
      <c r="L54" s="20" t="n">
        <f aca="false">IF(L29=0,0,L53/L29)</f>
        <v>0.331579296289177</v>
      </c>
      <c r="M54" s="20" t="n">
        <f aca="false">IF(M29=0,0,M53/M29)</f>
        <v>0.332340431588873</v>
      </c>
      <c r="N54" s="20" t="n">
        <f aca="false">IF(N29=0,0,N53/N29)</f>
        <v>0.333093536625929</v>
      </c>
      <c r="O54" s="20" t="n">
        <f aca="false">IF(O29=0,0,O53/O29)</f>
        <v>0.333838721233578</v>
      </c>
      <c r="P54" s="20" t="n">
        <f aca="false">IF(P29=0,0,P53/P29)</f>
        <v>0.334413690320869</v>
      </c>
      <c r="Q54" s="20" t="n">
        <f aca="false">IF(Q29=0,0,Q53/Q29)</f>
        <v>0.334983128748838</v>
      </c>
      <c r="R54" s="20" t="n">
        <f aca="false">IF(R29=0,0,R53/R29)</f>
        <v>0.335547103378607</v>
      </c>
      <c r="S54" s="20" t="n">
        <f aca="false">IF(S29=0,0,S53/S29)</f>
        <v>0.336105680036491</v>
      </c>
      <c r="T54" s="20" t="n">
        <f aca="false">IF(T29=0,0,T53/T29)</f>
        <v>0.336658923533947</v>
      </c>
      <c r="U54" s="20" t="n">
        <f aca="false">IF(U29=0,0,U53/U29)</f>
        <v>0.337206897687063</v>
      </c>
      <c r="V54" s="20" t="n">
        <f aca="false">IF(V29=0,0,V53/V29)</f>
        <v>0.337749665335602</v>
      </c>
      <c r="W54" s="20" t="n">
        <f aca="false">IF(W29=0,0,W53/W29)</f>
        <v>0.338287288361602</v>
      </c>
      <c r="X54" s="20" t="n">
        <f aca="false">IF(X29=0,0,X53/X29)</f>
        <v>0.338819827707556</v>
      </c>
      <c r="Y54" s="20" t="n">
        <f aca="false">IF(Y29=0,0,Y53/Y29)</f>
        <v>0.339347343394183</v>
      </c>
      <c r="Z54" s="2"/>
      <c r="AA54" s="2"/>
      <c r="AB54" s="2"/>
    </row>
    <row r="55" customFormat="false" ht="15" hidden="false" customHeight="false" outlineLevel="0" collapsed="false">
      <c r="A55" s="4" t="s">
        <v>198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customFormat="false" ht="15" hidden="false" customHeight="false" outlineLevel="0" collapsed="false">
      <c r="A56" s="17" t="s">
        <v>199</v>
      </c>
      <c r="B56" s="22" t="n">
        <f aca="false">B25*Assumptions!$B$36+B25*(1-Assumptions!$B$36)*Assumptions!$B$37+0+B28</f>
        <v>29478.8372093023</v>
      </c>
      <c r="C56" s="22" t="n">
        <f aca="false">C25*Assumptions!$B$36+C25*(1-Assumptions!$B$36)*Assumptions!$B$37+B25*(1-Assumptions!$B$36)*(1-Assumptions!$B$37)+C28</f>
        <v>34184.8837209302</v>
      </c>
      <c r="D56" s="22" t="n">
        <f aca="false">D25*Assumptions!$B$36+D25*(1-Assumptions!$B$36)*Assumptions!$B$37+C25*(1-Assumptions!$B$36)*(1-Assumptions!$B$37)+D28</f>
        <v>36948.0085755814</v>
      </c>
      <c r="E56" s="22" t="n">
        <f aca="false">E25*Assumptions!$B$36+E25*(1-Assumptions!$B$36)*Assumptions!$B$37+D25*(1-Assumptions!$B$36)*(1-Assumptions!$B$37)+E28</f>
        <v>39718.8420552326</v>
      </c>
      <c r="F56" s="22" t="n">
        <f aca="false">F25*Assumptions!$B$36+F25*(1-Assumptions!$B$36)*Assumptions!$B$37+E25*(1-Assumptions!$B$36)*(1-Assumptions!$B$37)+F28</f>
        <v>42497.3327690504</v>
      </c>
      <c r="G56" s="22" t="n">
        <f aca="false">G25*Assumptions!$B$36+G25*(1-Assumptions!$B$36)*Assumptions!$B$37+F25*(1-Assumptions!$B$36)*(1-Assumptions!$B$37)+G28</f>
        <v>45283.4296688071</v>
      </c>
      <c r="H56" s="22" t="n">
        <f aca="false">H25*Assumptions!$B$36+H25*(1-Assumptions!$B$36)*Assumptions!$B$37+G25*(1-Assumptions!$B$36)*(1-Assumptions!$B$37)+H28</f>
        <v>77589.1192558988</v>
      </c>
      <c r="I56" s="22" t="n">
        <f aca="false">I25*Assumptions!$B$36+I25*(1-Assumptions!$B$36)*Assumptions!$B$37+H25*(1-Assumptions!$B$36)*(1-Assumptions!$B$37)+I28</f>
        <v>83473.9290519447</v>
      </c>
      <c r="J56" s="22" t="n">
        <f aca="false">J25*Assumptions!$B$36+J25*(1-Assumptions!$B$36)*Assumptions!$B$37+I25*(1-Assumptions!$B$36)*(1-Assumptions!$B$37)+J28</f>
        <v>87212.2881780325</v>
      </c>
      <c r="K56" s="22" t="n">
        <f aca="false">K25*Assumptions!$B$36+K25*(1-Assumptions!$B$36)*Assumptions!$B$37+J25*(1-Assumptions!$B$36)*(1-Assumptions!$B$37)+K28</f>
        <v>90960.5641864322</v>
      </c>
      <c r="L56" s="22" t="n">
        <f aca="false">L25*Assumptions!$B$36+L25*(1-Assumptions!$B$36)*Assumptions!$B$37+K25*(1-Assumptions!$B$36)*(1-Assumptions!$B$37)+L28</f>
        <v>91391.3452281609</v>
      </c>
      <c r="M56" s="22" t="n">
        <f aca="false">M25*Assumptions!$B$36+M25*(1-Assumptions!$B$36)*Assumptions!$B$37+L25*(1-Assumptions!$B$36)*(1-Assumptions!$B$37)+M28</f>
        <v>91571.3060758646</v>
      </c>
      <c r="N56" s="22" t="n">
        <f aca="false">N25*Assumptions!$B$36+N25*(1-Assumptions!$B$36)*Assumptions!$B$37+M25*(1-Assumptions!$B$36)*(1-Assumptions!$B$37)+N28</f>
        <v>91750.0671845837</v>
      </c>
      <c r="O56" s="22" t="n">
        <f aca="false">O25*Assumptions!$B$36+O25*(1-Assumptions!$B$36)*Assumptions!$B$37+N25*(1-Assumptions!$B$36)*(1-Assumptions!$B$37)+O28</f>
        <v>91927.6365525779</v>
      </c>
      <c r="P56" s="22" t="n">
        <f aca="false">P25*Assumptions!$B$36+P25*(1-Assumptions!$B$36)*Assumptions!$B$37+O25*(1-Assumptions!$B$36)*(1-Assumptions!$B$37)+P28</f>
        <v>92065.1158747855</v>
      </c>
      <c r="Q56" s="22" t="n">
        <f aca="false">Q25*Assumptions!$B$36+Q25*(1-Assumptions!$B$36)*Assumptions!$B$37+P25*(1-Assumptions!$B$36)*(1-Assumptions!$B$37)+Q28</f>
        <v>92201.6786681784</v>
      </c>
      <c r="R56" s="22" t="n">
        <f aca="false">R25*Assumptions!$B$36+R25*(1-Assumptions!$B$36)*Assumptions!$B$37+Q25*(1-Assumptions!$B$36)*(1-Assumptions!$B$37)+R28</f>
        <v>92337.3310429487</v>
      </c>
      <c r="S56" s="22" t="n">
        <f aca="false">S25*Assumptions!$B$36+S25*(1-Assumptions!$B$36)*Assumptions!$B$37+R25*(1-Assumptions!$B$36)*(1-Assumptions!$B$37)+S28</f>
        <v>92472.0790685539</v>
      </c>
      <c r="T56" s="22" t="n">
        <f aca="false">T25*Assumptions!$B$36+T25*(1-Assumptions!$B$36)*Assumptions!$B$37+S25*(1-Assumptions!$B$36)*(1-Assumptions!$B$37)+T28</f>
        <v>92605.9287739883</v>
      </c>
      <c r="U56" s="22" t="n">
        <f aca="false">U25*Assumptions!$B$36+U25*(1-Assumptions!$B$36)*Assumptions!$B$37+T25*(1-Assumptions!$B$36)*(1-Assumptions!$B$37)+U28</f>
        <v>92738.8861480532</v>
      </c>
      <c r="V56" s="22" t="n">
        <f aca="false">V25*Assumptions!$B$36+V25*(1-Assumptions!$B$36)*Assumptions!$B$37+U25*(1-Assumptions!$B$36)*(1-Assumptions!$B$37)+V28</f>
        <v>92870.9571396243</v>
      </c>
      <c r="W56" s="22" t="n">
        <f aca="false">W25*Assumptions!$B$36+W25*(1-Assumptions!$B$36)*Assumptions!$B$37+V25*(1-Assumptions!$B$36)*(1-Assumptions!$B$37)+W28</f>
        <v>93002.1476579183</v>
      </c>
      <c r="X56" s="22" t="n">
        <f aca="false">X25*Assumptions!$B$36+X25*(1-Assumptions!$B$36)*Assumptions!$B$37+W25*(1-Assumptions!$B$36)*(1-Assumptions!$B$37)+X28</f>
        <v>93132.463572757</v>
      </c>
      <c r="Y56" s="22" t="n">
        <f aca="false">Y25*Assumptions!$B$36+Y25*(1-Assumptions!$B$36)*Assumptions!$B$37+X25*(1-Assumptions!$B$36)*(1-Assumptions!$B$37)+Y28</f>
        <v>93261.9107148301</v>
      </c>
      <c r="Z56" s="22" t="n">
        <f aca="false">SUM(B56:M56)</f>
        <v>750309.885975238</v>
      </c>
      <c r="AA56" s="22" t="n">
        <f aca="false">SUM(N56:Y56)</f>
        <v>1110366.2023988</v>
      </c>
      <c r="AB56" s="22" t="n">
        <f aca="false">SUM(B56:Y56)</f>
        <v>1860676.08837404</v>
      </c>
    </row>
    <row r="57" customFormat="false" ht="15" hidden="false" customHeight="false" outlineLevel="0" collapsed="false">
      <c r="A57" s="17" t="s">
        <v>200</v>
      </c>
      <c r="B57" s="22" t="n">
        <f aca="false">B35+B52</f>
        <v>31343.5448837209</v>
      </c>
      <c r="C57" s="22" t="n">
        <f aca="false">C35+C52</f>
        <v>32478.4286046512</v>
      </c>
      <c r="D57" s="22" t="n">
        <f aca="false">D35+D52</f>
        <v>33038.2498255814</v>
      </c>
      <c r="E57" s="22" t="n">
        <f aca="false">E35+E52</f>
        <v>33600.238129845</v>
      </c>
      <c r="F57" s="22" t="n">
        <f aca="false">F35+F52</f>
        <v>34164.3790702196</v>
      </c>
      <c r="G57" s="22" t="n">
        <f aca="false">G35+G52</f>
        <v>34730.658295798</v>
      </c>
      <c r="H57" s="22" t="n">
        <f aca="false">H35+H52</f>
        <v>65490.5773195444</v>
      </c>
      <c r="I57" s="22" t="n">
        <f aca="false">I35+I52</f>
        <v>61749.4339073933</v>
      </c>
      <c r="J57" s="22" t="n">
        <f aca="false">J35+J52</f>
        <v>62511.0970843982</v>
      </c>
      <c r="K57" s="22" t="n">
        <f aca="false">K35+K52</f>
        <v>61036.9363478999</v>
      </c>
      <c r="L57" s="22" t="n">
        <f aca="false">L35+L52</f>
        <v>61087.8672904861</v>
      </c>
      <c r="M57" s="22" t="n">
        <f aca="false">M35+M52</f>
        <v>61138.458693455</v>
      </c>
      <c r="N57" s="22" t="n">
        <f aca="false">N35+N52</f>
        <v>61188.7128204041</v>
      </c>
      <c r="O57" s="22" t="n">
        <f aca="false">O35+O52</f>
        <v>61238.6319198402</v>
      </c>
      <c r="P57" s="22" t="n">
        <f aca="false">P35+P52</f>
        <v>61277.2807252801</v>
      </c>
      <c r="Q57" s="22" t="n">
        <f aca="false">Q35+Q52</f>
        <v>61315.6718720171</v>
      </c>
      <c r="R57" s="22" t="n">
        <f aca="false">R35+R52</f>
        <v>61353.8070777758</v>
      </c>
      <c r="S57" s="22" t="n">
        <f aca="false">S35+S52</f>
        <v>61391.6880488295</v>
      </c>
      <c r="T57" s="22" t="n">
        <f aca="false">T35+T52</f>
        <v>61429.3164800761</v>
      </c>
      <c r="U57" s="22" t="n">
        <f aca="false">U35+U52</f>
        <v>61466.6940551144</v>
      </c>
      <c r="V57" s="22" t="n">
        <f aca="false">V35+V52</f>
        <v>61503.8224463191</v>
      </c>
      <c r="W57" s="22" t="n">
        <f aca="false">W35+W52</f>
        <v>61540.7033149158</v>
      </c>
      <c r="X57" s="22" t="n">
        <f aca="false">X35+X52</f>
        <v>61577.3383110552</v>
      </c>
      <c r="Y57" s="22" t="n">
        <f aca="false">Y35+Y52</f>
        <v>61613.729073887</v>
      </c>
      <c r="Z57" s="22" t="n">
        <f aca="false">SUM(B57:M57)</f>
        <v>572369.869452993</v>
      </c>
      <c r="AA57" s="22" t="n">
        <f aca="false">SUM(N57:Y57)</f>
        <v>736897.396145515</v>
      </c>
      <c r="AB57" s="22" t="n">
        <f aca="false">SUM(B57:Y57)</f>
        <v>1309267.26559851</v>
      </c>
    </row>
    <row r="58" customFormat="false" ht="15" hidden="false" customHeight="false" outlineLevel="0" collapsed="false">
      <c r="A58" s="17" t="s">
        <v>201</v>
      </c>
      <c r="B58" s="22" t="n">
        <f aca="false">IF(1=Assumptions!$B$12+Assumptions!$B$66,Assumptions!$B$64*(1-Assumptions!$B$79),0)+IF(1=Assumptions!$B$12+Assumptions!$B$69,Assumptions!$B$67*(1-Assumptions!$B$79),0)+IF(1=Assumptions!$B$12+Assumptions!$B$72,Assumptions!$B$70*(1-Assumptions!$B$79),0)+IF(1=Assumptions!$B$12+Assumptions!$B$75,Assumptions!$B$73*(1-Assumptions!$B$79),0)+IF(1=Assumptions!$B$12+Assumptions!$B$78,Assumptions!$B$76*(1-Assumptions!$B$79),0)</f>
        <v>0</v>
      </c>
      <c r="C58" s="22" t="n">
        <f aca="false">IF(2=Assumptions!$B$12+Assumptions!$B$66,Assumptions!$B$64*(1-Assumptions!$B$79),0)+IF(2=Assumptions!$B$12+Assumptions!$B$69,Assumptions!$B$67*(1-Assumptions!$B$79),0)+IF(2=Assumptions!$B$12+Assumptions!$B$72,Assumptions!$B$70*(1-Assumptions!$B$79),0)+IF(2=Assumptions!$B$12+Assumptions!$B$75,Assumptions!$B$73*(1-Assumptions!$B$79),0)+IF(2=Assumptions!$B$12+Assumptions!$B$78,Assumptions!$B$76*(1-Assumptions!$B$79),0)</f>
        <v>0</v>
      </c>
      <c r="D58" s="22" t="n">
        <f aca="false">IF(3=Assumptions!$B$12+Assumptions!$B$66,Assumptions!$B$64*(1-Assumptions!$B$79),0)+IF(3=Assumptions!$B$12+Assumptions!$B$69,Assumptions!$B$67*(1-Assumptions!$B$79),0)+IF(3=Assumptions!$B$12+Assumptions!$B$72,Assumptions!$B$70*(1-Assumptions!$B$79),0)+IF(3=Assumptions!$B$12+Assumptions!$B$75,Assumptions!$B$73*(1-Assumptions!$B$79),0)+IF(3=Assumptions!$B$12+Assumptions!$B$78,Assumptions!$B$76*(1-Assumptions!$B$79),0)</f>
        <v>0</v>
      </c>
      <c r="E58" s="22" t="n">
        <f aca="false">IF(4=Assumptions!$B$12+Assumptions!$B$66,Assumptions!$B$64*(1-Assumptions!$B$79),0)+IF(4=Assumptions!$B$12+Assumptions!$B$69,Assumptions!$B$67*(1-Assumptions!$B$79),0)+IF(4=Assumptions!$B$12+Assumptions!$B$72,Assumptions!$B$70*(1-Assumptions!$B$79),0)+IF(4=Assumptions!$B$12+Assumptions!$B$75,Assumptions!$B$73*(1-Assumptions!$B$79),0)+IF(4=Assumptions!$B$12+Assumptions!$B$78,Assumptions!$B$76*(1-Assumptions!$B$79),0)</f>
        <v>0</v>
      </c>
      <c r="F58" s="22" t="n">
        <f aca="false">IF(5=Assumptions!$B$12+Assumptions!$B$66,Assumptions!$B$64*(1-Assumptions!$B$79),0)+IF(5=Assumptions!$B$12+Assumptions!$B$69,Assumptions!$B$67*(1-Assumptions!$B$79),0)+IF(5=Assumptions!$B$12+Assumptions!$B$72,Assumptions!$B$70*(1-Assumptions!$B$79),0)+IF(5=Assumptions!$B$12+Assumptions!$B$75,Assumptions!$B$73*(1-Assumptions!$B$79),0)+IF(5=Assumptions!$B$12+Assumptions!$B$78,Assumptions!$B$76*(1-Assumptions!$B$79),0)</f>
        <v>0</v>
      </c>
      <c r="G58" s="22" t="n">
        <f aca="false">IF(6=Assumptions!$B$12+Assumptions!$B$66,Assumptions!$B$64*(1-Assumptions!$B$79),0)+IF(6=Assumptions!$B$12+Assumptions!$B$69,Assumptions!$B$67*(1-Assumptions!$B$79),0)+IF(6=Assumptions!$B$12+Assumptions!$B$72,Assumptions!$B$70*(1-Assumptions!$B$79),0)+IF(6=Assumptions!$B$12+Assumptions!$B$75,Assumptions!$B$73*(1-Assumptions!$B$79),0)+IF(6=Assumptions!$B$12+Assumptions!$B$78,Assumptions!$B$76*(1-Assumptions!$B$79),0)</f>
        <v>0</v>
      </c>
      <c r="H58" s="22" t="n">
        <f aca="false">IF(7=Assumptions!$B$12+Assumptions!$B$66,Assumptions!$B$64*(1-Assumptions!$B$79),0)+IF(7=Assumptions!$B$12+Assumptions!$B$69,Assumptions!$B$67*(1-Assumptions!$B$79),0)+IF(7=Assumptions!$B$12+Assumptions!$B$72,Assumptions!$B$70*(1-Assumptions!$B$79),0)+IF(7=Assumptions!$B$12+Assumptions!$B$75,Assumptions!$B$73*(1-Assumptions!$B$79),0)+IF(7=Assumptions!$B$12+Assumptions!$B$78,Assumptions!$B$76*(1-Assumptions!$B$79),0)</f>
        <v>10100</v>
      </c>
      <c r="I58" s="22" t="n">
        <f aca="false">IF(8=Assumptions!$B$12+Assumptions!$B$66,Assumptions!$B$64*(1-Assumptions!$B$79),0)+IF(8=Assumptions!$B$12+Assumptions!$B$69,Assumptions!$B$67*(1-Assumptions!$B$79),0)+IF(8=Assumptions!$B$12+Assumptions!$B$72,Assumptions!$B$70*(1-Assumptions!$B$79),0)+IF(8=Assumptions!$B$12+Assumptions!$B$75,Assumptions!$B$73*(1-Assumptions!$B$79),0)+IF(8=Assumptions!$B$12+Assumptions!$B$78,Assumptions!$B$76*(1-Assumptions!$B$79),0)</f>
        <v>0</v>
      </c>
      <c r="J58" s="22" t="n">
        <f aca="false">IF(9=Assumptions!$B$12+Assumptions!$B$66,Assumptions!$B$64*(1-Assumptions!$B$79),0)+IF(9=Assumptions!$B$12+Assumptions!$B$69,Assumptions!$B$67*(1-Assumptions!$B$79),0)+IF(9=Assumptions!$B$12+Assumptions!$B$72,Assumptions!$B$70*(1-Assumptions!$B$79),0)+IF(9=Assumptions!$B$12+Assumptions!$B$75,Assumptions!$B$73*(1-Assumptions!$B$79),0)+IF(9=Assumptions!$B$12+Assumptions!$B$78,Assumptions!$B$76*(1-Assumptions!$B$79),0)</f>
        <v>0</v>
      </c>
      <c r="K58" s="22" t="n">
        <f aca="false">IF(10=Assumptions!$B$12+Assumptions!$B$66,Assumptions!$B$64*(1-Assumptions!$B$79),0)+IF(10=Assumptions!$B$12+Assumptions!$B$69,Assumptions!$B$67*(1-Assumptions!$B$79),0)+IF(10=Assumptions!$B$12+Assumptions!$B$72,Assumptions!$B$70*(1-Assumptions!$B$79),0)+IF(10=Assumptions!$B$12+Assumptions!$B$75,Assumptions!$B$73*(1-Assumptions!$B$79),0)+IF(10=Assumptions!$B$12+Assumptions!$B$78,Assumptions!$B$76*(1-Assumptions!$B$79),0)</f>
        <v>17600</v>
      </c>
      <c r="L58" s="22" t="n">
        <f aca="false">IF(11=Assumptions!$B$12+Assumptions!$B$66,Assumptions!$B$64*(1-Assumptions!$B$79),0)+IF(11=Assumptions!$B$12+Assumptions!$B$69,Assumptions!$B$67*(1-Assumptions!$B$79),0)+IF(11=Assumptions!$B$12+Assumptions!$B$72,Assumptions!$B$70*(1-Assumptions!$B$79),0)+IF(11=Assumptions!$B$12+Assumptions!$B$75,Assumptions!$B$73*(1-Assumptions!$B$79),0)+IF(11=Assumptions!$B$12+Assumptions!$B$78,Assumptions!$B$76*(1-Assumptions!$B$79),0)</f>
        <v>0</v>
      </c>
      <c r="M58" s="22" t="n">
        <f aca="false">IF(12=Assumptions!$B$12+Assumptions!$B$66,Assumptions!$B$64*(1-Assumptions!$B$79),0)+IF(12=Assumptions!$B$12+Assumptions!$B$69,Assumptions!$B$67*(1-Assumptions!$B$79),0)+IF(12=Assumptions!$B$12+Assumptions!$B$72,Assumptions!$B$70*(1-Assumptions!$B$79),0)+IF(12=Assumptions!$B$12+Assumptions!$B$75,Assumptions!$B$73*(1-Assumptions!$B$79),0)+IF(12=Assumptions!$B$12+Assumptions!$B$78,Assumptions!$B$76*(1-Assumptions!$B$79),0)</f>
        <v>0</v>
      </c>
      <c r="N58" s="22" t="n">
        <f aca="false">IF(13=Assumptions!$B$12+Assumptions!$B$66,Assumptions!$B$64*(1-Assumptions!$B$79),0)+IF(13=Assumptions!$B$12+Assumptions!$B$69,Assumptions!$B$67*(1-Assumptions!$B$79),0)+IF(13=Assumptions!$B$12+Assumptions!$B$72,Assumptions!$B$70*(1-Assumptions!$B$79),0)+IF(13=Assumptions!$B$12+Assumptions!$B$75,Assumptions!$B$73*(1-Assumptions!$B$79),0)+IF(13=Assumptions!$B$12+Assumptions!$B$78,Assumptions!$B$76*(1-Assumptions!$B$79),0)</f>
        <v>0</v>
      </c>
      <c r="O58" s="22" t="n">
        <f aca="false">IF(14=Assumptions!$B$12+Assumptions!$B$66,Assumptions!$B$64*(1-Assumptions!$B$79),0)+IF(14=Assumptions!$B$12+Assumptions!$B$69,Assumptions!$B$67*(1-Assumptions!$B$79),0)+IF(14=Assumptions!$B$12+Assumptions!$B$72,Assumptions!$B$70*(1-Assumptions!$B$79),0)+IF(14=Assumptions!$B$12+Assumptions!$B$75,Assumptions!$B$73*(1-Assumptions!$B$79),0)+IF(14=Assumptions!$B$12+Assumptions!$B$78,Assumptions!$B$76*(1-Assumptions!$B$79),0)</f>
        <v>0</v>
      </c>
      <c r="P58" s="22" t="n">
        <f aca="false">IF(15=Assumptions!$B$12+Assumptions!$B$66,Assumptions!$B$64*(1-Assumptions!$B$79),0)+IF(15=Assumptions!$B$12+Assumptions!$B$69,Assumptions!$B$67*(1-Assumptions!$B$79),0)+IF(15=Assumptions!$B$12+Assumptions!$B$72,Assumptions!$B$70*(1-Assumptions!$B$79),0)+IF(15=Assumptions!$B$12+Assumptions!$B$75,Assumptions!$B$73*(1-Assumptions!$B$79),0)+IF(15=Assumptions!$B$12+Assumptions!$B$78,Assumptions!$B$76*(1-Assumptions!$B$79),0)</f>
        <v>0</v>
      </c>
      <c r="Q58" s="22" t="n">
        <f aca="false">IF(16=Assumptions!$B$12+Assumptions!$B$66,Assumptions!$B$64*(1-Assumptions!$B$79),0)+IF(16=Assumptions!$B$12+Assumptions!$B$69,Assumptions!$B$67*(1-Assumptions!$B$79),0)+IF(16=Assumptions!$B$12+Assumptions!$B$72,Assumptions!$B$70*(1-Assumptions!$B$79),0)+IF(16=Assumptions!$B$12+Assumptions!$B$75,Assumptions!$B$73*(1-Assumptions!$B$79),0)+IF(16=Assumptions!$B$12+Assumptions!$B$78,Assumptions!$B$76*(1-Assumptions!$B$79),0)</f>
        <v>0</v>
      </c>
      <c r="R58" s="22" t="n">
        <f aca="false">IF(17=Assumptions!$B$12+Assumptions!$B$66,Assumptions!$B$64*(1-Assumptions!$B$79),0)+IF(17=Assumptions!$B$12+Assumptions!$B$69,Assumptions!$B$67*(1-Assumptions!$B$79),0)+IF(17=Assumptions!$B$12+Assumptions!$B$72,Assumptions!$B$70*(1-Assumptions!$B$79),0)+IF(17=Assumptions!$B$12+Assumptions!$B$75,Assumptions!$B$73*(1-Assumptions!$B$79),0)+IF(17=Assumptions!$B$12+Assumptions!$B$78,Assumptions!$B$76*(1-Assumptions!$B$79),0)</f>
        <v>0</v>
      </c>
      <c r="S58" s="22" t="n">
        <f aca="false">IF(18=Assumptions!$B$12+Assumptions!$B$66,Assumptions!$B$64*(1-Assumptions!$B$79),0)+IF(18=Assumptions!$B$12+Assumptions!$B$69,Assumptions!$B$67*(1-Assumptions!$B$79),0)+IF(18=Assumptions!$B$12+Assumptions!$B$72,Assumptions!$B$70*(1-Assumptions!$B$79),0)+IF(18=Assumptions!$B$12+Assumptions!$B$75,Assumptions!$B$73*(1-Assumptions!$B$79),0)+IF(18=Assumptions!$B$12+Assumptions!$B$78,Assumptions!$B$76*(1-Assumptions!$B$79),0)</f>
        <v>0</v>
      </c>
      <c r="T58" s="22" t="n">
        <f aca="false">IF(19=Assumptions!$B$12+Assumptions!$B$66,Assumptions!$B$64*(1-Assumptions!$B$79),0)+IF(19=Assumptions!$B$12+Assumptions!$B$69,Assumptions!$B$67*(1-Assumptions!$B$79),0)+IF(19=Assumptions!$B$12+Assumptions!$B$72,Assumptions!$B$70*(1-Assumptions!$B$79),0)+IF(19=Assumptions!$B$12+Assumptions!$B$75,Assumptions!$B$73*(1-Assumptions!$B$79),0)+IF(19=Assumptions!$B$12+Assumptions!$B$78,Assumptions!$B$76*(1-Assumptions!$B$79),0)</f>
        <v>0</v>
      </c>
      <c r="U58" s="22" t="n">
        <f aca="false">IF(20=Assumptions!$B$12+Assumptions!$B$66,Assumptions!$B$64*(1-Assumptions!$B$79),0)+IF(20=Assumptions!$B$12+Assumptions!$B$69,Assumptions!$B$67*(1-Assumptions!$B$79),0)+IF(20=Assumptions!$B$12+Assumptions!$B$72,Assumptions!$B$70*(1-Assumptions!$B$79),0)+IF(20=Assumptions!$B$12+Assumptions!$B$75,Assumptions!$B$73*(1-Assumptions!$B$79),0)+IF(20=Assumptions!$B$12+Assumptions!$B$78,Assumptions!$B$76*(1-Assumptions!$B$79),0)</f>
        <v>0</v>
      </c>
      <c r="V58" s="22" t="n">
        <f aca="false">IF(21=Assumptions!$B$12+Assumptions!$B$66,Assumptions!$B$64*(1-Assumptions!$B$79),0)+IF(21=Assumptions!$B$12+Assumptions!$B$69,Assumptions!$B$67*(1-Assumptions!$B$79),0)+IF(21=Assumptions!$B$12+Assumptions!$B$72,Assumptions!$B$70*(1-Assumptions!$B$79),0)+IF(21=Assumptions!$B$12+Assumptions!$B$75,Assumptions!$B$73*(1-Assumptions!$B$79),0)+IF(21=Assumptions!$B$12+Assumptions!$B$78,Assumptions!$B$76*(1-Assumptions!$B$79),0)</f>
        <v>0</v>
      </c>
      <c r="W58" s="22" t="n">
        <f aca="false">IF(22=Assumptions!$B$12+Assumptions!$B$66,Assumptions!$B$64*(1-Assumptions!$B$79),0)+IF(22=Assumptions!$B$12+Assumptions!$B$69,Assumptions!$B$67*(1-Assumptions!$B$79),0)+IF(22=Assumptions!$B$12+Assumptions!$B$72,Assumptions!$B$70*(1-Assumptions!$B$79),0)+IF(22=Assumptions!$B$12+Assumptions!$B$75,Assumptions!$B$73*(1-Assumptions!$B$79),0)+IF(22=Assumptions!$B$12+Assumptions!$B$78,Assumptions!$B$76*(1-Assumptions!$B$79),0)</f>
        <v>0</v>
      </c>
      <c r="X58" s="22" t="n">
        <f aca="false">IF(23=Assumptions!$B$12+Assumptions!$B$66,Assumptions!$B$64*(1-Assumptions!$B$79),0)+IF(23=Assumptions!$B$12+Assumptions!$B$69,Assumptions!$B$67*(1-Assumptions!$B$79),0)+IF(23=Assumptions!$B$12+Assumptions!$B$72,Assumptions!$B$70*(1-Assumptions!$B$79),0)+IF(23=Assumptions!$B$12+Assumptions!$B$75,Assumptions!$B$73*(1-Assumptions!$B$79),0)+IF(23=Assumptions!$B$12+Assumptions!$B$78,Assumptions!$B$76*(1-Assumptions!$B$79),0)</f>
        <v>0</v>
      </c>
      <c r="Y58" s="22" t="n">
        <f aca="false">IF(24=Assumptions!$B$12+Assumptions!$B$66,Assumptions!$B$64*(1-Assumptions!$B$79),0)+IF(24=Assumptions!$B$12+Assumptions!$B$69,Assumptions!$B$67*(1-Assumptions!$B$79),0)+IF(24=Assumptions!$B$12+Assumptions!$B$72,Assumptions!$B$70*(1-Assumptions!$B$79),0)+IF(24=Assumptions!$B$12+Assumptions!$B$75,Assumptions!$B$73*(1-Assumptions!$B$79),0)+IF(24=Assumptions!$B$12+Assumptions!$B$78,Assumptions!$B$76*(1-Assumptions!$B$79),0)</f>
        <v>0</v>
      </c>
      <c r="Z58" s="22" t="n">
        <f aca="false">SUM(B58:M58)</f>
        <v>27700</v>
      </c>
      <c r="AA58" s="22" t="n">
        <f aca="false">SUM(N58:Y58)</f>
        <v>0</v>
      </c>
      <c r="AB58" s="22" t="n">
        <f aca="false">SUM(B58:Y58)</f>
        <v>27700</v>
      </c>
    </row>
    <row r="59" customFormat="false" ht="15" hidden="false" customHeight="false" outlineLevel="0" collapsed="false">
      <c r="A59" s="15" t="s">
        <v>202</v>
      </c>
      <c r="B59" s="24" t="n">
        <f aca="false">B56-B57-B58</f>
        <v>-1864.70767441861</v>
      </c>
      <c r="C59" s="24" t="n">
        <f aca="false">C56-C57-C58</f>
        <v>1706.45511627907</v>
      </c>
      <c r="D59" s="24" t="n">
        <f aca="false">D56-D57-D58</f>
        <v>3909.75875</v>
      </c>
      <c r="E59" s="24" t="n">
        <f aca="false">E56-E57-E58</f>
        <v>6118.60392538759</v>
      </c>
      <c r="F59" s="24" t="n">
        <f aca="false">F56-F57-F58</f>
        <v>8332.95369883075</v>
      </c>
      <c r="G59" s="24" t="n">
        <f aca="false">G56-G57-G58</f>
        <v>10552.7713730091</v>
      </c>
      <c r="H59" s="24" t="n">
        <f aca="false">H56-H57-H58</f>
        <v>1998.54193635439</v>
      </c>
      <c r="I59" s="24" t="n">
        <f aca="false">I56-I57-I58</f>
        <v>21724.4951445514</v>
      </c>
      <c r="J59" s="24" t="n">
        <f aca="false">J56-J57-J58</f>
        <v>24701.1910936344</v>
      </c>
      <c r="K59" s="24" t="n">
        <f aca="false">K56-K57-K58</f>
        <v>12323.6278385323</v>
      </c>
      <c r="L59" s="24" t="n">
        <f aca="false">L56-L57-L58</f>
        <v>30303.4779376748</v>
      </c>
      <c r="M59" s="24" t="n">
        <f aca="false">M56-M57-M58</f>
        <v>30432.8473824097</v>
      </c>
      <c r="N59" s="24" t="n">
        <f aca="false">N56-N57-N58</f>
        <v>30561.3543641796</v>
      </c>
      <c r="O59" s="24" t="n">
        <f aca="false">O56-O57-O58</f>
        <v>30689.0046327377</v>
      </c>
      <c r="P59" s="24" t="n">
        <f aca="false">P56-P57-P58</f>
        <v>30787.8351495054</v>
      </c>
      <c r="Q59" s="24" t="n">
        <f aca="false">Q56-Q57-Q58</f>
        <v>30886.0067961614</v>
      </c>
      <c r="R59" s="24" t="n">
        <f aca="false">R56-R57-R58</f>
        <v>30983.5239651729</v>
      </c>
      <c r="S59" s="24" t="n">
        <f aca="false">S56-S57-S58</f>
        <v>31080.3910197244</v>
      </c>
      <c r="T59" s="24" t="n">
        <f aca="false">T56-T57-T58</f>
        <v>31176.6122939122</v>
      </c>
      <c r="U59" s="24" t="n">
        <f aca="false">U56-U57-U58</f>
        <v>31272.1920929388</v>
      </c>
      <c r="V59" s="24" t="n">
        <f aca="false">V56-V57-V58</f>
        <v>31367.1346933052</v>
      </c>
      <c r="W59" s="24" t="n">
        <f aca="false">W56-W57-W58</f>
        <v>31461.4443430024</v>
      </c>
      <c r="X59" s="24" t="n">
        <f aca="false">X56-X57-X58</f>
        <v>31555.1252617018</v>
      </c>
      <c r="Y59" s="24" t="n">
        <f aca="false">Y56-Y57-Y58</f>
        <v>31648.181640943</v>
      </c>
      <c r="Z59" s="23" t="n">
        <f aca="false">SUM(B59:M59)</f>
        <v>150240.016522245</v>
      </c>
      <c r="AA59" s="23" t="n">
        <f aca="false">SUM(N59:Y59)</f>
        <v>373468.806253285</v>
      </c>
      <c r="AB59" s="23" t="n">
        <f aca="false">SUM(B59:Y59)</f>
        <v>523708.82277553</v>
      </c>
    </row>
    <row r="60" customFormat="false" ht="15" hidden="false" customHeight="false" outlineLevel="0" collapsed="false">
      <c r="A60" s="15" t="s">
        <v>203</v>
      </c>
      <c r="B60" s="23" t="n">
        <f aca="false">Assumptions!$B$39+B59</f>
        <v>23135.2923255814</v>
      </c>
      <c r="C60" s="23" t="n">
        <f aca="false">B60+C59</f>
        <v>24841.7474418605</v>
      </c>
      <c r="D60" s="23" t="n">
        <f aca="false">C60+D59</f>
        <v>28751.5061918605</v>
      </c>
      <c r="E60" s="23" t="n">
        <f aca="false">D60+E59</f>
        <v>34870.1101172481</v>
      </c>
      <c r="F60" s="23" t="n">
        <f aca="false">E60+F59</f>
        <v>43203.0638160788</v>
      </c>
      <c r="G60" s="23" t="n">
        <f aca="false">F60+G59</f>
        <v>53755.8351890879</v>
      </c>
      <c r="H60" s="23" t="n">
        <f aca="false">G60+H59</f>
        <v>55754.3771254423</v>
      </c>
      <c r="I60" s="23" t="n">
        <f aca="false">H60+I59</f>
        <v>77478.8722699937</v>
      </c>
      <c r="J60" s="23" t="n">
        <f aca="false">I60+J59</f>
        <v>102180.063363628</v>
      </c>
      <c r="K60" s="23" t="n">
        <f aca="false">J60+K59</f>
        <v>114503.69120216</v>
      </c>
      <c r="L60" s="23" t="n">
        <f aca="false">K60+L59</f>
        <v>144807.169139835</v>
      </c>
      <c r="M60" s="23" t="n">
        <f aca="false">L60+M59</f>
        <v>175240.016522245</v>
      </c>
      <c r="N60" s="23" t="n">
        <f aca="false">M60+N59</f>
        <v>205801.370886424</v>
      </c>
      <c r="O60" s="23" t="n">
        <f aca="false">N60+O59</f>
        <v>236490.375519162</v>
      </c>
      <c r="P60" s="23" t="n">
        <f aca="false">O60+P59</f>
        <v>267278.210668668</v>
      </c>
      <c r="Q60" s="23" t="n">
        <f aca="false">P60+Q59</f>
        <v>298164.217464829</v>
      </c>
      <c r="R60" s="23" t="n">
        <f aca="false">Q60+R59</f>
        <v>329147.741430002</v>
      </c>
      <c r="S60" s="23" t="n">
        <f aca="false">R60+S59</f>
        <v>360228.132449726</v>
      </c>
      <c r="T60" s="23" t="n">
        <f aca="false">S60+T59</f>
        <v>391404.744743639</v>
      </c>
      <c r="U60" s="23" t="n">
        <f aca="false">T60+U59</f>
        <v>422676.936836577</v>
      </c>
      <c r="V60" s="23" t="n">
        <f aca="false">U60+V59</f>
        <v>454044.071529883</v>
      </c>
      <c r="W60" s="23" t="n">
        <f aca="false">V60+W59</f>
        <v>485505.515872885</v>
      </c>
      <c r="X60" s="23" t="n">
        <f aca="false">W60+X59</f>
        <v>517060.641134587</v>
      </c>
      <c r="Y60" s="23" t="n">
        <f aca="false">X60+Y59</f>
        <v>548708.82277553</v>
      </c>
      <c r="Z60" s="2"/>
      <c r="AA60" s="2"/>
      <c r="AB60" s="2"/>
    </row>
    <row r="61" customFormat="false" ht="15" hidden="false" customHeight="false" outlineLevel="0" collapsed="false">
      <c r="A61" s="4" t="s">
        <v>204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customFormat="false" ht="15" hidden="false" customHeight="false" outlineLevel="0" collapsed="false">
      <c r="A62" s="17" t="s">
        <v>205</v>
      </c>
      <c r="B62" s="22" t="n">
        <f aca="false">IF(B8=0,0,B25/IF(B7&gt;0,2,1))</f>
        <v>31697.6744186047</v>
      </c>
      <c r="C62" s="22" t="n">
        <f aca="false">IF(C8=0,0,C25/IF(C7&gt;0,2,1))</f>
        <v>34372.0930232558</v>
      </c>
      <c r="D62" s="22" t="n">
        <f aca="false">IF(D8=0,0,D25/IF(D7&gt;0,2,1))</f>
        <v>37046.511627907</v>
      </c>
      <c r="E62" s="22" t="n">
        <f aca="false">IF(E8=0,0,E25/IF(E7&gt;0,2,1))</f>
        <v>39720.9302325581</v>
      </c>
      <c r="F62" s="22" t="n">
        <f aca="false">IF(F8=0,0,F25/IF(F7&gt;0,2,1))</f>
        <v>42395.3488372093</v>
      </c>
      <c r="G62" s="22" t="n">
        <f aca="false">IF(G8=0,0,G25/IF(G7&gt;0,2,1))</f>
        <v>45069.7674418605</v>
      </c>
      <c r="H62" s="22" t="n">
        <f aca="false">IF(H8=0,0,H25/IF(H7&gt;0,2,1))</f>
        <v>39720.9302325581</v>
      </c>
      <c r="I62" s="22" t="n">
        <f aca="false">IF(I8=0,0,I25/IF(I7&gt;0,2,1))</f>
        <v>41503.8759689922</v>
      </c>
      <c r="J62" s="22" t="n">
        <f aca="false">IF(J8=0,0,J25/IF(J7&gt;0,2,1))</f>
        <v>43286.8217054264</v>
      </c>
      <c r="K62" s="22" t="n">
        <f aca="false">IF(K8=0,0,K25/IF(K7&gt;0,2,1))</f>
        <v>45069.7674418605</v>
      </c>
      <c r="L62" s="22" t="n">
        <f aca="false">IF(L8=0,0,L25/IF(L7&gt;0,2,1))</f>
        <v>45069.7674418605</v>
      </c>
      <c r="M62" s="22" t="n">
        <f aca="false">IF(M8=0,0,M25/IF(M7&gt;0,2,1))</f>
        <v>45069.7674418605</v>
      </c>
      <c r="N62" s="22" t="n">
        <f aca="false">IF(N8=0,0,N25/IF(N7&gt;0,2,1))</f>
        <v>45069.7674418605</v>
      </c>
      <c r="O62" s="22" t="n">
        <f aca="false">IF(O8=0,0,O25/IF(O7&gt;0,2,1))</f>
        <v>45069.7674418605</v>
      </c>
      <c r="P62" s="22" t="n">
        <f aca="false">IF(P8=0,0,P25/IF(P7&gt;0,2,1))</f>
        <v>45069.7674418605</v>
      </c>
      <c r="Q62" s="22" t="n">
        <f aca="false">IF(Q8=0,0,Q25/IF(Q7&gt;0,2,1))</f>
        <v>45069.7674418605</v>
      </c>
      <c r="R62" s="22" t="n">
        <f aca="false">IF(R8=0,0,R25/IF(R7&gt;0,2,1))</f>
        <v>45069.7674418605</v>
      </c>
      <c r="S62" s="22" t="n">
        <f aca="false">IF(S8=0,0,S25/IF(S7&gt;0,2,1))</f>
        <v>45069.7674418605</v>
      </c>
      <c r="T62" s="22" t="n">
        <f aca="false">IF(T8=0,0,T25/IF(T7&gt;0,2,1))</f>
        <v>45069.7674418605</v>
      </c>
      <c r="U62" s="22" t="n">
        <f aca="false">IF(U8=0,0,U25/IF(U7&gt;0,2,1))</f>
        <v>45069.7674418605</v>
      </c>
      <c r="V62" s="22" t="n">
        <f aca="false">IF(V8=0,0,V25/IF(V7&gt;0,2,1))</f>
        <v>45069.7674418605</v>
      </c>
      <c r="W62" s="22" t="n">
        <f aca="false">IF(W8=0,0,W25/IF(W7&gt;0,2,1))</f>
        <v>45069.7674418605</v>
      </c>
      <c r="X62" s="22" t="n">
        <f aca="false">IF(X8=0,0,X25/IF(X7&gt;0,2,1))</f>
        <v>45069.7674418605</v>
      </c>
      <c r="Y62" s="22" t="n">
        <f aca="false">IF(Y8=0,0,Y25/IF(Y7&gt;0,2,1))</f>
        <v>45069.7674418605</v>
      </c>
      <c r="Z62" s="2"/>
      <c r="AA62" s="2"/>
      <c r="AB62" s="2"/>
    </row>
    <row r="63" customFormat="false" ht="15" hidden="false" customHeight="false" outlineLevel="0" collapsed="false">
      <c r="A63" s="17" t="s">
        <v>206</v>
      </c>
      <c r="B63" s="22" t="n">
        <f aca="false">IF(B13=0,0,(B47+B48+B49)/B13)</f>
        <v>56.4593301435407</v>
      </c>
      <c r="C63" s="22" t="n">
        <f aca="false">IF(C13=0,0,(C47+C48+C49)/C13)</f>
        <v>55.344889338647</v>
      </c>
      <c r="D63" s="22" t="n">
        <f aca="false">IF(D13=0,0,(D47+D48+D49)/D13)</f>
        <v>54.7030520538172</v>
      </c>
      <c r="E63" s="22" t="n">
        <f aca="false">IF(E13=0,0,(E47+E48+E49)/E13)</f>
        <v>54.0387606024687</v>
      </c>
      <c r="F63" s="22" t="n">
        <f aca="false">IF(F13=0,0,(F47+F48+F49)/F13)</f>
        <v>53.3520026498769</v>
      </c>
      <c r="G63" s="22" t="n">
        <f aca="false">IF(G13=0,0,(G47+G48+G49)/G13)</f>
        <v>52.64284380353</v>
      </c>
      <c r="H63" s="22" t="n">
        <f aca="false">IF(H13=0,0,(H47+H48+H49)/H13)</f>
        <v>53.6007390411201</v>
      </c>
      <c r="I63" s="22" t="n">
        <f aca="false">IF(I13=0,0,(I47+I48+I49)/I13)</f>
        <v>53.0627977874208</v>
      </c>
      <c r="J63" s="22" t="n">
        <f aca="false">IF(J13=0,0,(J47+J48+J49)/J13)</f>
        <v>52.5042448312122</v>
      </c>
      <c r="K63" s="22" t="n">
        <f aca="false">IF(K13=0,0,(K47+K48+K49)/K13)</f>
        <v>51.9248754514001</v>
      </c>
      <c r="L63" s="22" t="n">
        <f aca="false">IF(L13=0,0,(L47+L48+L49)/L13)</f>
        <v>51.3245426468748</v>
      </c>
      <c r="M63" s="22" t="n">
        <f aca="false">IF(M13=0,0,(M47+M48+M49)/M13)</f>
        <v>50.7031622847844</v>
      </c>
      <c r="N63" s="22" t="n">
        <f aca="false">IF(N13=0,0,(N47+N48+N49)/N13)</f>
        <v>50.0607181383268</v>
      </c>
      <c r="O63" s="22" t="n">
        <f aca="false">IF(O13=0,0,(O47+O48+O49)/O13)</f>
        <v>49.3972667391676</v>
      </c>
      <c r="P63" s="22" t="n">
        <f aca="false">IF(P13=0,0,(P47+P48+P49)/P13)</f>
        <v>48.712941964224</v>
      </c>
      <c r="Q63" s="22" t="n">
        <f aca="false">IF(Q13=0,0,(Q47+Q48+Q49)/Q13)</f>
        <v>48.0079592722895</v>
      </c>
      <c r="R63" s="22" t="n">
        <f aca="false">IF(R13=0,0,(R47+R48+R49)/R13)</f>
        <v>47.2826195030823</v>
      </c>
      <c r="S63" s="22" t="n">
        <f aca="false">IF(S13=0,0,(S47+S48+S49)/S13)</f>
        <v>46.5373121500501</v>
      </c>
      <c r="T63" s="22" t="n">
        <f aca="false">IF(T13=0,0,(T47+T48+T49)/T13)</f>
        <v>45.7725180189062</v>
      </c>
      <c r="U63" s="22" t="n">
        <f aca="false">IF(U13=0,0,(U47+U48+U49)/U13)</f>
        <v>44.9888111866158</v>
      </c>
      <c r="V63" s="22" t="n">
        <f aca="false">IF(V13=0,0,(V47+V48+V49)/V13)</f>
        <v>44.186860180576</v>
      </c>
      <c r="W63" s="22" t="n">
        <f aca="false">IF(W13=0,0,(W47+W48+W49)/W13)</f>
        <v>43.3674283051422</v>
      </c>
      <c r="X63" s="22" t="n">
        <f aca="false">IF(X13=0,0,(X47+X48+X49)/X13)</f>
        <v>42.5313730524876</v>
      </c>
      <c r="Y63" s="22" t="n">
        <f aca="false">IF(Y13=0,0,(Y47+Y48+Y49)/Y13)</f>
        <v>41.6796445469942</v>
      </c>
      <c r="Z63" s="2"/>
      <c r="AA63" s="2"/>
      <c r="AB63" s="2"/>
    </row>
    <row r="64" customFormat="false" ht="15" hidden="false" customHeight="false" outlineLevel="0" collapsed="false">
      <c r="A64" s="17" t="s">
        <v>207</v>
      </c>
      <c r="B64" s="22" t="n">
        <f aca="false">IF(B15=0,0,(B47+B48+B49)/B15)</f>
        <v>148.717625559266</v>
      </c>
      <c r="C64" s="22" t="n">
        <f aca="false">IF(C15=0,0,(C47+C48+C49)/C15)</f>
        <v>171.042631782989</v>
      </c>
      <c r="D64" s="22" t="n">
        <f aca="false">IF(D15=0,0,(D47+D48+D49)/D15)</f>
        <v>168.266442075878</v>
      </c>
      <c r="E64" s="22" t="n">
        <f aca="false">IF(E15=0,0,(E47+E48+E49)/E15)</f>
        <v>165.420410404825</v>
      </c>
      <c r="F64" s="22" t="n">
        <f aca="false">IF(F15=0,0,(F47+F48+F49)/F15)</f>
        <v>162.506878156393</v>
      </c>
      <c r="G64" s="22" t="n">
        <f aca="false">IF(G15=0,0,(G47+G48+G49)/G15)</f>
        <v>159.528533362776</v>
      </c>
      <c r="H64" s="22" t="n">
        <f aca="false">IF(H15=0,0,(H47+H48+H49)/H15)</f>
        <v>167.906431756057</v>
      </c>
      <c r="I64" s="22" t="n">
        <f aca="false">IF(I15=0,0,(I47+I48+I49)/I15)</f>
        <v>165.514826168126</v>
      </c>
      <c r="J64" s="22" t="n">
        <f aca="false">IF(J15=0,0,(J47+J48+J49)/J15)</f>
        <v>163.053002778718</v>
      </c>
      <c r="K64" s="22" t="n">
        <f aca="false">IF(K15=0,0,(K47+K48+K49)/K15)</f>
        <v>160.522184756031</v>
      </c>
      <c r="L64" s="22" t="n">
        <f aca="false">IF(L15=0,0,(L47+L48+L49)/L15)</f>
        <v>157.923905310094</v>
      </c>
      <c r="M64" s="22" t="n">
        <f aca="false">IF(M15=0,0,(M47+M48+M49)/M15)</f>
        <v>155.260015321119</v>
      </c>
      <c r="N64" s="22" t="n">
        <f aca="false">IF(N15=0,0,(N47+N48+N49)/N15)</f>
        <v>152.532688392057</v>
      </c>
      <c r="O64" s="22" t="n">
        <f aca="false">IF(O15=0,0,(O47+O48+O49)/O15)</f>
        <v>149.744423065292</v>
      </c>
      <c r="P64" s="22" t="n">
        <f aca="false">IF(P15=0,0,(P47+P48+P49)/P15)</f>
        <v>146.898041974108</v>
      </c>
      <c r="Q64" s="22" t="n">
        <f aca="false">IF(Q15=0,0,(Q47+Q48+Q49)/Q15)</f>
        <v>143.99668773848</v>
      </c>
      <c r="R64" s="22" t="n">
        <f aca="false">IF(R15=0,0,(R47+R48+R49)/R15)</f>
        <v>141.043815461538</v>
      </c>
      <c r="S64" s="22" t="n">
        <f aca="false">IF(S15=0,0,(S47+S48+S49)/S15)</f>
        <v>138.043181737105</v>
      </c>
      <c r="T64" s="22" t="n">
        <f aca="false">IF(T15=0,0,(T47+T48+T49)/T15)</f>
        <v>134.998830138866</v>
      </c>
      <c r="U64" s="22" t="n">
        <f aca="false">IF(U15=0,0,(U47+U48+U49)/U15)</f>
        <v>131.915073226764</v>
      </c>
      <c r="V64" s="22" t="n">
        <f aca="false">IF(V15=0,0,(V47+V48+V49)/V15)</f>
        <v>128.796471174437</v>
      </c>
      <c r="W64" s="22" t="n">
        <f aca="false">IF(W15=0,0,(W47+W48+W49)/W15)</f>
        <v>125.647807191021</v>
      </c>
      <c r="X64" s="22" t="n">
        <f aca="false">IF(X15=0,0,(X47+X48+X49)/X15)</f>
        <v>122.474059979422</v>
      </c>
      <c r="Y64" s="22" t="n">
        <f aca="false">IF(Y15=0,0,(Y47+Y48+Y49)/Y15)</f>
        <v>119.280373539014</v>
      </c>
      <c r="Z64" s="2"/>
      <c r="AA64" s="2"/>
      <c r="AB64" s="2"/>
    </row>
    <row r="65" customFormat="false" ht="15" hidden="false" customHeight="false" outlineLevel="0" collapsed="false">
      <c r="A65" s="17" t="s">
        <v>208</v>
      </c>
      <c r="B65" s="20" t="n">
        <f aca="false">Assumptions!$B$51</f>
        <v>0.7</v>
      </c>
      <c r="C65" s="20" t="n">
        <f aca="false">Assumptions!$B$51</f>
        <v>0.7</v>
      </c>
      <c r="D65" s="20" t="n">
        <f aca="false">Assumptions!$B$51</f>
        <v>0.7</v>
      </c>
      <c r="E65" s="20" t="n">
        <f aca="false">Assumptions!$B$51</f>
        <v>0.7</v>
      </c>
      <c r="F65" s="20" t="n">
        <f aca="false">Assumptions!$B$51</f>
        <v>0.7</v>
      </c>
      <c r="G65" s="20" t="n">
        <f aca="false">Assumptions!$B$51</f>
        <v>0.7</v>
      </c>
      <c r="H65" s="20" t="n">
        <f aca="false">Assumptions!$B$51</f>
        <v>0.7</v>
      </c>
      <c r="I65" s="20" t="n">
        <f aca="false">Assumptions!$B$51</f>
        <v>0.7</v>
      </c>
      <c r="J65" s="20" t="n">
        <f aca="false">Assumptions!$B$51</f>
        <v>0.7</v>
      </c>
      <c r="K65" s="20" t="n">
        <f aca="false">Assumptions!$B$51</f>
        <v>0.7</v>
      </c>
      <c r="L65" s="20" t="n">
        <f aca="false">Assumptions!$B$51</f>
        <v>0.7</v>
      </c>
      <c r="M65" s="20" t="n">
        <f aca="false">Assumptions!$B$51</f>
        <v>0.7</v>
      </c>
      <c r="N65" s="20" t="n">
        <f aca="false">Assumptions!$B$51</f>
        <v>0.7</v>
      </c>
      <c r="O65" s="20" t="n">
        <f aca="false">Assumptions!$B$51</f>
        <v>0.7</v>
      </c>
      <c r="P65" s="20" t="n">
        <f aca="false">Assumptions!$B$51</f>
        <v>0.7</v>
      </c>
      <c r="Q65" s="20" t="n">
        <f aca="false">Assumptions!$B$51</f>
        <v>0.7</v>
      </c>
      <c r="R65" s="20" t="n">
        <f aca="false">Assumptions!$B$51</f>
        <v>0.7</v>
      </c>
      <c r="S65" s="20" t="n">
        <f aca="false">Assumptions!$B$51</f>
        <v>0.7</v>
      </c>
      <c r="T65" s="20" t="n">
        <f aca="false">Assumptions!$B$51</f>
        <v>0.7</v>
      </c>
      <c r="U65" s="20" t="n">
        <f aca="false">Assumptions!$B$51</f>
        <v>0.7</v>
      </c>
      <c r="V65" s="20" t="n">
        <f aca="false">Assumptions!$B$51</f>
        <v>0.7</v>
      </c>
      <c r="W65" s="20" t="n">
        <f aca="false">Assumptions!$B$51</f>
        <v>0.7</v>
      </c>
      <c r="X65" s="20" t="n">
        <f aca="false">Assumptions!$B$51</f>
        <v>0.7</v>
      </c>
      <c r="Y65" s="20" t="n">
        <f aca="false">Assumptions!$B$51</f>
        <v>0.7</v>
      </c>
      <c r="Z65" s="2"/>
      <c r="AA65" s="2"/>
      <c r="AB65" s="2"/>
    </row>
    <row r="66" customFormat="false" ht="15" hidden="false" customHeight="false" outlineLevel="0" collapsed="false">
      <c r="A66" s="17" t="s">
        <v>209</v>
      </c>
      <c r="B66" s="20" t="n">
        <f aca="false">IF(B29=0,0,B28/B29)</f>
        <v>0</v>
      </c>
      <c r="C66" s="20" t="n">
        <f aca="false">IF(C29=0,0,C28/C29)</f>
        <v>0</v>
      </c>
      <c r="D66" s="20" t="n">
        <f aca="false">IF(D29=0,0,D28/D29)</f>
        <v>0.00238873648975611</v>
      </c>
      <c r="E66" s="20" t="n">
        <f aca="false">IF(E29=0,0,E28/E29)</f>
        <v>0.00463892363945796</v>
      </c>
      <c r="F66" s="20" t="n">
        <f aca="false">IF(F29=0,0,F28/F29)</f>
        <v>0.00677512795341896</v>
      </c>
      <c r="G66" s="20" t="n">
        <f aca="false">IF(G29=0,0,G28/G29)</f>
        <v>0.00881605225575823</v>
      </c>
      <c r="H66" s="20" t="n">
        <f aca="false">IF(H29=0,0,H28/H29)</f>
        <v>0.00691673424389623</v>
      </c>
      <c r="I66" s="20" t="n">
        <f aca="false">IF(I29=0,0,I28/I29)</f>
        <v>0.0085494414667748</v>
      </c>
      <c r="J66" s="20" t="n">
        <f aca="false">IF(J29=0,0,J28/J29)</f>
        <v>0.0101559326332797</v>
      </c>
      <c r="K66" s="20" t="n">
        <f aca="false">IF(K29=0,0,K28/K29)</f>
        <v>0.0117381825783563</v>
      </c>
      <c r="L66" s="20" t="n">
        <f aca="false">IF(L29=0,0,L28/L29)</f>
        <v>0.0136972526371595</v>
      </c>
      <c r="M66" s="20" t="n">
        <f aca="false">IF(M29=0,0,M28/M29)</f>
        <v>0.0156355877566879</v>
      </c>
      <c r="N66" s="20" t="n">
        <f aca="false">IF(N29=0,0,N28/N29)</f>
        <v>0.0175534727143324</v>
      </c>
      <c r="O66" s="20" t="n">
        <f aca="false">IF(O29=0,0,O28/O29)</f>
        <v>0.0194511872154388</v>
      </c>
      <c r="P66" s="20" t="n">
        <f aca="false">IF(P29=0,0,P28/P29)</f>
        <v>0.020915424618414</v>
      </c>
      <c r="Q66" s="20" t="n">
        <f aca="false">IF(Q29=0,0,Q28/Q29)</f>
        <v>0.0223655774411538</v>
      </c>
      <c r="R66" s="20" t="n">
        <f aca="false">IF(R29=0,0,R28/R29)</f>
        <v>0.0238018159546495</v>
      </c>
      <c r="S66" s="20" t="n">
        <f aca="false">IF(S29=0,0,S28/S29)</f>
        <v>0.0252243077946126</v>
      </c>
      <c r="T66" s="20" t="n">
        <f aca="false">IF(T29=0,0,T28/T29)</f>
        <v>0.0266332180122811</v>
      </c>
      <c r="U66" s="20" t="n">
        <f aca="false">IF(U29=0,0,U28/U29)</f>
        <v>0.0280287091240512</v>
      </c>
      <c r="V66" s="20" t="n">
        <f aca="false">IF(V29=0,0,V28/V29)</f>
        <v>0.029410941159968</v>
      </c>
      <c r="W66" s="20" t="n">
        <f aca="false">IF(W29=0,0,W28/W29)</f>
        <v>0.0307800717111037</v>
      </c>
      <c r="X66" s="20" t="n">
        <f aca="false">IF(X29=0,0,X28/X29)</f>
        <v>0.0321362559758545</v>
      </c>
      <c r="Y66" s="20" t="n">
        <f aca="false">IF(Y29=0,0,Y28/Y29)</f>
        <v>0.0334796468051845</v>
      </c>
      <c r="Z66" s="2"/>
      <c r="AA66" s="2"/>
      <c r="AB66" s="2"/>
    </row>
    <row r="67" customFormat="false" ht="15" hidden="false" customHeight="false" outlineLevel="0" collapsed="false">
      <c r="A67" s="17" t="s">
        <v>210</v>
      </c>
      <c r="B67" s="20" t="n">
        <f aca="false">IF(B29=0,0,B32/B29)</f>
        <v>0.438644482758621</v>
      </c>
      <c r="C67" s="20" t="n">
        <f aca="false">IF(C29=0,0,C32/C29)</f>
        <v>0.40451449932341</v>
      </c>
      <c r="D67" s="20" t="n">
        <f aca="false">IF(D29=0,0,D32/D29)</f>
        <v>0.374415737796761</v>
      </c>
      <c r="E67" s="20" t="n">
        <f aca="false">IF(E29=0,0,E32/E29)</f>
        <v>0.34841858632968</v>
      </c>
      <c r="F67" s="20" t="n">
        <f aca="false">IF(F29=0,0,F32/F29)</f>
        <v>0.325738764556735</v>
      </c>
      <c r="G67" s="20" t="n">
        <f aca="false">IF(G29=0,0,G32/G29)</f>
        <v>0.305779956354408</v>
      </c>
      <c r="H67" s="20" t="n">
        <f aca="false">IF(H29=0,0,H32/H29)</f>
        <v>0.347621256024554</v>
      </c>
      <c r="I67" s="20" t="n">
        <f aca="false">IF(I29=0,0,I32/I29)</f>
        <v>0.332140990654716</v>
      </c>
      <c r="J67" s="20" t="n">
        <f aca="false">IF(J29=0,0,J32/J29)</f>
        <v>0.31794438281391</v>
      </c>
      <c r="K67" s="20" t="n">
        <f aca="false">IF(K29=0,0,K32/K29)</f>
        <v>0.304878480009337</v>
      </c>
      <c r="L67" s="20" t="n">
        <f aca="false">IF(L29=0,0,L32/L29)</f>
        <v>0.304274107472393</v>
      </c>
      <c r="M67" s="20" t="n">
        <f aca="false">IF(M29=0,0,M32/M29)</f>
        <v>0.303676131658117</v>
      </c>
      <c r="N67" s="20" t="n">
        <f aca="false">IF(N29=0,0,N32/N29)</f>
        <v>0.303084464712768</v>
      </c>
      <c r="O67" s="20" t="n">
        <f aca="false">IF(O29=0,0,O32/O29)</f>
        <v>0.302499020347328</v>
      </c>
      <c r="P67" s="20" t="n">
        <f aca="false">IF(P29=0,0,P32/P29)</f>
        <v>0.302047303539168</v>
      </c>
      <c r="Q67" s="20" t="n">
        <f aca="false">IF(Q29=0,0,Q32/Q29)</f>
        <v>0.301599931819868</v>
      </c>
      <c r="R67" s="20" t="n">
        <f aca="false">IF(R29=0,0,R32/R29)</f>
        <v>0.301156852660878</v>
      </c>
      <c r="S67" s="20" t="n">
        <f aca="false">IF(S29=0,0,S32/S29)</f>
        <v>0.300718014346629</v>
      </c>
      <c r="T67" s="20" t="n">
        <f aca="false">IF(T29=0,0,T32/T29)</f>
        <v>0.300283365958864</v>
      </c>
      <c r="U67" s="20" t="n">
        <f aca="false">IF(U29=0,0,U32/U29)</f>
        <v>0.299852857361321</v>
      </c>
      <c r="V67" s="20" t="n">
        <f aca="false">IF(V29=0,0,V32/V29)</f>
        <v>0.29942643918478</v>
      </c>
      <c r="W67" s="20" t="n">
        <f aca="false">IF(W29=0,0,W32/W29)</f>
        <v>0.29900406281244</v>
      </c>
      <c r="X67" s="20" t="n">
        <f aca="false">IF(X29=0,0,X32/X29)</f>
        <v>0.298585680365642</v>
      </c>
      <c r="Y67" s="20" t="n">
        <f aca="false">IF(Y29=0,0,Y32/Y29)</f>
        <v>0.298171244689909</v>
      </c>
      <c r="Z67" s="2"/>
      <c r="AA67" s="2"/>
      <c r="AB67" s="2"/>
    </row>
    <row r="68" customFormat="false" ht="15" hidden="false" customHeight="false" outlineLevel="0" collapsed="false">
      <c r="A68" s="17" t="s">
        <v>211</v>
      </c>
      <c r="B68" s="22" t="n">
        <f aca="false">IF(B31=0,0,B25/B31/Assumptions!$B$8)</f>
        <v>1509.4130675526</v>
      </c>
      <c r="C68" s="22" t="n">
        <f aca="false">IF(C31=0,0,C25/C31/Assumptions!$B$8)</f>
        <v>1636.76633444075</v>
      </c>
      <c r="D68" s="22" t="n">
        <f aca="false">IF(D31=0,0,D25/D31/Assumptions!$B$8)</f>
        <v>1764.1196013289</v>
      </c>
      <c r="E68" s="22" t="n">
        <f aca="false">IF(E31=0,0,E25/E31/Assumptions!$B$8)</f>
        <v>1891.47286821705</v>
      </c>
      <c r="F68" s="22" t="n">
        <f aca="false">IF(F31=0,0,F25/F31/Assumptions!$B$8)</f>
        <v>2018.8261351052</v>
      </c>
      <c r="G68" s="22" t="n">
        <f aca="false">IF(G31=0,0,G25/G31/Assumptions!$B$8)</f>
        <v>2146.17940199336</v>
      </c>
      <c r="H68" s="22" t="n">
        <f aca="false">IF(H31=0,0,H25/H31/Assumptions!$B$8)</f>
        <v>1891.47286821705</v>
      </c>
      <c r="I68" s="22" t="n">
        <f aca="false">IF(I31=0,0,I25/I31/Assumptions!$B$8)</f>
        <v>1976.37504614249</v>
      </c>
      <c r="J68" s="22" t="n">
        <f aca="false">IF(J31=0,0,J25/J31/Assumptions!$B$8)</f>
        <v>2061.27722406792</v>
      </c>
      <c r="K68" s="22" t="n">
        <f aca="false">IF(K31=0,0,K25/K31/Assumptions!$B$8)</f>
        <v>2146.17940199336</v>
      </c>
      <c r="L68" s="22" t="n">
        <f aca="false">IF(L31=0,0,L25/L31/Assumptions!$B$8)</f>
        <v>2146.17940199336</v>
      </c>
      <c r="M68" s="22" t="n">
        <f aca="false">IF(M31=0,0,M25/M31/Assumptions!$B$8)</f>
        <v>2146.17940199336</v>
      </c>
      <c r="N68" s="22" t="n">
        <f aca="false">IF(N31=0,0,N25/N31/Assumptions!$B$8)</f>
        <v>2146.17940199336</v>
      </c>
      <c r="O68" s="22" t="n">
        <f aca="false">IF(O31=0,0,O25/O31/Assumptions!$B$8)</f>
        <v>2146.17940199336</v>
      </c>
      <c r="P68" s="22" t="n">
        <f aca="false">IF(P31=0,0,P25/P31/Assumptions!$B$8)</f>
        <v>2146.17940199336</v>
      </c>
      <c r="Q68" s="22" t="n">
        <f aca="false">IF(Q31=0,0,Q25/Q31/Assumptions!$B$8)</f>
        <v>2146.17940199336</v>
      </c>
      <c r="R68" s="22" t="n">
        <f aca="false">IF(R31=0,0,R25/R31/Assumptions!$B$8)</f>
        <v>2146.17940199336</v>
      </c>
      <c r="S68" s="22" t="n">
        <f aca="false">IF(S31=0,0,S25/S31/Assumptions!$B$8)</f>
        <v>2146.17940199336</v>
      </c>
      <c r="T68" s="22" t="n">
        <f aca="false">IF(T31=0,0,T25/T31/Assumptions!$B$8)</f>
        <v>2146.17940199336</v>
      </c>
      <c r="U68" s="22" t="n">
        <f aca="false">IF(U31=0,0,U25/U31/Assumptions!$B$8)</f>
        <v>2146.17940199336</v>
      </c>
      <c r="V68" s="22" t="n">
        <f aca="false">IF(V31=0,0,V25/V31/Assumptions!$B$8)</f>
        <v>2146.17940199336</v>
      </c>
      <c r="W68" s="22" t="n">
        <f aca="false">IF(W31=0,0,W25/W31/Assumptions!$B$8)</f>
        <v>2146.17940199336</v>
      </c>
      <c r="X68" s="22" t="n">
        <f aca="false">IF(X31=0,0,X25/X31/Assumptions!$B$8)</f>
        <v>2146.17940199336</v>
      </c>
      <c r="Y68" s="22" t="n">
        <f aca="false">IF(Y31=0,0,Y25/Y31/Assumptions!$B$8)</f>
        <v>2146.17940199336</v>
      </c>
      <c r="Z68" s="2"/>
      <c r="AA68" s="2"/>
      <c r="AB68" s="2"/>
    </row>
    <row r="69" customFormat="false" ht="15" hidden="false" customHeight="false" outlineLevel="0" collapsed="false">
      <c r="A69" s="17" t="s">
        <v>212</v>
      </c>
      <c r="B69" s="18" t="n">
        <f aca="false">IF(Assumptions!$B$18=1,B52/(Assumptions!$B$5*(1-Assumptions!$B$19-Assumptions!$B$20)),(B52+(Assumptions!$B$24*Assumptions!$B$25*Assumptions!$B$21+Assumptions!$B$25*Assumptions!$B$22+Assumptions!$B$24*Assumptions!$B$26*Assumptions!$B$21*1.5)*(1+Assumptions!$B$23))/(Assumptions!$B$5*(1-Assumptions!$B$20)))</f>
        <v>625.10025</v>
      </c>
      <c r="C69" s="18" t="n">
        <f aca="false">IF(Assumptions!$B$18=1,C52/(Assumptions!$B$5*(1-Assumptions!$B$19-Assumptions!$B$20)),(C52+(Assumptions!$B$24*Assumptions!$B$25*Assumptions!$B$21+Assumptions!$B$25*Assumptions!$B$22+Assumptions!$B$24*Assumptions!$B$26*Assumptions!$B$21*1.5)*(1+Assumptions!$B$23))/(Assumptions!$B$5*(1-Assumptions!$B$20)))</f>
        <v>640.10025</v>
      </c>
      <c r="D69" s="18" t="n">
        <f aca="false">IF(Assumptions!$B$18=1,D52/(Assumptions!$B$5*(1-Assumptions!$B$19-Assumptions!$B$20)),(D52+(Assumptions!$B$24*Assumptions!$B$25*Assumptions!$B$21+Assumptions!$B$25*Assumptions!$B$22+Assumptions!$B$24*Assumptions!$B$26*Assumptions!$B$21*1.5)*(1+Assumptions!$B$23))/(Assumptions!$B$5*(1-Assumptions!$B$20)))</f>
        <v>640.10025</v>
      </c>
      <c r="E69" s="18" t="n">
        <f aca="false">IF(Assumptions!$B$18=1,E52/(Assumptions!$B$5*(1-Assumptions!$B$19-Assumptions!$B$20)),(E52+(Assumptions!$B$24*Assumptions!$B$25*Assumptions!$B$21+Assumptions!$B$25*Assumptions!$B$22+Assumptions!$B$24*Assumptions!$B$26*Assumptions!$B$21*1.5)*(1+Assumptions!$B$23))/(Assumptions!$B$5*(1-Assumptions!$B$20)))</f>
        <v>640.10025</v>
      </c>
      <c r="F69" s="18" t="n">
        <f aca="false">IF(Assumptions!$B$18=1,F52/(Assumptions!$B$5*(1-Assumptions!$B$19-Assumptions!$B$20)),(F52+(Assumptions!$B$24*Assumptions!$B$25*Assumptions!$B$21+Assumptions!$B$25*Assumptions!$B$22+Assumptions!$B$24*Assumptions!$B$26*Assumptions!$B$21*1.5)*(1+Assumptions!$B$23))/(Assumptions!$B$5*(1-Assumptions!$B$20)))</f>
        <v>640.10025</v>
      </c>
      <c r="G69" s="18" t="n">
        <f aca="false">IF(Assumptions!$B$18=1,G52/(Assumptions!$B$5*(1-Assumptions!$B$19-Assumptions!$B$20)),(G52+(Assumptions!$B$24*Assumptions!$B$25*Assumptions!$B$21+Assumptions!$B$25*Assumptions!$B$22+Assumptions!$B$24*Assumptions!$B$26*Assumptions!$B$21*1.5)*(1+Assumptions!$B$23))/(Assumptions!$B$5*(1-Assumptions!$B$20)))</f>
        <v>640.10025</v>
      </c>
      <c r="H69" s="18" t="n">
        <f aca="false">IF(Assumptions!$B$18=1,H52/(Assumptions!$B$5*(1-Assumptions!$B$19-Assumptions!$B$20)),(H52+(Assumptions!$B$24*Assumptions!$B$25*Assumptions!$B$21+Assumptions!$B$25*Assumptions!$B$22+Assumptions!$B$24*Assumptions!$B$26*Assumptions!$B$21*1.5)*(1+Assumptions!$B$23))/(Assumptions!$B$5*(1-Assumptions!$B$20)))</f>
        <v>888.566188778618</v>
      </c>
      <c r="I69" s="18" t="n">
        <f aca="false">IF(Assumptions!$B$18=1,I52/(Assumptions!$B$5*(1-Assumptions!$B$19-Assumptions!$B$20)),(I52+(Assumptions!$B$24*Assumptions!$B$25*Assumptions!$B$21+Assumptions!$B$25*Assumptions!$B$22+Assumptions!$B$24*Assumptions!$B$26*Assumptions!$B$21*1.5)*(1+Assumptions!$B$23))/(Assumptions!$B$5*(1-Assumptions!$B$20)))</f>
        <v>776.066188778618</v>
      </c>
      <c r="J69" s="18" t="n">
        <f aca="false">IF(Assumptions!$B$18=1,J52/(Assumptions!$B$5*(1-Assumptions!$B$19-Assumptions!$B$20)),(J52+(Assumptions!$B$24*Assumptions!$B$25*Assumptions!$B$21+Assumptions!$B$25*Assumptions!$B$22+Assumptions!$B$24*Assumptions!$B$26*Assumptions!$B$21*1.5)*(1+Assumptions!$B$23))/(Assumptions!$B$5*(1-Assumptions!$B$20)))</f>
        <v>776.066188778618</v>
      </c>
      <c r="K69" s="18" t="n">
        <f aca="false">IF(Assumptions!$B$18=1,K52/(Assumptions!$B$5*(1-Assumptions!$B$19-Assumptions!$B$20)),(K52+(Assumptions!$B$24*Assumptions!$B$25*Assumptions!$B$21+Assumptions!$B$25*Assumptions!$B$22+Assumptions!$B$24*Assumptions!$B$26*Assumptions!$B$21*1.5)*(1+Assumptions!$B$23))/(Assumptions!$B$5*(1-Assumptions!$B$20)))</f>
        <v>720.100893977001</v>
      </c>
      <c r="L69" s="18" t="n">
        <f aca="false">IF(Assumptions!$B$18=1,L52/(Assumptions!$B$5*(1-Assumptions!$B$19-Assumptions!$B$20)),(L52+(Assumptions!$B$24*Assumptions!$B$25*Assumptions!$B$21+Assumptions!$B$25*Assumptions!$B$22+Assumptions!$B$24*Assumptions!$B$26*Assumptions!$B$21*1.5)*(1+Assumptions!$B$23))/(Assumptions!$B$5*(1-Assumptions!$B$20)))</f>
        <v>720.100893977001</v>
      </c>
      <c r="M69" s="18" t="n">
        <f aca="false">IF(Assumptions!$B$18=1,M52/(Assumptions!$B$5*(1-Assumptions!$B$19-Assumptions!$B$20)),(M52+(Assumptions!$B$24*Assumptions!$B$25*Assumptions!$B$21+Assumptions!$B$25*Assumptions!$B$22+Assumptions!$B$24*Assumptions!$B$26*Assumptions!$B$21*1.5)*(1+Assumptions!$B$23))/(Assumptions!$B$5*(1-Assumptions!$B$20)))</f>
        <v>720.100893977001</v>
      </c>
      <c r="N69" s="18" t="n">
        <f aca="false">IF(Assumptions!$B$18=1,N52/(Assumptions!$B$5*(1-Assumptions!$B$19-Assumptions!$B$20)),(N52+(Assumptions!$B$24*Assumptions!$B$25*Assumptions!$B$21+Assumptions!$B$25*Assumptions!$B$22+Assumptions!$B$24*Assumptions!$B$26*Assumptions!$B$21*1.5)*(1+Assumptions!$B$23))/(Assumptions!$B$5*(1-Assumptions!$B$20)))</f>
        <v>720.100893977001</v>
      </c>
      <c r="O69" s="18" t="n">
        <f aca="false">IF(Assumptions!$B$18=1,O52/(Assumptions!$B$5*(1-Assumptions!$B$19-Assumptions!$B$20)),(O52+(Assumptions!$B$24*Assumptions!$B$25*Assumptions!$B$21+Assumptions!$B$25*Assumptions!$B$22+Assumptions!$B$24*Assumptions!$B$26*Assumptions!$B$21*1.5)*(1+Assumptions!$B$23))/(Assumptions!$B$5*(1-Assumptions!$B$20)))</f>
        <v>720.100893977001</v>
      </c>
      <c r="P69" s="18" t="n">
        <f aca="false">IF(Assumptions!$B$18=1,P52/(Assumptions!$B$5*(1-Assumptions!$B$19-Assumptions!$B$20)),(P52+(Assumptions!$B$24*Assumptions!$B$25*Assumptions!$B$21+Assumptions!$B$25*Assumptions!$B$22+Assumptions!$B$24*Assumptions!$B$26*Assumptions!$B$21*1.5)*(1+Assumptions!$B$23))/(Assumptions!$B$5*(1-Assumptions!$B$20)))</f>
        <v>720.100893977001</v>
      </c>
      <c r="Q69" s="18" t="n">
        <f aca="false">IF(Assumptions!$B$18=1,Q52/(Assumptions!$B$5*(1-Assumptions!$B$19-Assumptions!$B$20)),(Q52+(Assumptions!$B$24*Assumptions!$B$25*Assumptions!$B$21+Assumptions!$B$25*Assumptions!$B$22+Assumptions!$B$24*Assumptions!$B$26*Assumptions!$B$21*1.5)*(1+Assumptions!$B$23))/(Assumptions!$B$5*(1-Assumptions!$B$20)))</f>
        <v>720.100893977001</v>
      </c>
      <c r="R69" s="18" t="n">
        <f aca="false">IF(Assumptions!$B$18=1,R52/(Assumptions!$B$5*(1-Assumptions!$B$19-Assumptions!$B$20)),(R52+(Assumptions!$B$24*Assumptions!$B$25*Assumptions!$B$21+Assumptions!$B$25*Assumptions!$B$22+Assumptions!$B$24*Assumptions!$B$26*Assumptions!$B$21*1.5)*(1+Assumptions!$B$23))/(Assumptions!$B$5*(1-Assumptions!$B$20)))</f>
        <v>720.100893977001</v>
      </c>
      <c r="S69" s="18" t="n">
        <f aca="false">IF(Assumptions!$B$18=1,S52/(Assumptions!$B$5*(1-Assumptions!$B$19-Assumptions!$B$20)),(S52+(Assumptions!$B$24*Assumptions!$B$25*Assumptions!$B$21+Assumptions!$B$25*Assumptions!$B$22+Assumptions!$B$24*Assumptions!$B$26*Assumptions!$B$21*1.5)*(1+Assumptions!$B$23))/(Assumptions!$B$5*(1-Assumptions!$B$20)))</f>
        <v>720.100893977001</v>
      </c>
      <c r="T69" s="18" t="n">
        <f aca="false">IF(Assumptions!$B$18=1,T52/(Assumptions!$B$5*(1-Assumptions!$B$19-Assumptions!$B$20)),(T52+(Assumptions!$B$24*Assumptions!$B$25*Assumptions!$B$21+Assumptions!$B$25*Assumptions!$B$22+Assumptions!$B$24*Assumptions!$B$26*Assumptions!$B$21*1.5)*(1+Assumptions!$B$23))/(Assumptions!$B$5*(1-Assumptions!$B$20)))</f>
        <v>720.100893977001</v>
      </c>
      <c r="U69" s="18" t="n">
        <f aca="false">IF(Assumptions!$B$18=1,U52/(Assumptions!$B$5*(1-Assumptions!$B$19-Assumptions!$B$20)),(U52+(Assumptions!$B$24*Assumptions!$B$25*Assumptions!$B$21+Assumptions!$B$25*Assumptions!$B$22+Assumptions!$B$24*Assumptions!$B$26*Assumptions!$B$21*1.5)*(1+Assumptions!$B$23))/(Assumptions!$B$5*(1-Assumptions!$B$20)))</f>
        <v>720.100893977001</v>
      </c>
      <c r="V69" s="18" t="n">
        <f aca="false">IF(Assumptions!$B$18=1,V52/(Assumptions!$B$5*(1-Assumptions!$B$19-Assumptions!$B$20)),(V52+(Assumptions!$B$24*Assumptions!$B$25*Assumptions!$B$21+Assumptions!$B$25*Assumptions!$B$22+Assumptions!$B$24*Assumptions!$B$26*Assumptions!$B$21*1.5)*(1+Assumptions!$B$23))/(Assumptions!$B$5*(1-Assumptions!$B$20)))</f>
        <v>720.100893977001</v>
      </c>
      <c r="W69" s="18" t="n">
        <f aca="false">IF(Assumptions!$B$18=1,W52/(Assumptions!$B$5*(1-Assumptions!$B$19-Assumptions!$B$20)),(W52+(Assumptions!$B$24*Assumptions!$B$25*Assumptions!$B$21+Assumptions!$B$25*Assumptions!$B$22+Assumptions!$B$24*Assumptions!$B$26*Assumptions!$B$21*1.5)*(1+Assumptions!$B$23))/(Assumptions!$B$5*(1-Assumptions!$B$20)))</f>
        <v>720.100893977001</v>
      </c>
      <c r="X69" s="18" t="n">
        <f aca="false">IF(Assumptions!$B$18=1,X52/(Assumptions!$B$5*(1-Assumptions!$B$19-Assumptions!$B$20)),(X52+(Assumptions!$B$24*Assumptions!$B$25*Assumptions!$B$21+Assumptions!$B$25*Assumptions!$B$22+Assumptions!$B$24*Assumptions!$B$26*Assumptions!$B$21*1.5)*(1+Assumptions!$B$23))/(Assumptions!$B$5*(1-Assumptions!$B$20)))</f>
        <v>720.100893977001</v>
      </c>
      <c r="Y69" s="18" t="n">
        <f aca="false">IF(Assumptions!$B$18=1,Y52/(Assumptions!$B$5*(1-Assumptions!$B$19-Assumptions!$B$20)),(Y52+(Assumptions!$B$24*Assumptions!$B$25*Assumptions!$B$21+Assumptions!$B$25*Assumptions!$B$22+Assumptions!$B$24*Assumptions!$B$26*Assumptions!$B$21*1.5)*(1+Assumptions!$B$23))/(Assumptions!$B$5*(1-Assumptions!$B$20)))</f>
        <v>720.100893977001</v>
      </c>
      <c r="Z69" s="2"/>
      <c r="AA69" s="2"/>
      <c r="AB6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213</v>
      </c>
      <c r="B1" s="2"/>
      <c r="C1" s="2"/>
    </row>
    <row r="2" customFormat="false" ht="15" hidden="false" customHeight="false" outlineLevel="0" collapsed="false">
      <c r="A2" s="4" t="s">
        <v>214</v>
      </c>
      <c r="B2" s="5"/>
      <c r="C2" s="2"/>
    </row>
    <row r="3" customFormat="false" ht="15" hidden="false" customHeight="false" outlineLevel="0" collapsed="false">
      <c r="A3" s="2" t="s">
        <v>215</v>
      </c>
      <c r="B3" s="25" t="n">
        <f aca="false">Assumptions!$B$15</f>
        <v>100</v>
      </c>
      <c r="C3" s="2"/>
    </row>
    <row r="4" customFormat="false" ht="15" hidden="false" customHeight="false" outlineLevel="0" collapsed="false">
      <c r="A4" s="2" t="s">
        <v>216</v>
      </c>
      <c r="B4" s="26" t="n">
        <f aca="false">B3*Assumptions!$B$5</f>
        <v>5000</v>
      </c>
      <c r="C4" s="2"/>
    </row>
    <row r="5" customFormat="false" ht="15" hidden="false" customHeight="false" outlineLevel="0" collapsed="false">
      <c r="A5" s="2" t="s">
        <v>217</v>
      </c>
      <c r="B5" s="26" t="n">
        <f aca="false">B3/Assumptions!$B$11*(Assumptions!$B$24*Assumptions!$B$25*Assumptions!$B$21+Assumptions!$B$25*Assumptions!$B$22+Assumptions!$B$24*Assumptions!$B$26*Assumptions!$B$21*1.5)*(1+Assumptions!$B$23)</f>
        <v>1544.89</v>
      </c>
      <c r="C5" s="2"/>
    </row>
    <row r="6" customFormat="false" ht="15" hidden="false" customHeight="false" outlineLevel="0" collapsed="false">
      <c r="A6" s="2" t="s">
        <v>218</v>
      </c>
      <c r="B6" s="26" t="n">
        <f aca="false">B4*Assumptions!$B$20</f>
        <v>1000</v>
      </c>
      <c r="C6" s="2"/>
    </row>
    <row r="7" customFormat="false" ht="15" hidden="false" customHeight="false" outlineLevel="0" collapsed="false">
      <c r="A7" s="2" t="s">
        <v>219</v>
      </c>
      <c r="B7" s="22" t="n">
        <f aca="false">B4-B5-B6</f>
        <v>2455.11</v>
      </c>
      <c r="C7" s="2"/>
    </row>
    <row r="8" customFormat="false" ht="15" hidden="false" customHeight="false" outlineLevel="0" collapsed="false">
      <c r="A8" s="2" t="s">
        <v>220</v>
      </c>
      <c r="B8" s="20" t="n">
        <f aca="false">B7/B4</f>
        <v>0.491022</v>
      </c>
      <c r="C8" s="2"/>
    </row>
    <row r="9" customFormat="false" ht="15" hidden="false" customHeight="false" outlineLevel="0" collapsed="false">
      <c r="A9" s="2" t="s">
        <v>221</v>
      </c>
      <c r="B9" s="27" t="n">
        <f aca="false">B3/(Assumptions!$B$11/Assumptions!$B$8)</f>
        <v>2.33333333333333</v>
      </c>
      <c r="C9" s="2"/>
    </row>
    <row r="10" customFormat="false" ht="15" hidden="false" customHeight="false" outlineLevel="0" collapsed="false">
      <c r="A10" s="4" t="s">
        <v>222</v>
      </c>
      <c r="B10" s="5"/>
      <c r="C10" s="2"/>
    </row>
    <row r="11" customFormat="false" ht="15" hidden="false" customHeight="false" outlineLevel="0" collapsed="false">
      <c r="A11" s="2" t="s">
        <v>223</v>
      </c>
      <c r="B11" s="25" t="n">
        <f aca="false">Assumptions!$B$11</f>
        <v>900</v>
      </c>
      <c r="C11" s="2"/>
    </row>
    <row r="12" customFormat="false" ht="15" hidden="false" customHeight="false" outlineLevel="0" collapsed="false">
      <c r="A12" s="2" t="s">
        <v>205</v>
      </c>
      <c r="B12" s="26" t="n">
        <f aca="false">B11*Assumptions!$B$5</f>
        <v>45000</v>
      </c>
      <c r="C12" s="2"/>
    </row>
    <row r="13" customFormat="false" ht="15" hidden="false" customHeight="false" outlineLevel="0" collapsed="false">
      <c r="A13" s="2" t="s">
        <v>224</v>
      </c>
      <c r="B13" s="26" t="n">
        <f aca="false">Assumptions!$B$24*Assumptions!$B$25*Assumptions!$B$21+Assumptions!$B$25*Assumptions!$B$22+Assumptions!$B$24*Assumptions!$B$26*Assumptions!$B$21*1.5</f>
        <v>12196.5</v>
      </c>
      <c r="C13" s="2"/>
    </row>
    <row r="14" customFormat="false" ht="15" hidden="false" customHeight="false" outlineLevel="0" collapsed="false">
      <c r="A14" s="2" t="s">
        <v>225</v>
      </c>
      <c r="B14" s="26" t="n">
        <f aca="false">B13*(1+Assumptions!$B$23)</f>
        <v>13904.01</v>
      </c>
      <c r="C14" s="2"/>
    </row>
    <row r="15" customFormat="false" ht="15" hidden="false" customHeight="false" outlineLevel="0" collapsed="false">
      <c r="A15" s="2" t="s">
        <v>226</v>
      </c>
      <c r="B15" s="20" t="n">
        <f aca="false">B14/B12</f>
        <v>0.308978</v>
      </c>
      <c r="C15" s="7" t="s">
        <v>227</v>
      </c>
    </row>
    <row r="16" customFormat="false" ht="15" hidden="false" customHeight="false" outlineLevel="0" collapsed="false">
      <c r="A16" s="2" t="s">
        <v>228</v>
      </c>
      <c r="B16" s="26" t="n">
        <f aca="false">B12*(1-Assumptions!$B$20)-B14</f>
        <v>22095.99</v>
      </c>
      <c r="C16" s="2"/>
    </row>
    <row r="17" customFormat="false" ht="15" hidden="false" customHeight="false" outlineLevel="0" collapsed="false">
      <c r="A17" s="4" t="s">
        <v>229</v>
      </c>
      <c r="B17" s="5"/>
      <c r="C17" s="2"/>
    </row>
    <row r="18" customFormat="false" ht="15" hidden="false" customHeight="false" outlineLevel="0" collapsed="false">
      <c r="A18" s="2" t="s">
        <v>230</v>
      </c>
      <c r="B18" s="26" t="n">
        <f aca="false">Assumptions!$B$28</f>
        <v>249</v>
      </c>
      <c r="C18" s="2"/>
    </row>
    <row r="19" customFormat="false" ht="15" hidden="false" customHeight="false" outlineLevel="0" collapsed="false">
      <c r="A19" s="2" t="s">
        <v>231</v>
      </c>
      <c r="B19" s="26" t="n">
        <f aca="false">Assumptions!$B$34</f>
        <v>70</v>
      </c>
      <c r="C19" s="2"/>
    </row>
    <row r="20" customFormat="false" ht="15" hidden="false" customHeight="false" outlineLevel="0" collapsed="false">
      <c r="A20" s="2" t="s">
        <v>232</v>
      </c>
      <c r="B20" s="22" t="n">
        <f aca="false">B18-B19</f>
        <v>179</v>
      </c>
      <c r="C20" s="2"/>
    </row>
    <row r="21" customFormat="false" ht="15" hidden="false" customHeight="false" outlineLevel="0" collapsed="false">
      <c r="A21" s="2" t="s">
        <v>233</v>
      </c>
      <c r="B21" s="20" t="n">
        <f aca="false">B20/B18</f>
        <v>0.718875502008032</v>
      </c>
      <c r="C21" s="2"/>
    </row>
    <row r="22" customFormat="false" ht="15" hidden="false" customHeight="false" outlineLevel="0" collapsed="false">
      <c r="A22" s="2" t="s">
        <v>234</v>
      </c>
      <c r="B22" s="25" t="n">
        <f aca="false">5/Assumptions!$B$29</f>
        <v>5</v>
      </c>
      <c r="C22" s="2"/>
    </row>
    <row r="23" customFormat="false" ht="15" hidden="false" customHeight="false" outlineLevel="0" collapsed="false">
      <c r="A23" s="2" t="s">
        <v>235</v>
      </c>
      <c r="B23" s="22" t="n">
        <f aca="false">B20*B22</f>
        <v>895</v>
      </c>
      <c r="C23" s="2"/>
    </row>
    <row r="24" customFormat="false" ht="15" hidden="false" customHeight="false" outlineLevel="0" collapsed="false">
      <c r="A24" s="2" t="s">
        <v>236</v>
      </c>
      <c r="B24" s="22" t="n">
        <f aca="false">0.25*B7</f>
        <v>613.7775</v>
      </c>
      <c r="C24" s="7" t="s">
        <v>237</v>
      </c>
    </row>
    <row r="25" customFormat="false" ht="15" hidden="false" customHeight="false" outlineLevel="0" collapsed="false">
      <c r="A25" s="4" t="s">
        <v>238</v>
      </c>
      <c r="B25" s="5"/>
      <c r="C25" s="2"/>
    </row>
    <row r="26" customFormat="false" ht="15" hidden="false" customHeight="false" outlineLevel="0" collapsed="false">
      <c r="A26" s="2" t="s">
        <v>239</v>
      </c>
      <c r="B26" s="25" t="n">
        <f aca="false">Assumptions!$B$6</f>
        <v>400</v>
      </c>
      <c r="C26" s="2"/>
    </row>
    <row r="27" customFormat="false" ht="15" hidden="false" customHeight="false" outlineLevel="0" collapsed="false">
      <c r="A27" s="2" t="s">
        <v>240</v>
      </c>
      <c r="B27" s="26" t="n">
        <f aca="false">B26*Assumptions!$B$5+MAX(0,Assumptions!$B$8-B26/Assumptions!$B$9)*Assumptions!$B$10</f>
        <v>31697.6744186047</v>
      </c>
      <c r="C27" s="2"/>
    </row>
    <row r="28" customFormat="false" ht="15" hidden="false" customHeight="false" outlineLevel="0" collapsed="false">
      <c r="A28" s="2" t="s">
        <v>241</v>
      </c>
      <c r="B28" s="26" t="n">
        <f aca="false">B27/Assumptions!$B$8</f>
        <v>1509.4130675526</v>
      </c>
      <c r="C28" s="2" t="s">
        <v>242</v>
      </c>
    </row>
    <row r="29" customFormat="false" ht="15" hidden="false" customHeight="false" outlineLevel="0" collapsed="false">
      <c r="A29" s="2" t="s">
        <v>243</v>
      </c>
      <c r="B29" s="20" t="n">
        <f aca="false">B14/B27</f>
        <v>0.438644482758621</v>
      </c>
      <c r="C29" s="2" t="s">
        <v>244</v>
      </c>
    </row>
    <row r="30" customFormat="false" ht="15" hidden="false" customHeight="false" outlineLevel="0" collapsed="false">
      <c r="A30" s="2" t="s">
        <v>245</v>
      </c>
      <c r="B30" s="20" t="n">
        <f aca="false">B15</f>
        <v>0.308978</v>
      </c>
      <c r="C30" s="2"/>
    </row>
    <row r="31" customFormat="false" ht="15" hidden="false" customHeight="false" outlineLevel="0" collapsed="false">
      <c r="A31" s="2" t="s">
        <v>246</v>
      </c>
      <c r="B31" s="26" t="n">
        <f aca="false">'Proforma 24 mo'!D52</f>
        <v>11700</v>
      </c>
      <c r="C31" s="2"/>
    </row>
    <row r="32" customFormat="false" ht="15" hidden="false" customHeight="false" outlineLevel="0" collapsed="false">
      <c r="A32" s="2" t="s">
        <v>247</v>
      </c>
      <c r="B32" s="25" t="n">
        <f aca="false">(B31+B14)/(Assumptions!$B$5*(1-Assumptions!$B$20))</f>
        <v>640.10025</v>
      </c>
      <c r="C32" s="2"/>
    </row>
    <row r="33" customFormat="false" ht="15" hidden="false" customHeight="false" outlineLevel="0" collapsed="false">
      <c r="A33" s="2" t="s">
        <v>248</v>
      </c>
      <c r="B33" s="28" t="n">
        <f aca="false">B32/Assumptions!$B$11</f>
        <v>0.7112225</v>
      </c>
      <c r="C3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249</v>
      </c>
      <c r="B1" s="2"/>
      <c r="C1" s="2"/>
      <c r="D1" s="2"/>
    </row>
    <row r="2" customFormat="false" ht="15" hidden="false" customHeight="false" outlineLevel="0" collapsed="false">
      <c r="A2" s="3" t="s">
        <v>250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9"/>
      <c r="B4" s="29" t="s">
        <v>251</v>
      </c>
      <c r="C4" s="29" t="s">
        <v>252</v>
      </c>
      <c r="D4" s="29" t="s">
        <v>253</v>
      </c>
    </row>
    <row r="5" customFormat="false" ht="15" hidden="false" customHeight="false" outlineLevel="0" collapsed="false">
      <c r="A5" s="2" t="s">
        <v>254</v>
      </c>
      <c r="B5" s="12" t="n">
        <v>700</v>
      </c>
      <c r="C5" s="12" t="n">
        <v>900</v>
      </c>
      <c r="D5" s="12" t="n">
        <v>1000</v>
      </c>
    </row>
    <row r="6" customFormat="false" ht="15" hidden="false" customHeight="false" outlineLevel="0" collapsed="false">
      <c r="A6" s="2" t="s">
        <v>255</v>
      </c>
      <c r="B6" s="12" t="n">
        <v>1</v>
      </c>
      <c r="C6" s="12" t="n">
        <v>2</v>
      </c>
      <c r="D6" s="12" t="n">
        <v>2</v>
      </c>
    </row>
    <row r="7" customFormat="false" ht="15" hidden="false" customHeight="false" outlineLevel="0" collapsed="false">
      <c r="A7" s="2" t="s">
        <v>256</v>
      </c>
      <c r="B7" s="9" t="n">
        <v>45</v>
      </c>
      <c r="C7" s="9" t="n">
        <v>50</v>
      </c>
      <c r="D7" s="9" t="n">
        <v>55</v>
      </c>
    </row>
    <row r="8" customFormat="false" ht="15" hidden="false" customHeight="false" outlineLevel="0" collapsed="false">
      <c r="A8" s="2" t="s">
        <v>257</v>
      </c>
      <c r="B8" s="12" t="n">
        <v>40</v>
      </c>
      <c r="C8" s="12" t="n">
        <v>90</v>
      </c>
      <c r="D8" s="12" t="n">
        <v>140</v>
      </c>
    </row>
    <row r="9" customFormat="false" ht="15" hidden="false" customHeight="false" outlineLevel="0" collapsed="false">
      <c r="A9" s="2" t="s">
        <v>258</v>
      </c>
      <c r="B9" s="22" t="n">
        <f aca="false">B5*B6*B7</f>
        <v>31500</v>
      </c>
      <c r="C9" s="22" t="n">
        <f aca="false">C5*C6*C7</f>
        <v>90000</v>
      </c>
      <c r="D9" s="22" t="n">
        <f aca="false">D5*D6*D7</f>
        <v>110000</v>
      </c>
    </row>
    <row r="10" customFormat="false" ht="15" hidden="false" customHeight="false" outlineLevel="0" collapsed="false">
      <c r="A10" s="2" t="s">
        <v>259</v>
      </c>
      <c r="B10" s="22" t="n">
        <f aca="false">B8/12/Assumptions!$B$29*Assumptions!$B$28</f>
        <v>830</v>
      </c>
      <c r="C10" s="22" t="n">
        <f aca="false">C8/12/Assumptions!$B$29*Assumptions!$B$28</f>
        <v>1867.5</v>
      </c>
      <c r="D10" s="22" t="n">
        <f aca="false">D8/12/Assumptions!$B$29*Assumptions!$B$28</f>
        <v>2905</v>
      </c>
    </row>
    <row r="11" customFormat="false" ht="15" hidden="false" customHeight="false" outlineLevel="0" collapsed="false">
      <c r="A11" s="2" t="s">
        <v>260</v>
      </c>
      <c r="B11" s="22" t="n">
        <f aca="false">B9+B10</f>
        <v>32330</v>
      </c>
      <c r="C11" s="22" t="n">
        <f aca="false">C9+C10</f>
        <v>91867.5</v>
      </c>
      <c r="D11" s="22" t="n">
        <f aca="false">D9+D10</f>
        <v>112905</v>
      </c>
    </row>
    <row r="12" customFormat="false" ht="15" hidden="false" customHeight="false" outlineLevel="0" collapsed="false">
      <c r="A12" s="2" t="s">
        <v>261</v>
      </c>
      <c r="B12" s="23" t="n">
        <f aca="false">B9*(1-Assumptions!$B$20)-B6*(Assumptions!$B$24*Assumptions!$B$25*Assumptions!$B$21+Assumptions!$B$25*Assumptions!$B$22+Assumptions!$B$24*Assumptions!$B$26*Assumptions!$B$21*1.5)*(1+Assumptions!$B$23)+B10*(1-Assumptions!$B$34/Assumptions!$B$28)</f>
        <v>11892.6566666667</v>
      </c>
      <c r="C12" s="23" t="n">
        <f aca="false">C9*(1-Assumptions!$B$20)-C6*(Assumptions!$B$24*Assumptions!$B$25*Assumptions!$B$21+Assumptions!$B$25*Assumptions!$B$22+Assumptions!$B$24*Assumptions!$B$26*Assumptions!$B$21*1.5)*(1+Assumptions!$B$23)+C10*(1-Assumptions!$B$34/Assumptions!$B$28)</f>
        <v>45534.48</v>
      </c>
      <c r="D12" s="23" t="n">
        <f aca="false">D9*(1-Assumptions!$B$20)-D6*(Assumptions!$B$24*Assumptions!$B$25*Assumptions!$B$21+Assumptions!$B$25*Assumptions!$B$22+Assumptions!$B$24*Assumptions!$B$26*Assumptions!$B$21*1.5)*(1+Assumptions!$B$23)+D10*(1-Assumptions!$B$34/Assumptions!$B$28)</f>
        <v>62280.3133333333</v>
      </c>
    </row>
    <row r="13" customFormat="false" ht="15" hidden="false" customHeight="false" outlineLevel="0" collapsed="false">
      <c r="A13" s="2" t="s">
        <v>262</v>
      </c>
      <c r="B13" s="22" t="n">
        <f aca="false">IF(B6=1,'Proforma 24 mo'!D52,'Proforma 24 mo'!Y52)</f>
        <v>11700</v>
      </c>
      <c r="C13" s="22" t="n">
        <f aca="false">IF(C6=1,'Proforma 24 mo'!D52,'Proforma 24 mo'!Y52)</f>
        <v>14900.02575908</v>
      </c>
      <c r="D13" s="22" t="n">
        <f aca="false">IF(D6=1,'Proforma 24 mo'!D52,'Proforma 24 mo'!Y52)</f>
        <v>14900.02575908</v>
      </c>
    </row>
    <row r="14" customFormat="false" ht="15" hidden="false" customHeight="false" outlineLevel="0" collapsed="false">
      <c r="A14" s="2" t="s">
        <v>263</v>
      </c>
      <c r="B14" s="23" t="n">
        <f aca="false">B12-B13</f>
        <v>192.656666666664</v>
      </c>
      <c r="C14" s="23" t="n">
        <f aca="false">C12-C13</f>
        <v>30634.45424092</v>
      </c>
      <c r="D14" s="23" t="n">
        <f aca="false">D12-D13</f>
        <v>47380.2875742533</v>
      </c>
    </row>
    <row r="15" customFormat="false" ht="15" hidden="false" customHeight="false" outlineLevel="0" collapsed="false">
      <c r="A15" s="2" t="s">
        <v>264</v>
      </c>
      <c r="B15" s="23" t="n">
        <f aca="false">B14*12</f>
        <v>2311.87999999997</v>
      </c>
      <c r="C15" s="23" t="n">
        <f aca="false">C14*12</f>
        <v>367613.45089104</v>
      </c>
      <c r="D15" s="23" t="n">
        <f aca="false">D14*12</f>
        <v>568563.45089104</v>
      </c>
    </row>
    <row r="16" customFormat="false" ht="15" hidden="false" customHeight="false" outlineLevel="0" collapsed="false">
      <c r="A16" s="2" t="s">
        <v>265</v>
      </c>
      <c r="B16" s="20" t="n">
        <f aca="false">IF(B11=0,0,B14/B11)</f>
        <v>0.0059590679451489</v>
      </c>
      <c r="C16" s="20" t="n">
        <f aca="false">IF(C11=0,0,C14/C11)</f>
        <v>0.333463458142651</v>
      </c>
      <c r="D16" s="20" t="n">
        <f aca="false">IF(D11=0,0,D14/D11)</f>
        <v>0.419647381198825</v>
      </c>
    </row>
    <row r="17" customFormat="false" ht="15" hidden="false" customHeight="false" outlineLevel="0" collapsed="false">
      <c r="A17" s="2" t="s">
        <v>266</v>
      </c>
      <c r="B17" s="18" t="n">
        <f aca="false">B5*B6/Assumptions!$B$15/Assumptions!$B$51</f>
        <v>10</v>
      </c>
      <c r="C17" s="18" t="n">
        <f aca="false">C5*C6/Assumptions!$B$15/Assumptions!$B$51</f>
        <v>25.7142857142857</v>
      </c>
      <c r="D17" s="18" t="n">
        <f aca="false">D5*D6/Assumptions!$B$15/Assumptions!$B$51</f>
        <v>28.5714285714286</v>
      </c>
    </row>
    <row r="18" customFormat="false" ht="15" hidden="false" customHeight="false" outlineLevel="0" collapsed="false">
      <c r="A18" s="2" t="s">
        <v>267</v>
      </c>
      <c r="B18" s="18" t="n">
        <f aca="false">B17/0.45</f>
        <v>22.2222222222222</v>
      </c>
      <c r="C18" s="18" t="n">
        <f aca="false">C17/0.45</f>
        <v>57.1428571428571</v>
      </c>
      <c r="D18" s="18" t="n">
        <f aca="false">D17/0.45</f>
        <v>63.4920634920635</v>
      </c>
    </row>
    <row r="19" customFormat="false" ht="15" hidden="false" customHeight="false" outlineLevel="0" collapsed="false">
      <c r="A19" s="30" t="s">
        <v>268</v>
      </c>
      <c r="B19" s="2"/>
      <c r="C19" s="2"/>
      <c r="D19" s="2"/>
    </row>
    <row r="20" customFormat="false" ht="15" hidden="false" customHeight="false" outlineLevel="0" collapsed="false">
      <c r="A20" s="7" t="s">
        <v>269</v>
      </c>
      <c r="B20" s="2"/>
      <c r="C20" s="2"/>
      <c r="D20" s="2"/>
    </row>
    <row r="21" customFormat="false" ht="15" hidden="false" customHeight="false" outlineLevel="0" collapsed="false">
      <c r="A21" s="7" t="s">
        <v>270</v>
      </c>
      <c r="B21" s="2"/>
      <c r="C21" s="2"/>
      <c r="D21" s="2"/>
    </row>
    <row r="22" customFormat="false" ht="15" hidden="false" customHeight="false" outlineLevel="0" collapsed="false">
      <c r="A22" s="7" t="s">
        <v>271</v>
      </c>
      <c r="B22" s="2"/>
      <c r="C22" s="2"/>
      <c r="D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272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273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5.05" hidden="false" customHeight="false" outlineLevel="0" collapsed="false">
      <c r="A4" s="31" t="s">
        <v>274</v>
      </c>
      <c r="B4" s="31" t="s">
        <v>275</v>
      </c>
      <c r="C4" s="31" t="s">
        <v>276</v>
      </c>
      <c r="D4" s="31" t="s">
        <v>277</v>
      </c>
      <c r="E4" s="31" t="s">
        <v>278</v>
      </c>
      <c r="F4" s="31" t="s">
        <v>279</v>
      </c>
      <c r="G4" s="31" t="s">
        <v>280</v>
      </c>
      <c r="H4" s="31" t="s">
        <v>281</v>
      </c>
      <c r="I4" s="31" t="s">
        <v>282</v>
      </c>
      <c r="J4" s="31" t="s">
        <v>283</v>
      </c>
    </row>
    <row r="5" customFormat="false" ht="15" hidden="false" customHeight="false" outlineLevel="0" collapsed="false">
      <c r="A5" s="2" t="s">
        <v>284</v>
      </c>
      <c r="B5" s="26" t="n">
        <f aca="false">Assumptions!$B$64</f>
        <v>50000</v>
      </c>
      <c r="C5" s="26" t="n">
        <f aca="false">Assumptions!$B$65</f>
        <v>2000</v>
      </c>
      <c r="D5" s="25" t="n">
        <f aca="false">Assumptions!$B$66</f>
        <v>3</v>
      </c>
      <c r="E5" s="22" t="n">
        <f aca="false">C5*D5</f>
        <v>6000</v>
      </c>
      <c r="F5" s="18" t="n">
        <f aca="false">Assumptions!$B$12+D5</f>
        <v>10</v>
      </c>
      <c r="G5" s="22" t="n">
        <f aca="false">B5*(1-Assumptions!$B$79)</f>
        <v>10000</v>
      </c>
      <c r="H5" s="22" t="n">
        <f aca="false">-PMT(Assumptions!$B$80/12,Assumptions!$B$81,B5*Assumptions!$B$79)</f>
        <v>830.33420905416</v>
      </c>
      <c r="I5" s="18" t="n">
        <f aca="false">F5+Assumptions!$B$81</f>
        <v>70</v>
      </c>
      <c r="J5" s="18" t="n">
        <f aca="false">IF(C5=0,"n/a",B5/C5)</f>
        <v>25</v>
      </c>
    </row>
    <row r="6" customFormat="false" ht="15" hidden="false" customHeight="false" outlineLevel="0" collapsed="false">
      <c r="A6" s="2" t="s">
        <v>285</v>
      </c>
      <c r="B6" s="26" t="n">
        <f aca="false">Assumptions!$B$67</f>
        <v>38000</v>
      </c>
      <c r="C6" s="26" t="n">
        <f aca="false">Assumptions!$B$68</f>
        <v>1700</v>
      </c>
      <c r="D6" s="25" t="n">
        <f aca="false">Assumptions!$B$69</f>
        <v>3</v>
      </c>
      <c r="E6" s="22" t="n">
        <f aca="false">C6*D6</f>
        <v>5100</v>
      </c>
      <c r="F6" s="18" t="n">
        <f aca="false">Assumptions!$B$12+D6</f>
        <v>10</v>
      </c>
      <c r="G6" s="22" t="n">
        <f aca="false">B6*(1-Assumptions!$B$79)</f>
        <v>7600</v>
      </c>
      <c r="H6" s="22" t="n">
        <f aca="false">-PMT(Assumptions!$B$80/12,Assumptions!$B$81,B6*Assumptions!$B$79)</f>
        <v>631.053998881162</v>
      </c>
      <c r="I6" s="18" t="n">
        <f aca="false">F6+Assumptions!$B$81</f>
        <v>70</v>
      </c>
      <c r="J6" s="18" t="n">
        <f aca="false">IF(C6=0,"n/a",B6/C6)</f>
        <v>22.3529411764706</v>
      </c>
    </row>
    <row r="7" customFormat="false" ht="15" hidden="false" customHeight="false" outlineLevel="0" collapsed="false">
      <c r="A7" s="2" t="s">
        <v>286</v>
      </c>
      <c r="B7" s="26" t="n">
        <f aca="false">Assumptions!$B$70</f>
        <v>9500</v>
      </c>
      <c r="C7" s="26" t="n">
        <f aca="false">Assumptions!$B$71</f>
        <v>600</v>
      </c>
      <c r="D7" s="25" t="n">
        <f aca="false">Assumptions!$B$72</f>
        <v>0</v>
      </c>
      <c r="E7" s="22" t="n">
        <f aca="false">C7*D7</f>
        <v>0</v>
      </c>
      <c r="F7" s="18" t="n">
        <f aca="false">Assumptions!$B$12+D7</f>
        <v>7</v>
      </c>
      <c r="G7" s="22" t="n">
        <f aca="false">B7*(1-Assumptions!$B$79)</f>
        <v>1900</v>
      </c>
      <c r="H7" s="22" t="n">
        <f aca="false">-PMT(Assumptions!$B$80/12,Assumptions!$B$81,B7*Assumptions!$B$79)</f>
        <v>157.76349972029</v>
      </c>
      <c r="I7" s="18" t="n">
        <f aca="false">F7+Assumptions!$B$81</f>
        <v>67</v>
      </c>
      <c r="J7" s="18" t="n">
        <f aca="false">IF(C7=0,"n/a",B7/C7)</f>
        <v>15.8333333333333</v>
      </c>
    </row>
    <row r="8" customFormat="false" ht="15" hidden="false" customHeight="false" outlineLevel="0" collapsed="false">
      <c r="A8" s="2" t="s">
        <v>287</v>
      </c>
      <c r="B8" s="26" t="n">
        <f aca="false">Assumptions!$B$73</f>
        <v>35000</v>
      </c>
      <c r="C8" s="26" t="n">
        <f aca="false">Assumptions!$B$74</f>
        <v>0</v>
      </c>
      <c r="D8" s="25" t="n">
        <f aca="false">Assumptions!$B$75</f>
        <v>0</v>
      </c>
      <c r="E8" s="22" t="n">
        <f aca="false">C8*D8</f>
        <v>0</v>
      </c>
      <c r="F8" s="18" t="n">
        <f aca="false">Assumptions!$B$12+D8</f>
        <v>7</v>
      </c>
      <c r="G8" s="22" t="n">
        <f aca="false">B8*(1-Assumptions!$B$79)</f>
        <v>7000</v>
      </c>
      <c r="H8" s="22" t="n">
        <f aca="false">-PMT(Assumptions!$B$80/12,Assumptions!$B$81,B8*Assumptions!$B$79)</f>
        <v>581.233946337912</v>
      </c>
      <c r="I8" s="18" t="n">
        <f aca="false">F8+Assumptions!$B$81</f>
        <v>67</v>
      </c>
      <c r="J8" s="18" t="str">
        <f aca="false">IF(C8=0,"n/a",B8/C8)</f>
        <v>n/a</v>
      </c>
    </row>
    <row r="9" customFormat="false" ht="15" hidden="false" customHeight="false" outlineLevel="0" collapsed="false">
      <c r="A9" s="2" t="s">
        <v>288</v>
      </c>
      <c r="B9" s="26" t="n">
        <f aca="false">Assumptions!$B$76</f>
        <v>6000</v>
      </c>
      <c r="C9" s="26" t="n">
        <f aca="false">Assumptions!$B$77</f>
        <v>0</v>
      </c>
      <c r="D9" s="25" t="n">
        <f aca="false">Assumptions!$B$78</f>
        <v>0</v>
      </c>
      <c r="E9" s="22" t="n">
        <f aca="false">C9*D9</f>
        <v>0</v>
      </c>
      <c r="F9" s="18" t="n">
        <f aca="false">Assumptions!$B$12+D9</f>
        <v>7</v>
      </c>
      <c r="G9" s="22" t="n">
        <f aca="false">B9*(1-Assumptions!$B$79)</f>
        <v>1200</v>
      </c>
      <c r="H9" s="22" t="n">
        <f aca="false">-PMT(Assumptions!$B$80/12,Assumptions!$B$81,B9*Assumptions!$B$79)</f>
        <v>99.6401050864993</v>
      </c>
      <c r="I9" s="18" t="n">
        <f aca="false">F9+Assumptions!$B$81</f>
        <v>67</v>
      </c>
      <c r="J9" s="18" t="str">
        <f aca="false">IF(C9=0,"n/a",B9/C9)</f>
        <v>n/a</v>
      </c>
    </row>
    <row r="10" customFormat="false" ht="15" hidden="false" customHeight="false" outlineLevel="0" collapsed="false">
      <c r="A10" s="15" t="s">
        <v>289</v>
      </c>
      <c r="B10" s="23" t="n">
        <f aca="false">SUM(B5:B9)</f>
        <v>138500</v>
      </c>
      <c r="C10" s="2"/>
      <c r="D10" s="2"/>
      <c r="E10" s="23" t="n">
        <f aca="false">SUM(E5:E9)</f>
        <v>11100</v>
      </c>
      <c r="F10" s="2"/>
      <c r="G10" s="23" t="n">
        <f aca="false">SUM(G5:G9)</f>
        <v>27700</v>
      </c>
      <c r="H10" s="23" t="n">
        <f aca="false">SUM(H5:H9)</f>
        <v>2300.02575908002</v>
      </c>
      <c r="I10" s="2"/>
      <c r="J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30" t="s">
        <v>290</v>
      </c>
      <c r="B12" s="2"/>
      <c r="C12" s="2"/>
      <c r="D12" s="2"/>
      <c r="E12" s="2"/>
      <c r="F12" s="2"/>
      <c r="G12" s="2"/>
      <c r="H12" s="2"/>
      <c r="I12" s="2"/>
      <c r="J12" s="2"/>
    </row>
    <row r="13" customFormat="false" ht="30" hidden="false" customHeight="true" outlineLevel="0" collapsed="false">
      <c r="A13" s="32" t="s">
        <v>291</v>
      </c>
      <c r="B13" s="32"/>
      <c r="C13" s="32"/>
      <c r="D13" s="32"/>
      <c r="E13" s="32"/>
      <c r="F13" s="32"/>
      <c r="G13" s="32"/>
      <c r="H13" s="32"/>
      <c r="I13" s="32"/>
      <c r="J13" s="32"/>
    </row>
    <row r="14" customFormat="false" ht="30" hidden="false" customHeight="true" outlineLevel="0" collapsed="false">
      <c r="A14" s="32" t="s">
        <v>292</v>
      </c>
      <c r="B14" s="32"/>
      <c r="C14" s="32"/>
      <c r="D14" s="32"/>
      <c r="E14" s="32"/>
      <c r="F14" s="32"/>
      <c r="G14" s="32"/>
      <c r="H14" s="32"/>
      <c r="I14" s="32"/>
      <c r="J14" s="32"/>
    </row>
    <row r="15" customFormat="false" ht="30" hidden="false" customHeight="true" outlineLevel="0" collapsed="false">
      <c r="A15" s="32" t="s">
        <v>293</v>
      </c>
      <c r="B15" s="32"/>
      <c r="C15" s="32"/>
      <c r="D15" s="32"/>
      <c r="E15" s="32"/>
      <c r="F15" s="32"/>
      <c r="G15" s="32"/>
      <c r="H15" s="32"/>
      <c r="I15" s="32"/>
      <c r="J15" s="32"/>
    </row>
    <row r="16" customFormat="false" ht="30" hidden="false" customHeight="true" outlineLevel="0" collapsed="false">
      <c r="A16" s="32" t="s">
        <v>294</v>
      </c>
      <c r="B16" s="32"/>
      <c r="C16" s="32"/>
      <c r="D16" s="32"/>
      <c r="E16" s="32"/>
      <c r="F16" s="32"/>
      <c r="G16" s="32"/>
      <c r="H16" s="32"/>
      <c r="I16" s="32"/>
      <c r="J16" s="32"/>
    </row>
    <row r="17" customFormat="false" ht="30" hidden="false" customHeight="true" outlineLevel="0" collapsed="false">
      <c r="A17" s="32" t="s">
        <v>295</v>
      </c>
      <c r="B17" s="32"/>
      <c r="C17" s="32"/>
      <c r="D17" s="32"/>
      <c r="E17" s="32"/>
      <c r="F17" s="32"/>
      <c r="G17" s="32"/>
      <c r="H17" s="32"/>
      <c r="I17" s="32"/>
      <c r="J17" s="32"/>
    </row>
  </sheetData>
  <mergeCells count="5">
    <mergeCell ref="A13:J13"/>
    <mergeCell ref="A14:J14"/>
    <mergeCell ref="A15:J15"/>
    <mergeCell ref="A16:J16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296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297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9"/>
      <c r="B4" s="29" t="s">
        <v>298</v>
      </c>
      <c r="C4" s="29" t="s">
        <v>145</v>
      </c>
      <c r="D4" s="29" t="s">
        <v>146</v>
      </c>
      <c r="E4" s="29" t="s">
        <v>299</v>
      </c>
      <c r="F4" s="29" t="s">
        <v>300</v>
      </c>
      <c r="G4" s="29" t="s">
        <v>301</v>
      </c>
      <c r="H4" s="29" t="s">
        <v>302</v>
      </c>
    </row>
    <row r="5" customFormat="false" ht="15" hidden="false" customHeight="false" outlineLevel="0" collapsed="false">
      <c r="A5" s="4" t="s">
        <v>303</v>
      </c>
      <c r="B5" s="5"/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17" t="s">
        <v>304</v>
      </c>
      <c r="B6" s="12" t="n">
        <v>1</v>
      </c>
      <c r="C6" s="12" t="n">
        <v>2</v>
      </c>
      <c r="D6" s="12" t="n">
        <v>2</v>
      </c>
      <c r="E6" s="12" t="n">
        <v>3</v>
      </c>
      <c r="F6" s="12" t="n">
        <v>4</v>
      </c>
      <c r="G6" s="12" t="n">
        <v>4</v>
      </c>
      <c r="H6" s="7" t="s">
        <v>305</v>
      </c>
    </row>
    <row r="7" customFormat="false" ht="15" hidden="false" customHeight="false" outlineLevel="0" collapsed="false">
      <c r="A7" s="17" t="s">
        <v>306</v>
      </c>
      <c r="B7" s="33" t="n">
        <v>1</v>
      </c>
      <c r="C7" s="21" t="n">
        <f aca="false">(6*1+6*2)/12</f>
        <v>1.5</v>
      </c>
      <c r="D7" s="33" t="n">
        <v>2</v>
      </c>
      <c r="E7" s="33" t="n">
        <v>2.5</v>
      </c>
      <c r="F7" s="33" t="n">
        <v>3.5</v>
      </c>
      <c r="G7" s="33" t="n">
        <v>4</v>
      </c>
      <c r="H7" s="7" t="s">
        <v>307</v>
      </c>
    </row>
    <row r="8" customFormat="false" ht="15" hidden="false" customHeight="false" outlineLevel="0" collapsed="false">
      <c r="A8" s="17" t="s">
        <v>308</v>
      </c>
      <c r="B8" s="12" t="n">
        <v>4800</v>
      </c>
      <c r="C8" s="25" t="n">
        <f aca="false">'Proforma 24 mo'!Z17/C7</f>
        <v>9266.66666666667</v>
      </c>
      <c r="D8" s="25" t="n">
        <f aca="false">'Proforma 24 mo'!AA17/D7</f>
        <v>10800</v>
      </c>
      <c r="E8" s="25" t="n">
        <f aca="false">Assumptions!$B$11*12*0.95</f>
        <v>10260</v>
      </c>
      <c r="F8" s="25" t="n">
        <f aca="false">Assumptions!$B$11*12*0.95</f>
        <v>10260</v>
      </c>
      <c r="G8" s="25" t="n">
        <f aca="false">Assumptions!$B$11*12*0.95</f>
        <v>10260</v>
      </c>
      <c r="H8" s="7" t="s">
        <v>309</v>
      </c>
    </row>
    <row r="9" customFormat="false" ht="15" hidden="false" customHeight="false" outlineLevel="0" collapsed="false">
      <c r="A9" s="15" t="s">
        <v>310</v>
      </c>
      <c r="B9" s="19" t="n">
        <f aca="false">B7*B8</f>
        <v>4800</v>
      </c>
      <c r="C9" s="25" t="n">
        <f aca="false">'Proforma 24 mo'!Z17</f>
        <v>13900</v>
      </c>
      <c r="D9" s="25" t="n">
        <f aca="false">'Proforma 24 mo'!AA17</f>
        <v>21600</v>
      </c>
      <c r="E9" s="19" t="n">
        <f aca="false">E7*E8</f>
        <v>25650</v>
      </c>
      <c r="F9" s="19" t="n">
        <f aca="false">F7*F8</f>
        <v>35910</v>
      </c>
      <c r="G9" s="19" t="n">
        <f aca="false">G7*G8</f>
        <v>41040</v>
      </c>
      <c r="H9" s="2"/>
    </row>
    <row r="10" customFormat="false" ht="15" hidden="false" customHeight="false" outlineLevel="0" collapsed="false">
      <c r="A10" s="4" t="s">
        <v>163</v>
      </c>
      <c r="B10" s="5"/>
      <c r="C10" s="5"/>
      <c r="D10" s="5"/>
      <c r="E10" s="5"/>
      <c r="F10" s="5"/>
      <c r="G10" s="5"/>
      <c r="H10" s="5"/>
    </row>
    <row r="11" customFormat="false" ht="15" hidden="false" customHeight="false" outlineLevel="0" collapsed="false">
      <c r="A11" s="17" t="s">
        <v>311</v>
      </c>
      <c r="B11" s="26" t="n">
        <f aca="false">Assumptions!$B$5</f>
        <v>50</v>
      </c>
      <c r="C11" s="26" t="n">
        <f aca="false">Assumptions!$B$5</f>
        <v>50</v>
      </c>
      <c r="D11" s="26" t="n">
        <f aca="false">Assumptions!$B$5</f>
        <v>50</v>
      </c>
      <c r="E11" s="22" t="n">
        <f aca="false">D11*1.03</f>
        <v>51.5</v>
      </c>
      <c r="F11" s="22" t="n">
        <f aca="false">E11*1.03</f>
        <v>53.045</v>
      </c>
      <c r="G11" s="22" t="n">
        <f aca="false">F11*1.03</f>
        <v>54.63635</v>
      </c>
      <c r="H11" s="2"/>
    </row>
    <row r="12" customFormat="false" ht="15" hidden="false" customHeight="false" outlineLevel="0" collapsed="false">
      <c r="A12" s="17" t="s">
        <v>312</v>
      </c>
      <c r="B12" s="26" t="n">
        <f aca="false">'Proforma 24 mo'!B25*12</f>
        <v>380372.093023256</v>
      </c>
      <c r="C12" s="26" t="n">
        <f aca="false">'Proforma 24 mo'!Z25</f>
        <v>749744.186046512</v>
      </c>
      <c r="D12" s="26" t="n">
        <f aca="false">'Proforma 24 mo'!AA25</f>
        <v>1081674.41860465</v>
      </c>
      <c r="E12" s="22" t="n">
        <f aca="false">E9*E11</f>
        <v>1320975</v>
      </c>
      <c r="F12" s="22" t="n">
        <f aca="false">F9*F11</f>
        <v>1904845.95</v>
      </c>
      <c r="G12" s="22" t="n">
        <f aca="false">G9*G11</f>
        <v>2242275.804</v>
      </c>
      <c r="H12" s="7" t="s">
        <v>313</v>
      </c>
    </row>
    <row r="13" customFormat="false" ht="15" hidden="false" customHeight="false" outlineLevel="0" collapsed="false">
      <c r="A13" s="17" t="s">
        <v>314</v>
      </c>
      <c r="B13" s="12" t="n">
        <v>0</v>
      </c>
      <c r="C13" s="25" t="n">
        <f aca="false">'Proforma 24 mo'!M27</f>
        <v>69.0010213081308</v>
      </c>
      <c r="D13" s="25" t="n">
        <f aca="false">'Proforma 24 mo'!Y27</f>
        <v>150.475943667911</v>
      </c>
      <c r="E13" s="12" t="n">
        <v>260</v>
      </c>
      <c r="F13" s="12" t="n">
        <v>380</v>
      </c>
      <c r="G13" s="12" t="n">
        <v>480</v>
      </c>
      <c r="H13" s="7" t="s">
        <v>315</v>
      </c>
    </row>
    <row r="14" customFormat="false" ht="15" hidden="false" customHeight="false" outlineLevel="0" collapsed="false">
      <c r="A14" s="17" t="s">
        <v>316</v>
      </c>
      <c r="B14" s="22" t="n">
        <v>0</v>
      </c>
      <c r="C14" s="26" t="n">
        <f aca="false">'Proforma 24 mo'!Z28</f>
        <v>6875.46737058665</v>
      </c>
      <c r="D14" s="26" t="n">
        <f aca="false">'Proforma 24 mo'!AA28</f>
        <v>28691.7837941484</v>
      </c>
      <c r="E14" s="26" t="n">
        <f aca="false">(D13+E13)/2*Assumptions!$B$28</f>
        <v>51104.254986655</v>
      </c>
      <c r="F14" s="26" t="n">
        <f aca="false">(E13+F13)/2*Assumptions!$B$28*1.03</f>
        <v>82070.4</v>
      </c>
      <c r="G14" s="26" t="n">
        <f aca="false">(F13+G13)/2*Assumptions!$B$28*1.06</f>
        <v>113494.2</v>
      </c>
      <c r="H14" s="2"/>
    </row>
    <row r="15" customFormat="false" ht="15" hidden="false" customHeight="false" outlineLevel="0" collapsed="false">
      <c r="A15" s="15" t="s">
        <v>172</v>
      </c>
      <c r="B15" s="23" t="n">
        <f aca="false">B12+B14</f>
        <v>380372.093023256</v>
      </c>
      <c r="C15" s="23" t="n">
        <f aca="false">C12+C14</f>
        <v>756619.653417098</v>
      </c>
      <c r="D15" s="23" t="n">
        <f aca="false">D12+D14</f>
        <v>1110366.2023988</v>
      </c>
      <c r="E15" s="23" t="n">
        <f aca="false">E12+E14</f>
        <v>1372079.25498666</v>
      </c>
      <c r="F15" s="23" t="n">
        <f aca="false">F12+F14</f>
        <v>1986916.35</v>
      </c>
      <c r="G15" s="23" t="n">
        <f aca="false">G12+G14</f>
        <v>2355770.004</v>
      </c>
      <c r="H15" s="2"/>
    </row>
    <row r="16" customFormat="false" ht="15" hidden="false" customHeight="false" outlineLevel="0" collapsed="false">
      <c r="A16" s="4" t="s">
        <v>173</v>
      </c>
      <c r="B16" s="5"/>
      <c r="C16" s="5"/>
      <c r="D16" s="5"/>
      <c r="E16" s="5"/>
      <c r="F16" s="5"/>
      <c r="G16" s="5"/>
      <c r="H16" s="5"/>
    </row>
    <row r="17" customFormat="false" ht="15" hidden="false" customHeight="false" outlineLevel="0" collapsed="false">
      <c r="A17" s="17" t="s">
        <v>317</v>
      </c>
      <c r="B17" s="26" t="n">
        <f aca="false">B7*(Assumptions!$B$24*Assumptions!$B$25*Assumptions!$B$21+Assumptions!$B$25*Assumptions!$B$22)*(1+Assumptions!$B$23)*12</f>
        <v>166848.12</v>
      </c>
      <c r="C17" s="26" t="n">
        <f aca="false">'Proforma 24 mo'!Z32</f>
        <v>250272.18</v>
      </c>
      <c r="D17" s="26" t="n">
        <f aca="false">'Proforma 24 mo'!AA32</f>
        <v>333696.24</v>
      </c>
      <c r="E17" s="26" t="n">
        <f aca="false">E7*(Assumptions!$B$24*Assumptions!$B$25*Assumptions!$B$21+Assumptions!$B$25*Assumptions!$B$22)*(1+Assumptions!$B$23)*12*1.03</f>
        <v>429633.909</v>
      </c>
      <c r="F17" s="26" t="n">
        <f aca="false">F7*(Assumptions!$B$24*Assumptions!$B$25*Assumptions!$B$21+Assumptions!$B$25*Assumptions!$B$22)*(1+Assumptions!$B$23)*12*1.03^2</f>
        <v>619532.096778</v>
      </c>
      <c r="G17" s="26" t="n">
        <f aca="false">G7*(Assumptions!$B$24*Assumptions!$B$25*Assumptions!$B$21+Assumptions!$B$25*Assumptions!$B$22)*(1+Assumptions!$B$23)*12*1.03^3</f>
        <v>729277.78249296</v>
      </c>
      <c r="H17" s="7" t="s">
        <v>318</v>
      </c>
    </row>
    <row r="18" customFormat="false" ht="15" hidden="false" customHeight="false" outlineLevel="0" collapsed="false">
      <c r="A18" s="17" t="s">
        <v>176</v>
      </c>
      <c r="B18" s="26" t="n">
        <f aca="false">B12*Assumptions!$B$20</f>
        <v>76074.4186046512</v>
      </c>
      <c r="C18" s="26" t="n">
        <f aca="false">'Proforma 24 mo'!Z33</f>
        <v>149948.837209302</v>
      </c>
      <c r="D18" s="26" t="n">
        <f aca="false">'Proforma 24 mo'!AA33</f>
        <v>216334.88372093</v>
      </c>
      <c r="E18" s="26" t="n">
        <f aca="false">E12*Assumptions!$B$20</f>
        <v>264195</v>
      </c>
      <c r="F18" s="26" t="n">
        <f aca="false">F12*Assumptions!$B$20</f>
        <v>380969.19</v>
      </c>
      <c r="G18" s="26" t="n">
        <f aca="false">G12*Assumptions!$B$20</f>
        <v>448455.1608</v>
      </c>
      <c r="H18" s="2"/>
    </row>
    <row r="19" customFormat="false" ht="15" hidden="false" customHeight="false" outlineLevel="0" collapsed="false">
      <c r="A19" s="17" t="s">
        <v>319</v>
      </c>
      <c r="B19" s="22" t="n">
        <v>0</v>
      </c>
      <c r="C19" s="26" t="n">
        <f aca="false">'Proforma 24 mo'!Z34</f>
        <v>1932.86231301633</v>
      </c>
      <c r="D19" s="26" t="n">
        <f aca="false">'Proforma 24 mo'!AA34</f>
        <v>8065.96331562404</v>
      </c>
      <c r="E19" s="26" t="n">
        <f aca="false">E14/Assumptions!$B$28*Assumptions!$B$34</f>
        <v>14366.6580283769</v>
      </c>
      <c r="F19" s="26" t="n">
        <f aca="false">F14/Assumptions!$B$28/1.03*Assumptions!$B$34</f>
        <v>22400</v>
      </c>
      <c r="G19" s="26" t="n">
        <f aca="false">G14/Assumptions!$B$28/1.06*Assumptions!$B$34</f>
        <v>30100</v>
      </c>
      <c r="H19" s="2"/>
    </row>
    <row r="20" customFormat="false" ht="15" hidden="false" customHeight="false" outlineLevel="0" collapsed="false">
      <c r="A20" s="15" t="s">
        <v>179</v>
      </c>
      <c r="B20" s="23" t="n">
        <f aca="false">B15-B17-B18-B19</f>
        <v>137449.554418605</v>
      </c>
      <c r="C20" s="23" t="n">
        <f aca="false">C15-C17-C18-C19</f>
        <v>354465.77389478</v>
      </c>
      <c r="D20" s="23" t="n">
        <f aca="false">D15-D17-D18-D19</f>
        <v>552269.115362245</v>
      </c>
      <c r="E20" s="23" t="n">
        <f aca="false">E15-E17-E18-E19</f>
        <v>663883.687958278</v>
      </c>
      <c r="F20" s="23" t="n">
        <f aca="false">F15-F17-F18-F19</f>
        <v>964015.063222</v>
      </c>
      <c r="G20" s="23" t="n">
        <f aca="false">G15-G17-G18-G19</f>
        <v>1147937.06070704</v>
      </c>
      <c r="H20" s="2"/>
    </row>
    <row r="21" customFormat="false" ht="15" hidden="false" customHeight="false" outlineLevel="0" collapsed="false">
      <c r="A21" s="17" t="s">
        <v>220</v>
      </c>
      <c r="B21" s="20" t="n">
        <f aca="false">IF(B15=0,0,B20/B15)</f>
        <v>0.361355517241379</v>
      </c>
      <c r="C21" s="20" t="n">
        <f aca="false">IF(C15=0,0,C20/C15)</f>
        <v>0.468486077904422</v>
      </c>
      <c r="D21" s="20" t="n">
        <f aca="false">IF(D15=0,0,D20/D15)</f>
        <v>0.497375653337737</v>
      </c>
      <c r="E21" s="20" t="n">
        <f aca="false">IF(E15=0,0,E20/E15)</f>
        <v>0.483852288813109</v>
      </c>
      <c r="F21" s="20" t="n">
        <f aca="false">IF(F15=0,0,F20/F15)</f>
        <v>0.485181504104086</v>
      </c>
      <c r="G21" s="20" t="n">
        <f aca="false">IF(G15=0,0,G20/G15)</f>
        <v>0.487287408685012</v>
      </c>
      <c r="H21" s="2"/>
    </row>
    <row r="22" customFormat="false" ht="15" hidden="false" customHeight="false" outlineLevel="0" collapsed="false">
      <c r="A22" s="4" t="s">
        <v>320</v>
      </c>
      <c r="B22" s="5"/>
      <c r="C22" s="5"/>
      <c r="D22" s="5"/>
      <c r="E22" s="5"/>
      <c r="F22" s="5"/>
      <c r="G22" s="5"/>
      <c r="H22" s="5"/>
    </row>
    <row r="23" customFormat="false" ht="15" hidden="false" customHeight="false" outlineLevel="0" collapsed="false">
      <c r="A23" s="17" t="s">
        <v>182</v>
      </c>
      <c r="B23" s="26" t="n">
        <f aca="false">Assumptions!$B$55*12</f>
        <v>72000</v>
      </c>
      <c r="C23" s="26" t="n">
        <f aca="false">Assumptions!$B$55*12</f>
        <v>72000</v>
      </c>
      <c r="D23" s="26" t="n">
        <f aca="false">Assumptions!$B$55*12</f>
        <v>72000</v>
      </c>
      <c r="E23" s="9" t="n">
        <v>84000</v>
      </c>
      <c r="F23" s="9" t="n">
        <v>96000</v>
      </c>
      <c r="G23" s="9" t="n">
        <v>108000</v>
      </c>
      <c r="H23" s="7" t="s">
        <v>321</v>
      </c>
    </row>
    <row r="24" customFormat="false" ht="15" hidden="false" customHeight="false" outlineLevel="0" collapsed="false">
      <c r="A24" s="17" t="s">
        <v>322</v>
      </c>
      <c r="B24" s="9" t="n">
        <v>0</v>
      </c>
      <c r="C24" s="9" t="n">
        <v>0</v>
      </c>
      <c r="D24" s="9" t="n">
        <v>24000</v>
      </c>
      <c r="E24" s="9" t="n">
        <v>42000</v>
      </c>
      <c r="F24" s="9" t="n">
        <v>48000</v>
      </c>
      <c r="G24" s="9" t="n">
        <v>50000</v>
      </c>
      <c r="H24" s="7" t="s">
        <v>323</v>
      </c>
    </row>
    <row r="25" customFormat="false" ht="15" hidden="false" customHeight="false" outlineLevel="0" collapsed="false">
      <c r="A25" s="17" t="s">
        <v>324</v>
      </c>
      <c r="B25" s="9" t="n">
        <v>0</v>
      </c>
      <c r="C25" s="9" t="n">
        <v>0</v>
      </c>
      <c r="D25" s="9" t="n">
        <v>0</v>
      </c>
      <c r="E25" s="9" t="n">
        <v>48750</v>
      </c>
      <c r="F25" s="9" t="n">
        <v>70000</v>
      </c>
      <c r="G25" s="9" t="n">
        <v>72000</v>
      </c>
      <c r="H25" s="7" t="s">
        <v>325</v>
      </c>
    </row>
    <row r="26" customFormat="false" ht="15" hidden="false" customHeight="false" outlineLevel="0" collapsed="false">
      <c r="A26" s="17" t="s">
        <v>326</v>
      </c>
      <c r="B26" s="9" t="n">
        <v>0</v>
      </c>
      <c r="C26" s="9" t="n">
        <v>0</v>
      </c>
      <c r="D26" s="9" t="n">
        <v>0</v>
      </c>
      <c r="E26" s="9" t="n">
        <v>0</v>
      </c>
      <c r="F26" s="9" t="n">
        <v>55000</v>
      </c>
      <c r="G26" s="9" t="n">
        <v>58000</v>
      </c>
      <c r="H26" s="7" t="s">
        <v>327</v>
      </c>
    </row>
    <row r="27" customFormat="false" ht="15" hidden="false" customHeight="false" outlineLevel="0" collapsed="false">
      <c r="A27" s="17" t="s">
        <v>328</v>
      </c>
      <c r="B27" s="9" t="n">
        <v>0</v>
      </c>
      <c r="C27" s="9" t="n">
        <v>0</v>
      </c>
      <c r="D27" s="9" t="n">
        <v>6000</v>
      </c>
      <c r="E27" s="9" t="n">
        <v>12000</v>
      </c>
      <c r="F27" s="9" t="n">
        <v>18000</v>
      </c>
      <c r="G27" s="9" t="n">
        <v>20000</v>
      </c>
      <c r="H27" s="7" t="s">
        <v>329</v>
      </c>
    </row>
    <row r="28" customFormat="false" ht="15" hidden="false" customHeight="false" outlineLevel="0" collapsed="false">
      <c r="A28" s="17" t="s">
        <v>330</v>
      </c>
      <c r="B28" s="26" t="n">
        <f aca="false">Assumptions!$B$56*12</f>
        <v>10800</v>
      </c>
      <c r="C28" s="26" t="n">
        <f aca="false">'Proforma 24 mo'!Z40</f>
        <v>10800</v>
      </c>
      <c r="D28" s="26" t="n">
        <f aca="false">'Proforma 24 mo'!AA40</f>
        <v>10800</v>
      </c>
      <c r="E28" s="26" t="n">
        <f aca="false">Assumptions!$B$56*12+9000*(E6-1)</f>
        <v>28800</v>
      </c>
      <c r="F28" s="26" t="n">
        <f aca="false">Assumptions!$B$56*12+9000*(F6-1)</f>
        <v>37800</v>
      </c>
      <c r="G28" s="26" t="n">
        <f aca="false">Assumptions!$B$56*12+9000*(G6-1)</f>
        <v>37800</v>
      </c>
      <c r="H28" s="7" t="s">
        <v>331</v>
      </c>
    </row>
    <row r="29" customFormat="false" ht="15" hidden="false" customHeight="false" outlineLevel="0" collapsed="false">
      <c r="A29" s="17" t="s">
        <v>332</v>
      </c>
      <c r="B29" s="26" t="n">
        <f aca="false">Assumptions!$B$57*12</f>
        <v>21600</v>
      </c>
      <c r="C29" s="26" t="n">
        <f aca="false">'Proforma 24 mo'!Z41+'Proforma 24 mo'!Z51</f>
        <v>31015.9899306742</v>
      </c>
      <c r="D29" s="26" t="n">
        <f aca="false">'Proforma 24 mo'!AA41+'Proforma 24 mo'!AA51</f>
        <v>49200.3091089603</v>
      </c>
      <c r="E29" s="26" t="n">
        <f aca="false">Assumptions!$B$57*12+'Equipment plan'!H10*12*(E6-1)</f>
        <v>76800.6182179206</v>
      </c>
      <c r="F29" s="26" t="n">
        <f aca="false">Assumptions!$B$57*12+'Equipment plan'!H10*12*(F6-1)</f>
        <v>104400.927326881</v>
      </c>
      <c r="G29" s="26" t="n">
        <f aca="false">Assumptions!$B$57*12+'Equipment plan'!H10*12*(G6-1)</f>
        <v>104400.927326881</v>
      </c>
      <c r="H29" s="7" t="s">
        <v>333</v>
      </c>
    </row>
    <row r="30" customFormat="false" ht="15" hidden="false" customHeight="false" outlineLevel="0" collapsed="false">
      <c r="A30" s="17" t="s">
        <v>334</v>
      </c>
      <c r="B30" s="9" t="n">
        <v>0</v>
      </c>
      <c r="C30" s="26" t="n">
        <f aca="false">Assumptions!$B$61*12</f>
        <v>0</v>
      </c>
      <c r="D30" s="9" t="n">
        <v>25500</v>
      </c>
      <c r="E30" s="9" t="n">
        <v>37800</v>
      </c>
      <c r="F30" s="9" t="n">
        <v>50400</v>
      </c>
      <c r="G30" s="9" t="n">
        <v>52000</v>
      </c>
      <c r="H30" s="7" t="s">
        <v>335</v>
      </c>
    </row>
    <row r="31" customFormat="false" ht="15" hidden="false" customHeight="false" outlineLevel="0" collapsed="false">
      <c r="A31" s="17" t="s">
        <v>336</v>
      </c>
      <c r="B31" s="26" t="n">
        <f aca="false">Assumptions!$B$58*12</f>
        <v>4200</v>
      </c>
      <c r="C31" s="26" t="n">
        <f aca="false">'Proforma 24 mo'!Z42</f>
        <v>4200</v>
      </c>
      <c r="D31" s="26" t="n">
        <f aca="false">'Proforma 24 mo'!AA42</f>
        <v>4200</v>
      </c>
      <c r="E31" s="22" t="n">
        <f aca="false">4200+1200*E6</f>
        <v>7800</v>
      </c>
      <c r="F31" s="22" t="n">
        <f aca="false">4200+1200*F6</f>
        <v>9000</v>
      </c>
      <c r="G31" s="22" t="n">
        <f aca="false">4200+1200*G6</f>
        <v>9000</v>
      </c>
      <c r="H31" s="2"/>
    </row>
    <row r="32" customFormat="false" ht="15" hidden="false" customHeight="false" outlineLevel="0" collapsed="false">
      <c r="A32" s="17" t="s">
        <v>337</v>
      </c>
      <c r="B32" s="26" t="n">
        <f aca="false">Assumptions!$B$59*12</f>
        <v>3000</v>
      </c>
      <c r="C32" s="26" t="n">
        <f aca="false">'Proforma 24 mo'!Z43</f>
        <v>3000</v>
      </c>
      <c r="D32" s="26" t="n">
        <f aca="false">'Proforma 24 mo'!AA43</f>
        <v>3000</v>
      </c>
      <c r="E32" s="9" t="n">
        <v>7200</v>
      </c>
      <c r="F32" s="9" t="n">
        <v>9000</v>
      </c>
      <c r="G32" s="9" t="n">
        <v>9600</v>
      </c>
      <c r="H32" s="7" t="s">
        <v>338</v>
      </c>
    </row>
    <row r="33" customFormat="false" ht="15" hidden="false" customHeight="false" outlineLevel="0" collapsed="false">
      <c r="A33" s="17" t="s">
        <v>339</v>
      </c>
      <c r="B33" s="26" t="n">
        <f aca="false">(Assumptions!$B$41+Assumptions!$B$44+Assumptions!$B$53)*12</f>
        <v>21600</v>
      </c>
      <c r="C33" s="26" t="n">
        <f aca="false">'Proforma 24 mo'!Z47+'Proforma 24 mo'!Z48+'Proforma 24 mo'!Z49</f>
        <v>26400</v>
      </c>
      <c r="D33" s="26" t="n">
        <f aca="false">'Proforma 24 mo'!AA47+'Proforma 24 mo'!AA48+'Proforma 24 mo'!AA49</f>
        <v>32400</v>
      </c>
      <c r="E33" s="22" t="n">
        <f aca="false">E15*0.05</f>
        <v>68603.9627493328</v>
      </c>
      <c r="F33" s="22" t="n">
        <f aca="false">F15*0.05</f>
        <v>99345.8175</v>
      </c>
      <c r="G33" s="22" t="n">
        <f aca="false">G15*0.045</f>
        <v>106009.65018</v>
      </c>
      <c r="H33" s="7" t="s">
        <v>340</v>
      </c>
    </row>
    <row r="34" customFormat="false" ht="15" hidden="false" customHeight="false" outlineLevel="0" collapsed="false">
      <c r="A34" s="17" t="s">
        <v>341</v>
      </c>
      <c r="B34" s="26" t="n">
        <f aca="false">Assumptions!$B$60*12</f>
        <v>7200</v>
      </c>
      <c r="C34" s="26" t="n">
        <f aca="false">'Proforma 24 mo'!Z44</f>
        <v>7200</v>
      </c>
      <c r="D34" s="26" t="n">
        <f aca="false">'Proforma 24 mo'!AA44</f>
        <v>7200</v>
      </c>
      <c r="E34" s="22" t="n">
        <f aca="false">7200+3000*E6</f>
        <v>16200</v>
      </c>
      <c r="F34" s="22" t="n">
        <f aca="false">7200+3000*F6</f>
        <v>19200</v>
      </c>
      <c r="G34" s="22" t="n">
        <f aca="false">7200+3000*G6</f>
        <v>19200</v>
      </c>
      <c r="H34" s="2"/>
    </row>
    <row r="35" customFormat="false" ht="15" hidden="false" customHeight="false" outlineLevel="0" collapsed="false">
      <c r="A35" s="17" t="s">
        <v>342</v>
      </c>
      <c r="B35" s="22" t="n">
        <v>0</v>
      </c>
      <c r="C35" s="26" t="n">
        <f aca="false">'Proforma 24 mo'!Z50</f>
        <v>15600</v>
      </c>
      <c r="D35" s="26" t="n">
        <f aca="false">'Proforma 24 mo'!AA50</f>
        <v>0</v>
      </c>
      <c r="E35" s="26" t="n">
        <f aca="false">(E6-D6)*('Equipment plan'!E10+Assumptions!$B$82)</f>
        <v>15600</v>
      </c>
      <c r="F35" s="26" t="n">
        <f aca="false">(F6-E6)*('Equipment plan'!E10+Assumptions!$B$82)</f>
        <v>15600</v>
      </c>
      <c r="G35" s="26" t="n">
        <f aca="false">(G6-F6)*('Equipment plan'!E10+Assumptions!$B$82)</f>
        <v>0</v>
      </c>
      <c r="H35" s="2"/>
    </row>
    <row r="36" customFormat="false" ht="15" hidden="false" customHeight="false" outlineLevel="0" collapsed="false">
      <c r="A36" s="4" t="s">
        <v>343</v>
      </c>
      <c r="B36" s="5"/>
      <c r="C36" s="5"/>
      <c r="D36" s="5"/>
      <c r="E36" s="5"/>
      <c r="F36" s="5"/>
      <c r="G36" s="5"/>
      <c r="H36" s="5"/>
    </row>
    <row r="37" customFormat="false" ht="15" hidden="false" customHeight="false" outlineLevel="0" collapsed="false">
      <c r="A37" s="17" t="s">
        <v>344</v>
      </c>
      <c r="B37" s="9" t="n">
        <v>0</v>
      </c>
      <c r="C37" s="9" t="n">
        <v>60000</v>
      </c>
      <c r="D37" s="9" t="n">
        <v>60000</v>
      </c>
      <c r="E37" s="9" t="n">
        <v>66000</v>
      </c>
      <c r="F37" s="9" t="n">
        <v>72000</v>
      </c>
      <c r="G37" s="9" t="n">
        <v>72000</v>
      </c>
      <c r="H37" s="7" t="s">
        <v>345</v>
      </c>
    </row>
    <row r="38" customFormat="false" ht="15" hidden="false" customHeight="false" outlineLevel="0" collapsed="false">
      <c r="A38" s="17" t="s">
        <v>346</v>
      </c>
      <c r="B38" s="13" t="n">
        <v>0</v>
      </c>
      <c r="C38" s="13" t="n">
        <v>0.1</v>
      </c>
      <c r="D38" s="13" t="n">
        <v>0.1</v>
      </c>
      <c r="E38" s="13" t="n">
        <v>0.1</v>
      </c>
      <c r="F38" s="13" t="n">
        <v>0.1</v>
      </c>
      <c r="G38" s="13" t="n">
        <v>0.1</v>
      </c>
      <c r="H38" s="7" t="s">
        <v>347</v>
      </c>
    </row>
    <row r="39" customFormat="false" ht="15" hidden="false" customHeight="false" outlineLevel="0" collapsed="false">
      <c r="A39" s="17" t="s">
        <v>348</v>
      </c>
      <c r="B39" s="22" t="n">
        <f aca="false">MAX(0,B43)</f>
        <v>0</v>
      </c>
      <c r="C39" s="22" t="n">
        <f aca="false">MAX(0,B43)</f>
        <v>0</v>
      </c>
      <c r="D39" s="22" t="n">
        <f aca="false">MAX(0,B43)</f>
        <v>0</v>
      </c>
      <c r="E39" s="22" t="n">
        <f aca="false">MAX(0,B43)</f>
        <v>0</v>
      </c>
      <c r="F39" s="22" t="n">
        <f aca="false">MAX(0,B43)</f>
        <v>0</v>
      </c>
      <c r="G39" s="22" t="n">
        <f aca="false">MAX(0,B43)</f>
        <v>0</v>
      </c>
      <c r="H39" s="7" t="s">
        <v>349</v>
      </c>
    </row>
    <row r="40" customFormat="false" ht="15" hidden="false" customHeight="false" outlineLevel="0" collapsed="false">
      <c r="A40" s="17" t="s">
        <v>350</v>
      </c>
      <c r="B40" s="22" t="n">
        <v>0</v>
      </c>
      <c r="C40" s="22" t="n">
        <f aca="false">C37+C38*MAX(0,C42-C39)</f>
        <v>78424.9783964105</v>
      </c>
      <c r="D40" s="22" t="n">
        <f aca="false">D37+D38*MAX(0,D42-D39)</f>
        <v>91796.8806253285</v>
      </c>
      <c r="E40" s="22" t="n">
        <f aca="false">E37+E38*MAX(0,E42-E39)</f>
        <v>87832.9106991025</v>
      </c>
      <c r="F40" s="22" t="n">
        <f aca="false">F37+F38*MAX(0,F42-F39)</f>
        <v>105226.831839512</v>
      </c>
      <c r="G40" s="22" t="n">
        <f aca="false">G37+G38*MAX(0,G42-G39)</f>
        <v>122192.648320016</v>
      </c>
      <c r="H40" s="7" t="s">
        <v>351</v>
      </c>
    </row>
    <row r="41" customFormat="false" ht="15" hidden="false" customHeight="false" outlineLevel="0" collapsed="false">
      <c r="A41" s="15" t="s">
        <v>352</v>
      </c>
      <c r="B41" s="23" t="n">
        <f aca="false">SUM(B23:B35)</f>
        <v>140400</v>
      </c>
      <c r="C41" s="23" t="n">
        <f aca="false">SUM(C23:C35)</f>
        <v>170215.989930674</v>
      </c>
      <c r="D41" s="23" t="n">
        <f aca="false">SUM(D23:D35)</f>
        <v>234300.30910896</v>
      </c>
      <c r="E41" s="23" t="n">
        <f aca="false">SUM(E23:E35)</f>
        <v>445554.580967253</v>
      </c>
      <c r="F41" s="23" t="n">
        <f aca="false">SUM(F23:F35)</f>
        <v>631746.744826881</v>
      </c>
      <c r="G41" s="23" t="n">
        <f aca="false">SUM(G23:G35)</f>
        <v>646010.577506881</v>
      </c>
      <c r="H41" s="2"/>
    </row>
    <row r="42" customFormat="false" ht="15" hidden="false" customHeight="false" outlineLevel="0" collapsed="false">
      <c r="A42" s="15" t="s">
        <v>353</v>
      </c>
      <c r="B42" s="23" t="n">
        <f aca="false">B20-B41</f>
        <v>-2950.44558139535</v>
      </c>
      <c r="C42" s="23" t="n">
        <f aca="false">C20-C41</f>
        <v>184249.783964105</v>
      </c>
      <c r="D42" s="23" t="n">
        <f aca="false">D20-D41</f>
        <v>317968.806253285</v>
      </c>
      <c r="E42" s="23" t="n">
        <f aca="false">E20-E41</f>
        <v>218329.106991025</v>
      </c>
      <c r="F42" s="23" t="n">
        <f aca="false">F20-F41</f>
        <v>332268.318395119</v>
      </c>
      <c r="G42" s="23" t="n">
        <f aca="false">G20-G41</f>
        <v>501926.483200159</v>
      </c>
      <c r="H42" s="2"/>
    </row>
    <row r="43" customFormat="false" ht="15" hidden="false" customHeight="false" outlineLevel="0" collapsed="false">
      <c r="A43" s="15" t="s">
        <v>354</v>
      </c>
      <c r="B43" s="23" t="n">
        <f aca="false">B42-B40</f>
        <v>-2950.44558139535</v>
      </c>
      <c r="C43" s="23" t="n">
        <f aca="false">C42-C40</f>
        <v>105824.805567695</v>
      </c>
      <c r="D43" s="23" t="n">
        <f aca="false">D42-D40</f>
        <v>226171.925627957</v>
      </c>
      <c r="E43" s="23" t="n">
        <f aca="false">E42-E40</f>
        <v>130496.196291922</v>
      </c>
      <c r="F43" s="23" t="n">
        <f aca="false">F42-F40</f>
        <v>227041.486555607</v>
      </c>
      <c r="G43" s="23" t="n">
        <f aca="false">G42-G40</f>
        <v>379733.834880143</v>
      </c>
      <c r="H43" s="2"/>
    </row>
    <row r="44" customFormat="false" ht="15" hidden="false" customHeight="false" outlineLevel="0" collapsed="false">
      <c r="A44" s="17" t="s">
        <v>265</v>
      </c>
      <c r="B44" s="20" t="n">
        <f aca="false">IF(B15=0,0,B43/B15)</f>
        <v>-0.00775673514306678</v>
      </c>
      <c r="C44" s="20" t="n">
        <f aca="false">IF(C15=0,0,C43/C15)</f>
        <v>0.139865261349955</v>
      </c>
      <c r="D44" s="20" t="n">
        <f aca="false">IF(D15=0,0,D43/D15)</f>
        <v>0.203691291340949</v>
      </c>
      <c r="E44" s="20" t="n">
        <f aca="false">IF(E15=0,0,E43/E15)</f>
        <v>0.0951083516623765</v>
      </c>
      <c r="F44" s="20" t="n">
        <f aca="false">IF(F15=0,0,F43/F15)</f>
        <v>0.114268266278853</v>
      </c>
      <c r="G44" s="20" t="n">
        <f aca="false">IF(G15=0,0,G43/G15)</f>
        <v>0.161193085163395</v>
      </c>
      <c r="H44" s="2"/>
    </row>
    <row r="45" customFormat="false" ht="15" hidden="false" customHeight="false" outlineLevel="0" collapsed="false">
      <c r="A45" s="4" t="s">
        <v>355</v>
      </c>
      <c r="B45" s="5"/>
      <c r="C45" s="5"/>
      <c r="D45" s="5"/>
      <c r="E45" s="5"/>
      <c r="F45" s="5"/>
      <c r="G45" s="5"/>
      <c r="H45" s="5"/>
    </row>
    <row r="46" customFormat="false" ht="15" hidden="false" customHeight="false" outlineLevel="0" collapsed="false">
      <c r="A46" s="17" t="s">
        <v>356</v>
      </c>
      <c r="B46" s="22" t="n">
        <v>0</v>
      </c>
      <c r="C46" s="26" t="n">
        <f aca="false">'Proforma 24 mo'!Z58</f>
        <v>27700</v>
      </c>
      <c r="D46" s="26" t="n">
        <f aca="false">'Proforma 24 mo'!AA58</f>
        <v>0</v>
      </c>
      <c r="E46" s="22" t="n">
        <f aca="false">(E6-D6)*'Equipment plan'!G10</f>
        <v>27700</v>
      </c>
      <c r="F46" s="22" t="n">
        <f aca="false">(F6-E6)*'Equipment plan'!G10</f>
        <v>27700</v>
      </c>
      <c r="G46" s="22" t="n">
        <f aca="false">(G6-F6)*'Equipment plan'!G10</f>
        <v>0</v>
      </c>
      <c r="H46" s="2"/>
    </row>
    <row r="47" customFormat="false" ht="15" hidden="false" customHeight="false" outlineLevel="0" collapsed="false">
      <c r="A47" s="15" t="s">
        <v>357</v>
      </c>
      <c r="B47" s="26" t="n">
        <f aca="false">Assumptions!$B$39</f>
        <v>25000</v>
      </c>
      <c r="C47" s="23" t="n">
        <f aca="false">B47+C43-C46</f>
        <v>103124.805567695</v>
      </c>
      <c r="D47" s="23" t="n">
        <f aca="false">C47+D43-D46</f>
        <v>329296.731195651</v>
      </c>
      <c r="E47" s="23" t="n">
        <f aca="false">D47+E43-E46</f>
        <v>432092.927487574</v>
      </c>
      <c r="F47" s="23" t="n">
        <f aca="false">E47+F43-F46</f>
        <v>631434.414043181</v>
      </c>
      <c r="G47" s="23" t="n">
        <f aca="false">F47+G43-G46</f>
        <v>1011168.24892332</v>
      </c>
      <c r="H47" s="7" t="s">
        <v>358</v>
      </c>
    </row>
    <row r="48" customFormat="false" ht="15" hidden="false" customHeight="false" outlineLevel="0" collapsed="false">
      <c r="A48" s="17" t="s">
        <v>359</v>
      </c>
      <c r="B48" s="22" t="n">
        <f aca="false">B41/6</f>
        <v>23400</v>
      </c>
      <c r="C48" s="22" t="n">
        <f aca="false">C41/6</f>
        <v>28369.3316551124</v>
      </c>
      <c r="D48" s="22" t="n">
        <f aca="false">D41/6</f>
        <v>39050.0515181601</v>
      </c>
      <c r="E48" s="22" t="n">
        <f aca="false">E41/6</f>
        <v>74259.0968278756</v>
      </c>
      <c r="F48" s="22" t="n">
        <f aca="false">F41/6</f>
        <v>105291.124137813</v>
      </c>
      <c r="G48" s="22" t="n">
        <f aca="false">G41/6</f>
        <v>107668.42958448</v>
      </c>
      <c r="H48" s="7" t="s">
        <v>360</v>
      </c>
    </row>
    <row r="49" customFormat="false" ht="15" hidden="false" customHeight="false" outlineLevel="0" collapsed="false">
      <c r="A49" s="17" t="s">
        <v>361</v>
      </c>
      <c r="B49" s="34" t="str">
        <f aca="false">IF(B47&gt;=B48,"yes","NO")</f>
        <v>yes</v>
      </c>
      <c r="C49" s="34" t="str">
        <f aca="false">IF(C47&gt;=C48,"yes","NO")</f>
        <v>yes</v>
      </c>
      <c r="D49" s="34" t="str">
        <f aca="false">IF(D47&gt;=D48,"yes","NO")</f>
        <v>yes</v>
      </c>
      <c r="E49" s="34" t="str">
        <f aca="false">IF(E47&gt;=E48,"yes","NO")</f>
        <v>yes</v>
      </c>
      <c r="F49" s="34" t="str">
        <f aca="false">IF(F47&gt;=F48,"yes","NO")</f>
        <v>yes</v>
      </c>
      <c r="G49" s="34" t="str">
        <f aca="false">IF(G47&gt;=G48,"yes","NO")</f>
        <v>yes</v>
      </c>
      <c r="H49" s="2"/>
    </row>
    <row r="50" customFormat="false" ht="15" hidden="false" customHeight="false" outlineLevel="0" collapsed="false">
      <c r="A50" s="4" t="s">
        <v>362</v>
      </c>
      <c r="B50" s="5"/>
      <c r="C50" s="5"/>
      <c r="D50" s="5"/>
      <c r="E50" s="5"/>
      <c r="F50" s="5"/>
      <c r="G50" s="5"/>
      <c r="H50" s="5"/>
    </row>
    <row r="51" customFormat="false" ht="15" hidden="false" customHeight="false" outlineLevel="0" collapsed="false">
      <c r="A51" s="17" t="s">
        <v>363</v>
      </c>
      <c r="B51" s="22" t="n">
        <f aca="false">B43+B23</f>
        <v>69049.5544186047</v>
      </c>
      <c r="C51" s="22" t="n">
        <f aca="false">C43+C23</f>
        <v>177824.805567695</v>
      </c>
      <c r="D51" s="22" t="n">
        <f aca="false">D43+D23</f>
        <v>298171.925627957</v>
      </c>
      <c r="E51" s="22" t="n">
        <f aca="false">E43+E23</f>
        <v>214496.196291922</v>
      </c>
      <c r="F51" s="22" t="n">
        <f aca="false">F43+F23</f>
        <v>323041.486555607</v>
      </c>
      <c r="G51" s="22" t="n">
        <f aca="false">G43+G23</f>
        <v>487733.834880143</v>
      </c>
      <c r="H51" s="2"/>
    </row>
    <row r="52" customFormat="false" ht="15" hidden="false" customHeight="false" outlineLevel="0" collapsed="false">
      <c r="A52" s="17" t="s">
        <v>364</v>
      </c>
      <c r="B52" s="33" t="n">
        <v>2.46</v>
      </c>
      <c r="C52" s="33" t="n">
        <v>2.46</v>
      </c>
      <c r="D52" s="33" t="n">
        <v>2.46</v>
      </c>
      <c r="E52" s="33" t="n">
        <v>2.46</v>
      </c>
      <c r="F52" s="33" t="n">
        <v>2.46</v>
      </c>
      <c r="G52" s="33" t="n">
        <v>2.46</v>
      </c>
      <c r="H52" s="7" t="s">
        <v>365</v>
      </c>
    </row>
    <row r="53" customFormat="false" ht="15" hidden="false" customHeight="false" outlineLevel="0" collapsed="false">
      <c r="A53" s="15" t="s">
        <v>366</v>
      </c>
      <c r="B53" s="23" t="n">
        <f aca="false">B51*B52</f>
        <v>169861.903869767</v>
      </c>
      <c r="C53" s="23" t="n">
        <f aca="false">C51*C52</f>
        <v>437449.021696529</v>
      </c>
      <c r="D53" s="23" t="n">
        <f aca="false">D51*D52</f>
        <v>733502.937044773</v>
      </c>
      <c r="E53" s="23" t="n">
        <f aca="false">E51*E52</f>
        <v>527660.642878129</v>
      </c>
      <c r="F53" s="23" t="n">
        <f aca="false">F51*F52</f>
        <v>794682.056926794</v>
      </c>
      <c r="G53" s="23" t="n">
        <f aca="false">G51*G52</f>
        <v>1199825.23380515</v>
      </c>
      <c r="H53" s="7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368</v>
      </c>
      <c r="B1" s="2"/>
    </row>
    <row r="2" customFormat="false" ht="15" hidden="false" customHeight="false" outlineLevel="0" collapsed="false">
      <c r="A2" s="2"/>
      <c r="B2" s="2"/>
    </row>
    <row r="3" customFormat="false" ht="64.9" hidden="false" customHeight="false" outlineLevel="0" collapsed="false">
      <c r="A3" s="35" t="s">
        <v>369</v>
      </c>
      <c r="B3" s="36" t="s">
        <v>370</v>
      </c>
    </row>
    <row r="4" customFormat="false" ht="26.85" hidden="false" customHeight="false" outlineLevel="0" collapsed="false">
      <c r="A4" s="35" t="s">
        <v>371</v>
      </c>
      <c r="B4" s="36" t="s">
        <v>372</v>
      </c>
    </row>
    <row r="5" customFormat="false" ht="15" hidden="false" customHeight="false" outlineLevel="0" collapsed="false">
      <c r="A5" s="35" t="s">
        <v>373</v>
      </c>
      <c r="B5" s="36" t="s">
        <v>374</v>
      </c>
    </row>
    <row r="6" customFormat="false" ht="26.85" hidden="false" customHeight="false" outlineLevel="0" collapsed="false">
      <c r="A6" s="35" t="s">
        <v>375</v>
      </c>
      <c r="B6" s="36" t="s">
        <v>376</v>
      </c>
    </row>
    <row r="7" customFormat="false" ht="39.55" hidden="false" customHeight="false" outlineLevel="0" collapsed="false">
      <c r="A7" s="35" t="s">
        <v>377</v>
      </c>
      <c r="B7" s="36" t="s">
        <v>378</v>
      </c>
    </row>
    <row r="8" customFormat="false" ht="39.55" hidden="false" customHeight="false" outlineLevel="0" collapsed="false">
      <c r="A8" s="35" t="s">
        <v>379</v>
      </c>
      <c r="B8" s="36" t="s">
        <v>380</v>
      </c>
    </row>
    <row r="9" customFormat="false" ht="39.55" hidden="false" customHeight="false" outlineLevel="0" collapsed="false">
      <c r="A9" s="35" t="s">
        <v>381</v>
      </c>
      <c r="B9" s="36" t="s">
        <v>382</v>
      </c>
    </row>
    <row r="10" customFormat="false" ht="26.85" hidden="false" customHeight="false" outlineLevel="0" collapsed="false">
      <c r="A10" s="35" t="s">
        <v>383</v>
      </c>
      <c r="B10" s="36" t="s">
        <v>384</v>
      </c>
    </row>
    <row r="11" customFormat="false" ht="39.55" hidden="false" customHeight="false" outlineLevel="0" collapsed="false">
      <c r="A11" s="35" t="s">
        <v>385</v>
      </c>
      <c r="B11" s="36" t="s">
        <v>386</v>
      </c>
    </row>
    <row r="12" customFormat="false" ht="26.85" hidden="false" customHeight="false" outlineLevel="0" collapsed="false">
      <c r="A12" s="35" t="s">
        <v>387</v>
      </c>
      <c r="B12" s="36" t="s">
        <v>388</v>
      </c>
    </row>
    <row r="13" customFormat="false" ht="26.85" hidden="false" customHeight="false" outlineLevel="0" collapsed="false">
      <c r="A13" s="35" t="s">
        <v>389</v>
      </c>
      <c r="B13" s="36" t="s">
        <v>390</v>
      </c>
    </row>
    <row r="14" customFormat="false" ht="26.85" hidden="false" customHeight="false" outlineLevel="0" collapsed="false">
      <c r="A14" s="35" t="s">
        <v>391</v>
      </c>
      <c r="B14" s="36" t="s">
        <v>392</v>
      </c>
    </row>
    <row r="15" customFormat="false" ht="64.9" hidden="false" customHeight="false" outlineLevel="0" collapsed="false">
      <c r="A15" s="35" t="s">
        <v>393</v>
      </c>
      <c r="B15" s="36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2026-09-17T00:02:36Z</dcterms:created>
  <dc:creator>openpyxl</dc:creator>
  <dc:description/>
  <dc:language>en-US</dc:language>
  <cp:lastModifiedBy/>
  <dcterms:modified xsi:type="dcterms:W3CDTF">2026-09-17T00:02:36Z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