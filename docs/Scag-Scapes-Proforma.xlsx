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Proforma 24 mo" sheetId="2" state="visible" r:id="rId4"/>
    <sheet name="Unit economics" sheetId="3" state="visible" r:id="rId5"/>
    <sheet name="Scenarios" sheetId="4" state="visible" r:id="rId6"/>
    <sheet name="Equipment plan" sheetId="5" state="visible" r:id="rId7"/>
    <sheet name="5-year plan" sheetId="6" state="visible" r:id="rId8"/>
    <sheet name="Three cases 5-yr" sheetId="7" state="visible" r:id="rId9"/>
    <sheet name="Long range 15-yr" sheetId="8" state="visible" r:id="rId10"/>
    <sheet name="Funding options" sheetId="9" state="visible" r:id="rId11"/>
    <sheet name="Investor scenarios" sheetId="10" state="visible" r:id="rId12"/>
    <sheet name="Buyout &amp; exit" sheetId="11" state="visible" r:id="rId13"/>
    <sheet name="Ned - proforma" sheetId="12" state="visible" r:id="rId14"/>
    <sheet name="Bryan - COO proforma" sheetId="13" state="visible" r:id="rId15"/>
    <sheet name="Who gets what" sheetId="14" state="visible" r:id="rId16"/>
    <sheet name="AI and robotics" sheetId="15" state="visible" r:id="rId17"/>
    <sheet name="Write-offs &amp; taxes" sheetId="16" state="visible" r:id="rId18"/>
    <sheet name="Sources &amp; notes"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<sst xmlns="http://schemas.openxmlformats.org/spreadsheetml/2006/main" count="1220" uniqueCount="1062">
  <si>
    <t xml:space="preserve">Scag Scapes LLC - Growth Proforma - Assumptions</t>
  </si>
  <si>
    <t xml:space="preserve">Blue = you can change it (yellow = the big levers). Black = formula, locked. Every tab recalculates from this one.</t>
  </si>
  <si>
    <t xml:space="preserve">OPERATIONS</t>
  </si>
  <si>
    <t xml:space="preserve">Average all-in revenue per linear foot ($/LF)</t>
  </si>
  <si>
    <t xml:space="preserve">Charlie publishes $25-60/LF. $50 is the default because at 900 LF it reproduces Charlie's own rules of thumb: labor ~32% and ~50% margin.</t>
  </si>
  <si>
    <t xml:space="preserve">LF per month before Ned - today baseline (french drains only)</t>
  </si>
  <si>
    <t xml:space="preserve">Where Charlie is right now, one crew. Used only to show the before/after - it does not drive the forward plan.</t>
  </si>
  <si>
    <t xml:space="preserve">Initial investment - next cash injection into the business ($)</t>
  </si>
  <si>
    <t xml:space="preserve">Funds launching two full crews together on day one instead of growing into a second crew over time: Crew 2's equipment down payment, hiring and the first months of marketing at full volume. Added to cash once, at the start of month 1. Change this to see what a bigger or smaller injection buys.</t>
  </si>
  <si>
    <t xml:space="preserve">Crew 1 - LF installed per month, month 1</t>
  </si>
  <si>
    <t xml:space="preserve">The plan starts with both crews already at Charlie's 800-1,000 LF/month goal - no ramp. Lower this to model easing in instead.</t>
  </si>
  <si>
    <t xml:space="preserve">Revenue per crew-day today ($) - Charlie</t>
  </si>
  <si>
    <t xml:space="preserve">Charlie: an average job day is about $1,500 of revenue now. The model reproduces this in month 1 (drain days + other-work days); shown as a check in the KPI rows.</t>
  </si>
  <si>
    <t xml:space="preserve">Working days per crew per month</t>
  </si>
  <si>
    <t xml:space="preserve">LF a crew installs per working day (productivity)</t>
  </si>
  <si>
    <t xml:space="preserve">900 LF / 21 days. At 400 LF/month a crew is only on drains ~9 days; the rest is other work. Growth = filling every day with drain feet.</t>
  </si>
  <si>
    <t xml:space="preserve">Other work revenue per crew-day when not on drains ($) - TODAY ONLY, before Ned</t>
  </si>
  <si>
    <t xml:space="preserve">Describes Charlie's situation right now, before French-drain volume fills every day - not part of the forward plan, which is drains only.</t>
  </si>
  <si>
    <t xml:space="preserve">Crew 1 - LF target per month (reached by month 6)</t>
  </si>
  <si>
    <t xml:space="preserve">Charlie's stated goal (800-1,000).</t>
  </si>
  <si>
    <t xml:space="preserve">Crew 2 - start month (1-24)</t>
  </si>
  <si>
    <t xml:space="preserve">Both crews launch together in month 1, funded by the initial investment above. Move this later to phase Crew 2 in instead.</t>
  </si>
  <si>
    <t xml:space="preserve">Crew 2 - LF per month, first month</t>
  </si>
  <si>
    <t xml:space="preserve">Crew 2 also starts at target - no ramp, matching Crew 1.</t>
  </si>
  <si>
    <t xml:space="preserve">Crew 2 - LF target per month</t>
  </si>
  <si>
    <t xml:space="preserve">Same productivity as Crew 1 once trained.</t>
  </si>
  <si>
    <t xml:space="preserve">Average job size (LF)</t>
  </si>
  <si>
    <t xml:space="preserve">Demo average; a 100 LF job at $50/LF = $5,000 all-in.</t>
  </si>
  <si>
    <t xml:space="preserve">Backlog customers will wait (months of capacity) - demand beyond this is lost</t>
  </si>
  <si>
    <t xml:space="preserve">A homeowner in a wet yard will wait about a month; past that they call the next company.</t>
  </si>
  <si>
    <t xml:space="preserve">COST STRUCTURE (share of install revenue)</t>
  </si>
  <si>
    <t xml:space="preserve">Labor cost method (1 = fixed 32% of revenue, 2 = crew wages x hours x burden)</t>
  </si>
  <si>
    <t xml:space="preserve">2 is the default: labor is what the crew is paid whether it installs 400 LF or 900 LF - that is why productivity is the margin lever. Set 1 to use Charlie's flat 32%.</t>
  </si>
  <si>
    <t xml:space="preserve">Direct labor % of revenue (used when method = 1)</t>
  </si>
  <si>
    <t xml:space="preserve">Charlie: labor is roughly 32% of project cost.</t>
  </si>
  <si>
    <t xml:space="preserve">Materials + fuel % of revenue</t>
  </si>
  <si>
    <t xml:space="preserve">Charlie: materials and gas roughly 20%.</t>
  </si>
  <si>
    <t xml:space="preserve">Crew wage - average $/hr</t>
  </si>
  <si>
    <t xml:space="preserve">Charlie pays $20-25/hr. Change it and every month recalculates (method 2).</t>
  </si>
  <si>
    <t xml:space="preserve">Crew lead premium $/hr (added to one person per crew)</t>
  </si>
  <si>
    <t xml:space="preserve">Lead earns $3/hr more than the laborers.</t>
  </si>
  <si>
    <t xml:space="preserve">Payroll burden % (taxes, WC, insurance)</t>
  </si>
  <si>
    <t xml:space="preserve">Louisiana small-contractor burden estimate; replace with the actual workers' comp rate.</t>
  </si>
  <si>
    <t xml:space="preserve">Crew size (people)</t>
  </si>
  <si>
    <t xml:space="preserve">Charlie.</t>
  </si>
  <si>
    <t xml:space="preserve">Paid hours per crew member per month</t>
  </si>
  <si>
    <t xml:space="preserve">40 h/wk x 52 / 12.</t>
  </si>
  <si>
    <t xml:space="preserve">Overtime hours per crew member per month</t>
  </si>
  <si>
    <t xml:space="preserve">Paid at 1.5x. Set &gt; 0 in busy months to see the effect.</t>
  </si>
  <si>
    <t xml:space="preserve">MAINTENANCE PLAN - 'DRAIN CHECK' (water-jet clean + flow test)</t>
  </si>
  <si>
    <t xml:space="preserve">Plan price per visit ($)</t>
  </si>
  <si>
    <t xml:space="preserve">Angi 2026: hydro jetting $350-600 national average $475; priced under market because the crew knows the system it built.</t>
  </si>
  <si>
    <t xml:space="preserve">Plan close rate - customers who take a cleaning plan</t>
  </si>
  <si>
    <t xml:space="preserve">Charlie's number: about 6 in 10 customers take a cleaning either yearly or every two years. Offered on every quote and again at the warranty walk.</t>
  </si>
  <si>
    <t xml:space="preserve">Share of plan customers on a 1-year cleaning (the rest are every 2 years)</t>
  </si>
  <si>
    <t xml:space="preserve">Charlie: yearly or every 2 years. Move this and every plan number in the workbook moves.</t>
  </si>
  <si>
    <t xml:space="preserve">Cleaning visits per plan customer per year - computed</t>
  </si>
  <si>
    <t xml:space="preserve">Half on a yearly clean and half every two years averages 0.75 visits a year per customer. Not an input.</t>
  </si>
  <si>
    <t xml:space="preserve">Existing customers to offer the plan to (count)</t>
  </si>
  <si>
    <t xml:space="preserve">Charlie to confirm; past installs are the first list.</t>
  </si>
  <si>
    <t xml:space="preserve">Existing-customer conversion in year 1</t>
  </si>
  <si>
    <t xml:space="preserve">Assumption; one text + one warranty-walk offer.</t>
  </si>
  <si>
    <t xml:space="preserve">Plan start month</t>
  </si>
  <si>
    <t xml:space="preserve">Jetter already owned; needs a script, a price and a text template.</t>
  </si>
  <si>
    <t xml:space="preserve">Cost per maintenance visit ($) - 1 tech, 2 hrs, fuel, water</t>
  </si>
  <si>
    <t xml:space="preserve">1 person x 2 h x $22.50 x 1.18 burden + $17 fuel/consumables.</t>
  </si>
  <si>
    <t xml:space="preserve">LONG RANGE AND COMPANY VALUE</t>
  </si>
  <si>
    <t xml:space="preserve">Years to show on the long-range tab (1-15)</t>
  </si>
  <si>
    <t xml:space="preserve">Change this to see 1 year or 15. The tab always computes 15; this is what gets summarised.</t>
  </si>
  <si>
    <t xml:space="preserve">Crews added per year after year 5</t>
  </si>
  <si>
    <t xml:space="preserve">Half a crew a year = one new crew every two years. The gates still apply: nothing is added until the last crew runs at target.</t>
  </si>
  <si>
    <t xml:space="preserve">Most crews one yard and one owner can run</t>
  </si>
  <si>
    <t xml:space="preserve">Past this the answer is a second location or a general manager, which is a different plan.</t>
  </si>
  <si>
    <t xml:space="preserve">Long-range price increase per year</t>
  </si>
  <si>
    <t xml:space="preserve">Roughly inflation. Applied to $/LF and the plan price from year 3 on.</t>
  </si>
  <si>
    <t xml:space="preserve">Plan customers lost per year (churn)</t>
  </si>
  <si>
    <t xml:space="preserve">Moves, sells the house, does it himself.</t>
  </si>
  <si>
    <t xml:space="preserve">Profit taken out each year - income tax and distributions (% of operating profit)</t>
  </si>
  <si>
    <t xml:space="preserve">Pass-through income tax plus what the owner actually takes out on top of the draw. The rest stays in the company as working capital.</t>
  </si>
  <si>
    <t xml:space="preserve">Value of equipment owned today ($)</t>
  </si>
  <si>
    <t xml:space="preserve">Charlie to confirm: trailer, skid steer, mini excavator, truck, jetter and tools at what they would sell for today.</t>
  </si>
  <si>
    <t xml:space="preserve">Equipment written off over (years, straight line)</t>
  </si>
  <si>
    <t xml:space="preserve">For book value only - the CPA sets actual depreciation.</t>
  </si>
  <si>
    <t xml:space="preserve">Value multiple WITH a recurring service book (x owner cash)</t>
  </si>
  <si>
    <t xml:space="preserve">JUDGMENT OVERLAY, not comp-derived - and narrower than it used to be. The transaction data does not support a large recurring-revenue premium at this size: pest control, the most contract-recurring home service there is, sells at 2.04x SDE - BELOW landscaping's 2.30x (BizBuySell, 945 sales). Recurring shows up in the REVENUE multiple (0.96x vs 0.63x), not the earnings multiple. 2.5x is defensible as an upper-quartile outcome for a documented, non-owner-dependent business (landscaping upper quartile is 3.01x), not as proof that plans add half a turn. The real multiple expansion is on the Buyout &amp; exit tab: it comes from getting bigger, not from the plan book.</t>
  </si>
  <si>
    <t xml:space="preserve">Value multiple WITHOUT a service book (x owner cash)</t>
  </si>
  <si>
    <t xml:space="preserve">Judgment: a pure job shop with no repeating revenue sits at the bottom of the range. Landscaping lower quartile is 1.70x, median 2.30x.</t>
  </si>
  <si>
    <t xml:space="preserve">Service contracts also valued at (x annual plan revenue)</t>
  </si>
  <si>
    <t xml:space="preserve">A cross-check on the plan book on its own, the way a buyer of a route or a service contract would price it.</t>
  </si>
  <si>
    <t xml:space="preserve">HEADCOUNT RULES (how many people it takes)</t>
  </si>
  <si>
    <t xml:space="preserve">Crews per office admin</t>
  </si>
  <si>
    <t xml:space="preserve">One admin can carry the phone, AP/AR and scheduling for about two crews.</t>
  </si>
  <si>
    <t xml:space="preserve">Crews per operations manager</t>
  </si>
  <si>
    <t xml:space="preserve">First one hired before Crew 3.</t>
  </si>
  <si>
    <t xml:space="preserve">Crews per estimator</t>
  </si>
  <si>
    <t xml:space="preserve">First one hired before Crew 4.</t>
  </si>
  <si>
    <t xml:space="preserve">Cleaning visits one technician can do in a year</t>
  </si>
  <si>
    <t xml:space="preserve">About four jetting-and-flow-test visits a day, 225 days a year. The technician's time and fuel are already inside the cost per visit below - this row is only to show how many people it takes.</t>
  </si>
  <si>
    <t xml:space="preserve">Office admin salary ($/yr)</t>
  </si>
  <si>
    <t xml:space="preserve">Operations manager salary ($/yr)</t>
  </si>
  <si>
    <t xml:space="preserve">Estimator salary ($/yr, base plus commission)</t>
  </si>
  <si>
    <t xml:space="preserve">CASH TIMING</t>
  </si>
  <si>
    <t xml:space="preserve">Deposit % collected at signing</t>
  </si>
  <si>
    <t xml:space="preserve">Command sends a 30% deposit link by text at acceptance.</t>
  </si>
  <si>
    <t xml:space="preserve">Balance collected in month of completion (%)</t>
  </si>
  <si>
    <t xml:space="preserve">Remainder collected in the following month (slow payers).</t>
  </si>
  <si>
    <t xml:space="preserve">Materials paid in month of install (%)</t>
  </si>
  <si>
    <t xml:space="preserve">Supplier terms: assume paid same month (no net-30).</t>
  </si>
  <si>
    <t xml:space="preserve">Opening cash ($)</t>
  </si>
  <si>
    <t xml:space="preserve">Charlie to fill in.</t>
  </si>
  <si>
    <t xml:space="preserve">MARKETING &amp; LEADS</t>
  </si>
  <si>
    <t xml:space="preserve">Google Local Services Ads - monthly budget ($)</t>
  </si>
  <si>
    <t xml:space="preserve">Starts month 1. Drain/sewer LSA CPL $59, book rate 39.5% (SearchLight, Feb 2026).</t>
  </si>
  <si>
    <t xml:space="preserve">Google LSA - cost per lead ($)</t>
  </si>
  <si>
    <t xml:space="preserve">SearchLight Feb 2026, drain/sewer category.</t>
  </si>
  <si>
    <t xml:space="preserve">Google LSA - leads that become an estimate visit</t>
  </si>
  <si>
    <t xml:space="preserve">LSA book rate is 39.5% industry-wide (SearchLight); with 60-second text-back we assume half of leads book a visit.</t>
  </si>
  <si>
    <t xml:space="preserve">Facebook + Instagram - monthly budget ($)</t>
  </si>
  <si>
    <t xml:space="preserve">Starts month 2. Meta home-services CPL ~$34; landscaping $45-80 (AdAmigo 2026 via Valley Marketing).</t>
  </si>
  <si>
    <t xml:space="preserve">Meta - cost per lead ($)</t>
  </si>
  <si>
    <t xml:space="preserve">Middle of the landscaping range.</t>
  </si>
  <si>
    <t xml:space="preserve">Meta - leads that become an estimate visit</t>
  </si>
  <si>
    <t xml:space="preserve">Lower intent than search; instant text-back is what gets them to book.</t>
  </si>
  <si>
    <t xml:space="preserve">Organic / referral / review leads per month (month 1)</t>
  </si>
  <si>
    <t xml:space="preserve">Charlie's current inbound. Grows with reviews and the referral ask.</t>
  </si>
  <si>
    <t xml:space="preserve">Organic lead growth per month (%)</t>
  </si>
  <si>
    <t xml:space="preserve">Review flywheel + parish pages + Facebook organic.</t>
  </si>
  <si>
    <t xml:space="preserve">Organic / referral - leads that become an estimate visit</t>
  </si>
  <si>
    <t xml:space="preserve">Warm leads book easily.</t>
  </si>
  <si>
    <t xml:space="preserve">CLOSE RATE - Charlie's number</t>
  </si>
  <si>
    <t xml:space="preserve">Close rate on estimates run (quote -&gt; sold job)</t>
  </si>
  <si>
    <t xml:space="preserve">Charlie: about 7 of 10 quoted jobs sell. Change this one cell and every channel, the proforma and the scenarios move.</t>
  </si>
  <si>
    <t xml:space="preserve">Marketing budget multiplier once Crew 2 starts</t>
  </si>
  <si>
    <t xml:space="preserve">Two crews need ~2x the leads; LSA and Meta budgets scale by this from Crew 2's start month.</t>
  </si>
  <si>
    <t xml:space="preserve">Content, reviews, GBP, website - monthly ($)</t>
  </si>
  <si>
    <t xml:space="preserve">Photo/video posts, review management, parish pages.</t>
  </si>
  <si>
    <t xml:space="preserve">OVERHEAD (monthly)</t>
  </si>
  <si>
    <t xml:space="preserve">Owner draw ($)</t>
  </si>
  <si>
    <t xml:space="preserve">Charlie to set. Default is $150,000/yr - see the Write-offs and taxes tab for how deductions bring taxable profit down from there.</t>
  </si>
  <si>
    <t xml:space="preserve">Insurance - GL, auto, equipment ($)</t>
  </si>
  <si>
    <t xml:space="preserve">Estimate; use actual policy.</t>
  </si>
  <si>
    <t xml:space="preserve">Existing truck / equipment payments ($)</t>
  </si>
  <si>
    <t xml:space="preserve">Software, hosting, phone, Twilio, Stripe fees ($)</t>
  </si>
  <si>
    <t xml:space="preserve">Command hosting $199 + Twilio/Stripe usage.</t>
  </si>
  <si>
    <t xml:space="preserve">Bookkeeping / CPA ($)</t>
  </si>
  <si>
    <t xml:space="preserve">Estimate.</t>
  </si>
  <si>
    <t xml:space="preserve">Shop, fuel for estimates, tools, misc ($)</t>
  </si>
  <si>
    <t xml:space="preserve">Yard space used at 1655 Cottondale Dr (sq ft) - set 0 if not renting</t>
  </si>
  <si>
    <t xml:space="preserve">Equipment, trailer and material bins. 2,000-3,000 sq ft fits one crew's set plus pipe and rock; add ~1,000 sq ft per additional crew.</t>
  </si>
  <si>
    <t xml:space="preserve">Yard rent rate ($ per sq ft per month)</t>
  </si>
  <si>
    <t xml:space="preserve">Introductory offer. Going rate for this type of yard storage in 70815 is about $1.19/sq ft. Change it and every tab moves.</t>
  </si>
  <si>
    <t xml:space="preserve">Yard rent - start month (1-24)</t>
  </si>
  <si>
    <t xml:space="preserve">Month the space is first used.</t>
  </si>
  <si>
    <t xml:space="preserve">Yard rent per month ($) - computed</t>
  </si>
  <si>
    <t xml:space="preserve">Sq ft x rate. Not an input.</t>
  </si>
  <si>
    <t xml:space="preserve">Growth &amp; operations lead - Ned (monthly, TBD)</t>
  </si>
  <si>
    <t xml:space="preserve">Left at $0 on purpose - terms to be agreed. Enter a number to see the effect.</t>
  </si>
  <si>
    <t xml:space="preserve">CREW 2 EQUIPMENT - rent first, then own (Crew 1 already owns its trailer, skid steer and mini excavator)</t>
  </si>
  <si>
    <t xml:space="preserve">Mini excavator (3.5-4 ton, used) - purchase price ($)</t>
  </si>
  <si>
    <t xml:space="preserve">Used KX040 / 26G class. Crew 1's is owned; Crew 2 needs its own.</t>
  </si>
  <si>
    <t xml:space="preserve">Mini excavator - rental per month ($)</t>
  </si>
  <si>
    <t xml:space="preserve">Home Depot 4-week rate ~$1,700-2,000 (live in the app); Sunbelt/United quote-only.</t>
  </si>
  <si>
    <t xml:space="preserve">Mini excavator - months rented before buying</t>
  </si>
  <si>
    <t xml:space="preserve">Rent while Crew 2 proves itself; buy after it hits target twice. 0 = buy at start.</t>
  </si>
  <si>
    <t xml:space="preserve">Skid steer / CTL (used) - purchase price ($)</t>
  </si>
  <si>
    <t xml:space="preserve">Used T66 / 259D class.</t>
  </si>
  <si>
    <t xml:space="preserve">Skid steer - rental per month ($)</t>
  </si>
  <si>
    <t xml:space="preserve">Chain 4-week rate (rate card, CALL_TO_CONFIRM).</t>
  </si>
  <si>
    <t xml:space="preserve">Skid steer - months rented before buying</t>
  </si>
  <si>
    <t xml:space="preserve">Dump trailer 7x14 (new) - purchase price ($)</t>
  </si>
  <si>
    <t xml:space="preserve">Trailers rent badly and hold value - buy at start.</t>
  </si>
  <si>
    <t xml:space="preserve">Dump trailer - rental per month ($)</t>
  </si>
  <si>
    <t xml:space="preserve">Dump trailer - months rented before buying</t>
  </si>
  <si>
    <t xml:space="preserve">0 = buy at Crew 2 start.</t>
  </si>
  <si>
    <t xml:space="preserve">Truck 3/4-ton (used) - purchase price ($)</t>
  </si>
  <si>
    <t xml:space="preserve">Truck - rental per month ($)</t>
  </si>
  <si>
    <t xml:space="preserve">Not rented.</t>
  </si>
  <si>
    <t xml:space="preserve">Truck - months rented before buying</t>
  </si>
  <si>
    <t xml:space="preserve">Hand tools, laser, compactor, PPE, phones ($)</t>
  </si>
  <si>
    <t xml:space="preserve">Bought at start.</t>
  </si>
  <si>
    <t xml:space="preserve">Tools - rental per month ($)</t>
  </si>
  <si>
    <t xml:space="preserve">Tools - months rented before buying</t>
  </si>
  <si>
    <t xml:space="preserve">% financed on purchases</t>
  </si>
  <si>
    <t xml:space="preserve">20% down on each purchase.</t>
  </si>
  <si>
    <t xml:space="preserve">Loan rate (APR)</t>
  </si>
  <si>
    <t xml:space="preserve">Equipment finance 2026 estimate.</t>
  </si>
  <si>
    <t xml:space="preserve">Loan term (months)</t>
  </si>
  <si>
    <t xml:space="preserve">Hiring + training cost for Crew 2 (one-time $)</t>
  </si>
  <si>
    <t xml:space="preserve">2 weeks of paid shadowing on Crew 1 + PPE + phones.</t>
  </si>
  <si>
    <t xml:space="preserve">FUNDING - HOW THE GROWTH GETS PAID FOR (see the Funding options tab)</t>
  </si>
  <si>
    <t xml:space="preserve">Outside capital raised ($) - debt</t>
  </si>
  <si>
    <t xml:space="preserve">What gets borrowed. $150,000 is the sweet spot on an SBA 7(a): the guaranty is 85% at or below $150,000 and drops to 75% above it, and the upfront fee steps from 2% to 3% at $150,001. That one dollar costs about $1,500. The next efficient size is above $350,000, where the rate cap falls from prime+6% to prime+3%. There is no good reason to land between the two.</t>
  </si>
  <si>
    <t xml:space="preserve">Interest rate on the raise (APR)</t>
  </si>
  <si>
    <t xml:space="preserve">SBA 7(a) variable cap for a $50,001-$250,000 loan is prime + 6.0%. Prime was 6.75% on Sept 15, 2026, so the cap is 12.75%. The cap is a ceiling, not a price - two competing term sheets is the lever that moves it.</t>
  </si>
  <si>
    <t xml:space="preserve">Term on the raise (years)</t>
  </si>
  <si>
    <t xml:space="preserve">SBA working capital is 'ten years or less'. Take all ten: a longer term lowers the payment, which raises the coverage ratio, which is what gets the loan approved. There is no SBA prepayment penalty under a 15-year maturity, so paying it down early stays free.</t>
  </si>
  <si>
    <t xml:space="preserve">Upfront fee on the raise (% of the amount)</t>
  </si>
  <si>
    <t xml:space="preserve">SBA FY2026 guaranty fee: 2.00% at or below $150,000, 3.00% from $150,001 to $700,000. Plus a 0.55% annual service fee on the guaranteed balance.</t>
  </si>
  <si>
    <t xml:space="preserve">Cash Charlie puts in himself ($)</t>
  </si>
  <si>
    <t xml:space="preserve">The initial investment above. An expansion loan to an existing business carries NO mandatory SBA equity injection - the 10% rule applies to startups and changes of ownership, not to this. Lenders still like to see skin in the game.</t>
  </si>
  <si>
    <t xml:space="preserve">INVESTOR - ONLY IF EQUITY IS SOLD (see the Investor scenarios tab)</t>
  </si>
  <si>
    <t xml:space="preserve">Outside equity taken ($) - set 0 to keep the company whole</t>
  </si>
  <si>
    <t xml:space="preserve">Set here as a worked example so the Investor scenarios tab shows real numbers - it is NOT a recommendation. Set it to 0 to model keeping the company whole, which is what the tab will tell you to do. At this size equity is the most expensive money on the table, and that tab prices it against the identical dollars borrowed.</t>
  </si>
  <si>
    <t xml:space="preserve">Share of the company given for it (%)</t>
  </si>
  <si>
    <t xml:space="preserve">What the investor owns afterwards.</t>
  </si>
  <si>
    <t xml:space="preserve">Year the investor comes in (1-15)</t>
  </si>
  <si>
    <t xml:space="preserve">Selling equity before year 1 is proven prices the company at today's near-zero earnings. Waiting until the two-crew run rate is real is worth more than any term you could negotiate.</t>
  </si>
  <si>
    <t xml:space="preserve">Investor preferred return (% a year, accrues until exit)</t>
  </si>
  <si>
    <t xml:space="preserve">A preferred return plus a 1x non-participating preference lets the owner keep more percentage for the same dollars than straight common does.</t>
  </si>
  <si>
    <t xml:space="preserve">NED'S STAKE - PROFITS INTEREST (see the Buyout &amp; exit tab)</t>
  </si>
  <si>
    <t xml:space="preserve">Ned's growth share of operating profit (%)</t>
  </si>
  <si>
    <t xml:space="preserve">Paid on profit above what the business already earns. Unchanged from the blueprint.</t>
  </si>
  <si>
    <t xml:space="preserve">Ned's profits interest (% of value created ABOVE the hurdle)</t>
  </si>
  <si>
    <t xml:space="preserve">An LLC profits interest: a share of future profit and future appreciation only, with zero claim on what the company is worth the day it is granted. Rev. Proc. 93-27 means it is not taxable to either side at grant. This is the structure that costs Charlie none of today's value.</t>
  </si>
  <si>
    <t xml:space="preserve">The hurdle - what the company is worth the day Ned starts ($)</t>
  </si>
  <si>
    <t xml:space="preserve">The profits interest pays on nothing below this. Set at the indicative value of the business as it stands today. A CPA should price it contemporaneously and file an 83(b) within 30 days.</t>
  </si>
  <si>
    <t xml:space="preserve">EXIT MULTIPLES - FROM TRANSACTION DATA, NOT JUDGMENT</t>
  </si>
  <si>
    <t xml:space="preserve">SDE multiple - under $1M revenue</t>
  </si>
  <si>
    <t xml:space="preserve">REFRESHED Sept 2026. BizBuySell rolling closed sales, landscaping and yard service: 2.49x SDE, 0.72x revenue, median price $449,950 - up from the 2.30x / 0.63x this model used before. Note that pest control, the most contract-recurring home service there is, has converged DOWN to 2.46x: the recurring-revenue premium still does not exist in the earnings multiple. https://www.bizbuysell.com/learning-center/industry-valuation-multiples/</t>
  </si>
  <si>
    <t xml:space="preserve">EBITDA multiple - $2M to $5M revenue</t>
  </si>
  <si>
    <t xml:space="preserve">IBBA / M&amp;A Source Market Pulse Q1 2026: median 4.0x EBITDA in the $2M-$5M band - unchanged from the last refresh. Crossing into this band is where the multiple actually changes, because the buyer changes.</t>
  </si>
  <si>
    <t xml:space="preserve">EBITDA multiple - above $5M revenue (private-equity add-on)</t>
  </si>
  <si>
    <t xml:space="preserve">REVISED DOWN from 6.0. IBBA / M&amp;A Source Market Pulse Q2 2026 reports the $5M-$50M band at 5.8x EBITDA - the HIGHEST since Q1 2022. The old 6.0 sat above even the observed peak, so it is now set to the peak itself rather than above it. Broker-published 'home services 5-10x' ranges are their own deal flow blended with underwriting assumptions, not observed transactions - deliberately not used here. https://www.prnewswire.com/news-releases/the-market-pulse-survey-q2-2026-reports-the-latest-trends-in-business-sales-up-to-50m-302858664.html</t>
  </si>
  <si>
    <t xml:space="preserve">Manager's salary that replaces the owner when pricing on EBITDA ($/yr)</t>
  </si>
  <si>
    <t xml:space="preserve">A buyer pricing on EBITDA deducts the cost of replacing the owner. SDE does not. This is the single biggest reason the same company gets two very different valuations.</t>
  </si>
  <si>
    <t xml:space="preserve">Cash at closing in a sale (%) - the rest is seller note and earnout</t>
  </si>
  <si>
    <t xml:space="preserve">IBBA Q1 2026, $2M-$5M band: 76% cash at close, about 15% seller financing. Note that since June 2025 an SBA-financed buyer's seller note must sit on FULL STANDBY for the life of the loan - no principal, no interest, often for ten years.</t>
  </si>
  <si>
    <t xml:space="preserve">INFLATION - EACH COST LINE MOVES AT ITS OWN RATE (see Sources tab for the history behind each)</t>
  </si>
  <si>
    <t xml:space="preserve">Price per LF - increase per year</t>
  </si>
  <si>
    <t xml:space="preserve">The pre-COVID record says contractors do pass costs through: the BLS output price index for construction grew 2.74%/yr from 2010 to 2019 while materials grew 2.16%. But they pass through LATE. Since 2023 contractor output has grown only 1.65%/yr while aggregate ran 6.5%. 3% assumes reversion to the long-run path; run the sensitivity below at 2.5% to see the other case.</t>
  </si>
  <si>
    <t xml:space="preserve">Aggregate and stone - price increase per year</t>
  </si>
  <si>
    <t xml:space="preserve">The line that never gave anything back. Crushed limestone ran 6.81%/yr and construction sand and gravel 6.53%/yr from 2023 to 2026, against a 2010-2019 trend of 3.2-3.9%. Unlike plastics, aggregate did not mean-revert after the 2021-22 spike. It is also the heaviest material in a french drain.</t>
  </si>
  <si>
    <t xml:space="preserve">Pipe, fabric and catch basins - price increase per year</t>
  </si>
  <si>
    <t xml:space="preserve">The opposite story. Plastic construction products grew 2.07%/yr from 2010 to 2019, spiked +41% in 2021 and +32% in 2022, then fell back - plastics pipe is running MINUS 2.90%/yr since 2023 and is still 8% below its 2022 peak. Using the 5- or 10-year average here would double-count a spike that has already reversed.</t>
  </si>
  <si>
    <t xml:space="preserve">Aggregate share of material cost (the rest is pipe, fabric, basins)</t>
  </si>
  <si>
    <t xml:space="preserve">Splits the materials line so the two halves can move at their own rates. Change it to match the actual bill of materials on a typical job.</t>
  </si>
  <si>
    <t xml:space="preserve">Fuel share of the materials-and-fuel line</t>
  </si>
  <si>
    <t xml:space="preserve">Separates diesel and gasoline from materials, because fuel does not behave like a material - see the next row.</t>
  </si>
  <si>
    <t xml:space="preserve">Fuel - increase per year (DO NOT compound this faster than inflation)</t>
  </si>
  <si>
    <t xml:space="preserve">Fuel does not trend, it swings. Diesel compounded at 0.24%/yr across 2010-2019 and gasoline at MINUS 0.73%, inside annual moves of -29% to +52%. Held at general inflation on purpose. Gulf Coast diesel was $6.03/gal in September 2026, roughly double 2020 - so today's price is already an elevated starting point and compounding on top of it would double-count. Use the sensitivity rows instead of raising this.</t>
  </si>
  <si>
    <t xml:space="preserve">Crew wages - increase per year</t>
  </si>
  <si>
    <t xml:space="preserve">CORRECTED Sept 2026 - this row used to be justified by a '2.45% Louisiana haircut'. That haircut is NOT supported by the local data. QCEW for East Baton Rouge Parish, specialty trade contractors (NAICS 238), average weekly wage went $1,320 (2019) to $1,586 (2024) - a realized 3.75%/yr, which BEATS this 3.5% assumption. BLS also projects construction laborers +6% and equipment operators +4% employment through 2035, against +3% for all occupations, and immigration enforcement is contracting the labor supply. 3.5% is now the CONSERVATIVE case, not the aggressive one. Treat 2.45% as a downside sensitivity only. See the AI and robotics tab for why automation does not reverse this.</t>
  </si>
  <si>
    <t xml:space="preserve">Commercial auto and equipment insurance - increase per year</t>
  </si>
  <si>
    <t xml:space="preserve">The one line still hardening. Commercial auto has risen for 59 consecutive quarters - +6.6% in Q4 2025, +5.8% in Q1 2026, +4.5% in Q2 2026 - while commercial property fell 6.3% and workers comp 3.2% in the same quarter. Louisiana is the worst venue in the country for auto claim severity, so do not use the softening all-lines average for a contractor with four to six titled trucks.</t>
  </si>
  <si>
    <t xml:space="preserve">General liability and umbrella - increase per year</t>
  </si>
  <si>
    <t xml:space="preserve">Umbrella is rising with auto (+5.3% in Q2 2026) while primary GL softens. A blend.</t>
  </si>
  <si>
    <t xml:space="preserve">Equipment prices - increase per year</t>
  </si>
  <si>
    <t xml:space="preserve">PPI for construction machinery: 3.12%/yr over twenty years, 2.19% from 2010-2019, spiked +10.6% and +8.8% in 2022-23, now back to 2.6-2.9%. No credible public index exists for USED mini-excavator or skid steer values - treat resale as a scenario, not a rate.</t>
  </si>
  <si>
    <t xml:space="preserve">General overhead - increase per year (software, bookkeeping, yard, shop)</t>
  </si>
  <si>
    <t xml:space="preserve">CPI-U for the South: 2.52%/yr over twenty years, 2.64% since 2023. Note the New Orleans metro CPI - the only Louisiana series published - runs hotter at 5.25% over five years; use 3.25% here if you want the local read rather than the regional one.</t>
  </si>
  <si>
    <t xml:space="preserve">Owner draw - increase per year</t>
  </si>
  <si>
    <t xml:space="preserve">Held flat on purpose: the draw is a policy decision Charlie makes, not a market price. Set it above zero to keep its purchasing power - at 2.75% inflation, a draw held flat loses about a quarter of its value over ten years.</t>
  </si>
  <si>
    <t xml:space="preserve">NED - GROWTH &amp; OPERATIONS LEAD (see the Ned - proforma tab)</t>
  </si>
  <si>
    <t xml:space="preserve">Ned - base salary, years 1-2 ($/yr)</t>
  </si>
  <si>
    <t xml:space="preserve">Fractional, about 25 hours a week. Matches the five-year plan tab.</t>
  </si>
  <si>
    <t xml:space="preserve">Ned - base salary, year 3 ($/yr)</t>
  </si>
  <si>
    <t xml:space="preserve">Ned - base salary, years 4-5 ($/yr)</t>
  </si>
  <si>
    <t xml:space="preserve">Ned - base salary increase per year after year 5</t>
  </si>
  <si>
    <t xml:space="preserve">Tracks general inflation once the role is established.</t>
  </si>
  <si>
    <t xml:space="preserve">Ned - baseline profit the share is measured above ($/yr)</t>
  </si>
  <si>
    <t xml:space="preserve">The business's operating profit before any of this started - essentially zero today. The growth share pays only on profit above this line, so nothing is owed on what Charlie already earns.</t>
  </si>
  <si>
    <t xml:space="preserve">BRYAN - CHIEF OPERATING OFFICER (see the Bryan - COO proforma tab)</t>
  </si>
  <si>
    <t xml:space="preserve">Bryan - starts in year (1-15)</t>
  </si>
  <si>
    <t xml:space="preserve">Set this later to model him joining once the second crew is proven rather than at the start.</t>
  </si>
  <si>
    <t xml:space="preserve">Bryan - base salary while revenue is under $1.5M ($/yr)</t>
  </si>
  <si>
    <t xml:space="preserve">BLS May 2025, Baton Rouge metro, General and Operations Managers: median $107,140, 25th percentile $74,000, mean $136,200. National specialty-trade contractors median $104,850. Baton Rouge cost of living runs 11% under the national average. $95,000 sits just under the local median - defensible for a two-crew company, and honestly about as much as $1.1M of revenue can carry.</t>
  </si>
  <si>
    <t xml:space="preserve">Bryan - base salary at $1.5M to $3M revenue ($/yr)</t>
  </si>
  <si>
    <t xml:space="preserve">Roughly the Baton Rouge metro mean for the occupation.</t>
  </si>
  <si>
    <t xml:space="preserve">Bryan - base salary at $3M to $6M revenue ($/yr)</t>
  </si>
  <si>
    <t xml:space="preserve">Between the Baton Rouge 75th percentile ($167,430) and the mean. At this size it is a genuinely different job.</t>
  </si>
  <si>
    <t xml:space="preserve">Bryan - base salary above $6M revenue ($/yr)</t>
  </si>
  <si>
    <t xml:space="preserve">Approaching the CFMA survey range for a construction Operations Manager ($150-190K base), though that survey's respondents are much larger contractors.</t>
  </si>
  <si>
    <t xml:space="preserve">Bryan - target bonus (% of base)</t>
  </si>
  <si>
    <t xml:space="preserve">20-30% of base is the norm for a COO. Tie it to gross profit dollars per crew-day and job-level margin - NOT to net income, which the owner controls through discretionary spending and which turns into an argument every year.</t>
  </si>
  <si>
    <t xml:space="preserve">Bryan - share of the bonus actually earned (1.0 = full target)</t>
  </si>
  <si>
    <t xml:space="preserve">Drop it to 0.7 or 0.5 to see a year where the targets are missed.</t>
  </si>
  <si>
    <t xml:space="preserve">Bryan - equity granted (% of the company)</t>
  </si>
  <si>
    <t xml:space="preserve">Recruited non-founder COOs in venture-backed companies typically get 1-5%. That band does not fit here: a true operating partner who sells a business to join, in a cash-flow company with no exit in sight, sits far higher. 10-25% is the realistic range for that shape of deal - this is judgment, not survey data, and it is the single most negotiable number in the workbook.</t>
  </si>
  <si>
    <t xml:space="preserve">Bryan - years to fully vest</t>
  </si>
  <si>
    <t xml:space="preserve">Four years with a one-year cliff is the standard. Nothing vests if he leaves inside twelve months.</t>
  </si>
  <si>
    <t xml:space="preserve">Bryan - cash buy-in from the bar sale ($)</t>
  </si>
  <si>
    <t xml:space="preserve">Set above zero only if he puts proceeds INTO the business and buys equity outright, on top of what he earns. Default zero - see the tab for why waiting is usually better.</t>
  </si>
  <si>
    <t xml:space="preserve">Bryan - insider discount on any buy-in price (%)</t>
  </si>
  <si>
    <t xml:space="preserve">A minority stake with no control and no market is worth less than a proportionate share of the whole. 20% is a common working figure; there is no published survey for this exact situation, so treat it as a negotiating position rather than a fact.</t>
  </si>
  <si>
    <t xml:space="preserve">Bryan - what the bar pays him today ($/yr)</t>
  </si>
  <si>
    <t xml:space="preserve">BizBuySell, 2025: median seller's discretionary earnings for a bar, pub or tavern was $128,375 on median revenue of $800,000. That is pre-tax and before any debt service, so his actual take-home is lower. Replace it with his real number - this is the whole basis of the comparison.</t>
  </si>
  <si>
    <t xml:space="preserve">Bryan - what the bar would sell for ($)</t>
  </si>
  <si>
    <t xml:space="preserve">BizBuySell, 217 reported bar sales in 2025: median sale price $270,000 against a median asking price of $310,000 - about 87% of ask - after a median 189 days on the market.</t>
  </si>
  <si>
    <t xml:space="preserve">BRYAN - PART-TIME RAMP (still running the bar - see the Bryan - COO proforma tab)</t>
  </si>
  <si>
    <t xml:space="preserve">Bryan - share of full-time he works today (%)</t>
  </si>
  <si>
    <t xml:space="preserve">About 3 days a week while the bar is still his - Charlie's own estimate. Salary and bonus below are scaled by this until the ramp year.</t>
  </si>
  <si>
    <t xml:space="preserve">Bryan - year he goes full-time (1-15)</t>
  </si>
  <si>
    <t xml:space="preserve">The year the bar is sold or handed off and he is at 100%. Set it later if that is not decided yet.</t>
  </si>
  <si>
    <t xml:space="preserve">TAX AND WRITE-OFFS - CHARLIE (see the Write-offs &amp; taxes tab; a CPA must confirm every figure before it is relied on)</t>
  </si>
  <si>
    <t xml:space="preserve">Business miles driven per year</t>
  </si>
  <si>
    <t xml:space="preserve">Estimating visits, supply runs, job-site trips across two-plus crews. Charlie to confirm with a mileage log app (MileIQ, Everlance, TripLog) - the IRS requires a contemporaneous log, not a year-end estimate.</t>
  </si>
  <si>
    <t xml:space="preserve">IRS standard mileage rate ($/mile, 2026 blended)</t>
  </si>
  <si>
    <t xml:space="preserve">IRS 2026: 72.5 cents/mile Jan 1-Jun 30, 76 cents/mile Jul 1-Dec 31 - an unusual mid-year change. 0.743 is the simple blend; swap in the exact split if it matters. This already includes gas, oil, repairs, insurance and depreciation - do NOT also deduct fuel separately if using this method.</t>
  </si>
  <si>
    <t xml:space="preserve">Materials, tools and supplies already treated as a write-off (%)</t>
  </si>
  <si>
    <t xml:space="preserve">Pipe, fabric, aggregate and small tools bought through the business are ordinary business expense already, at 100 cents on the dollar - this row exists only so the write-off tab can show it, not to model a fraction.</t>
  </si>
  <si>
    <t xml:space="preserve">Business meals - deductible spend per year ($)</t>
  </si>
  <si>
    <t xml:space="preserve">Client meals, crew meals on long job days, has to be ordinary/necessary with a business purpose - only 50% deductible under current law (the temporary 100% pandemic-era rule expired and has not returned). Keep receipts: date, place, business purpose, who was there.</t>
  </si>
  <si>
    <t xml:space="preserve">Home office - simplified deduction ($)</t>
  </si>
  <si>
    <t xml:space="preserve">$5/sq ft up to 300 sq ft, capped at $1,500/yr - only if a space is used regularly AND exclusively for bidding, invoicing and admin. Zero this out if there is no dedicated room.</t>
  </si>
  <si>
    <t xml:space="preserve">Self-employed health insurance premiums ($/yr)</t>
  </si>
  <si>
    <t xml:space="preserve">Above-the-line deduction (Form 7206) for Charlie's own health coverage - capped at net business profit, cannot create a loss. Set to actual premium.</t>
  </si>
  <si>
    <t xml:space="preserve">Retirement plan contribution - SEP-IRA or Solo 401(k) (% of owner draw)</t>
  </si>
  <si>
    <t xml:space="preserve">2026 combined cap is $72,000 (Solo 401(k) lets him also defer $24,500 as 'employee' on top of the profit-sharing share, which usually beats a SEP at this income level). This is money he keeps, just not taxed yet - not a write-off he loses.</t>
  </si>
  <si>
    <t xml:space="preserve">Other deductible business expenses - phone, dues, licenses, misc ($/yr)</t>
  </si>
  <si>
    <t xml:space="preserve">Business-use phone, LLC/contractor license and renewal fees, professional dues, bank and card fees not counted elsewhere.</t>
  </si>
  <si>
    <t xml:space="preserve">Estimated combined tax rate on the last dollar of profit (federal + SE + Louisiana)</t>
  </si>
  <si>
    <t xml:space="preserve">A blended marginal rate for a profitable pass-through LLC owner at this income level - self-employment tax (15.3% up to the wage base) plus federal income tax plus Louisiana's flat 3% (2026). A CPA should replace this with Charlie's actual marginal rate.</t>
  </si>
  <si>
    <t xml:space="preserve">CREDIT CARD / PAYMENT STRATEGY (see the Write-offs &amp; taxes tab)</t>
  </si>
  <si>
    <t xml:space="preserve">Fuel + materials + supplies spend routed through business cards ($/yr)</t>
  </si>
  <si>
    <t xml:space="preserve">The 'controllable' spend a rewards/fleet card strategy actually touches - scales with the business; Charlie to true this up against the Long range tab's materials-and-fuel line.</t>
  </si>
  <si>
    <t xml:space="preserve">Realistic blended cash-back / fleet-discount yield (%)</t>
  </si>
  <si>
    <t xml:space="preserve">2% is the middle of a realistic 1.5-3% range across a mixed strategy (a fleet fuel card for control + a flat-2% card for materials/overhead) - see the notes tab for the specific cards. Paid in full every month; this is a rewards/credit-building tool, never a financing tool.</t>
  </si>
  <si>
    <t xml:space="preserve">AI AND AUTOMATION - THE SAVING IS IN THE OFFICE, NOT THE TRENCH (see the AI and robotics tab)</t>
  </si>
  <si>
    <t xml:space="preserve">Crews one office admin covers BY YEAR 15 (AI absorbs data entry and phone triage)</t>
  </si>
  <si>
    <t xml:space="preserve">Today one admin covers 2 crews. AI voice answering, automatic bank feeds, receipt capture and rules-based categorisation genuinely remove data ENTRY - they do not remove exception handling, collections, permit and utility-locate coordination or vendor disputes. So the role does not disappear; it becomes an operations coordinator and covers more crews. 3.5 by year 15 is a judgment call, deliberately modest. Set it to 2 to model no improvement at all.</t>
  </si>
  <si>
    <t xml:space="preserve">Crews one estimator covers BY YEAR 15 (AI-assisted takeoff and quoting)</t>
  </si>
  <si>
    <t xml:space="preserve">Today one estimator covers 3 crews. AI-assisted takeoff plus a Moasure-to-proposal pipeline should let one person quote more per day. The human part - the in-home conversation and the close - does not automate, which is why this moves from 3 to 4.5 and not to 10.</t>
  </si>
  <si>
    <t xml:space="preserve">AI tool stack - base cost per month ($)</t>
  </si>
  <si>
    <t xml:space="preserve">An AI voice agent that actually books (Jobber AI Receptionist $99/mo, Goodcall Scale ~$208/mo, OnCrew $49-349/mo) plus assorted AI seats. At 1-2 crews the breakeven is about two saved leads a month against a $59 lead - the easiest yes in this whole model.</t>
  </si>
  <si>
    <t xml:space="preserve">AI tool stack - added cost per crew per month ($)</t>
  </si>
  <si>
    <t xml:space="preserve">More crews means more call volume, more seats and more usage. Scales with the business.</t>
  </si>
  <si>
    <t xml:space="preserve">AI tool stack - price increase per year</t>
  </si>
  <si>
    <t xml:space="preserve">NOT deflating yet: one vendor in this category raised list price 29-41% between mid-2024 and 2026. Modelled above general inflation on purpose. Anyone assuming AI tooling gets cheaper every year is guessing.</t>
  </si>
  <si>
    <t xml:space="preserve">Grade control / depth check per excavator ($)</t>
  </si>
  <si>
    <t xml:space="preserve">Cat E-Fence/Indicate runs about $5,000 on a 6-9 tonne compact excavator; Bobcat Depth Check is a factory option on the E32-E55 class the crews already run (+/- 0.5 inch). This is the ONLY automation on this list that is genuinely buyable today for residential work. Budget it as a quality and rework tool, not as a way to cut a person.</t>
  </si>
  <si>
    <t xml:space="preserve">Share of the AI saving competed away by rivals (%)</t>
  </si>
  <si>
    <t xml:space="preserve">The honest haircut. When every contractor has the same tools, the saving shows up as lower prices and higher lead costs rather than as margin. Half is a deliberate mid-estimate - set it to 0 to see the optimistic case and 1.0 to see the case where it all gets competed away.</t>
  </si>
  <si>
    <t xml:space="preserve">Scag Scapes LLC - 24-month operating proforma ($, monthly)</t>
  </si>
  <si>
    <t xml:space="preserve">All cells are formulas driven by the Assumptions tab. Month 1 = first month of the plan.</t>
  </si>
  <si>
    <t xml:space="preserve">Month</t>
  </si>
  <si>
    <t xml:space="preserve">Year 1</t>
  </si>
  <si>
    <t xml:space="preserve">Year 2</t>
  </si>
  <si>
    <t xml:space="preserve">24-mo total</t>
  </si>
  <si>
    <t xml:space="preserve">CAPACITY (linear feet installed)</t>
  </si>
  <si>
    <t xml:space="preserve">Crew 1 - LF/month</t>
  </si>
  <si>
    <t xml:space="preserve">Crew 2 - LF/month</t>
  </si>
  <si>
    <t xml:space="preserve">Capacity - total LF/month</t>
  </si>
  <si>
    <t xml:space="preserve">DEMAND (leads and jobs)</t>
  </si>
  <si>
    <t xml:space="preserve">Leads - Google LSA</t>
  </si>
  <si>
    <t xml:space="preserve">Leads - Facebook / Instagram</t>
  </si>
  <si>
    <t xml:space="preserve">Leads - organic, referral, reviews, rain trigger</t>
  </si>
  <si>
    <t xml:space="preserve">Total leads</t>
  </si>
  <si>
    <t xml:space="preserve">Estimate visits booked (leads x booking rate by channel)</t>
  </si>
  <si>
    <t xml:space="preserve">Jobs sold (estimates x Charlie's close rate)</t>
  </si>
  <si>
    <t xml:space="preserve">LF demanded (jobs x average job LF)</t>
  </si>
  <si>
    <t xml:space="preserve">LF installed (lesser of demand + backlog, capacity)</t>
  </si>
  <si>
    <t xml:space="preserve">Backlog carried to next month (LF, capped; excess is lost demand)</t>
  </si>
  <si>
    <t xml:space="preserve">Crew utilization</t>
  </si>
  <si>
    <t xml:space="preserve">REVENUE</t>
  </si>
  <si>
    <t xml:space="preserve">Crew-days on drains (LF / LF per day)</t>
  </si>
  <si>
    <t xml:space="preserve">Drainage revenue (LF installed x $/LF)</t>
  </si>
  <si>
    <t xml:space="preserve">Install revenue (french drains only)</t>
  </si>
  <si>
    <t xml:space="preserve">New Drain Check plans sold (count)</t>
  </si>
  <si>
    <t xml:space="preserve">Active plans (cumulative, less 8%/yr churn)</t>
  </si>
  <si>
    <t xml:space="preserve">Maintenance revenue (visits billed this month)</t>
  </si>
  <si>
    <t xml:space="preserve">TOTAL REVENUE</t>
  </si>
  <si>
    <t xml:space="preserve">DIRECT COSTS</t>
  </si>
  <si>
    <t xml:space="preserve">Crews active</t>
  </si>
  <si>
    <t xml:space="preserve">Crew labor (method 2: crews x wages x hours x burden; method 1: 32% of revenue)</t>
  </si>
  <si>
    <t xml:space="preserve">Materials + fuel (20% of install revenue)</t>
  </si>
  <si>
    <t xml:space="preserve">Maintenance visit cost</t>
  </si>
  <si>
    <t xml:space="preserve">Total direct costs</t>
  </si>
  <si>
    <t xml:space="preserve">GROSS PROFIT</t>
  </si>
  <si>
    <t xml:space="preserve">Gross margin %</t>
  </si>
  <si>
    <t xml:space="preserve">OVERHEAD</t>
  </si>
  <si>
    <t xml:space="preserve">Owner draw</t>
  </si>
  <si>
    <t xml:space="preserve">Insurance</t>
  </si>
  <si>
    <t xml:space="preserve">Existing truck / equipment payments</t>
  </si>
  <si>
    <t xml:space="preserve">Software, hosting, phone, payment fees</t>
  </si>
  <si>
    <t xml:space="preserve">Bookkeeping / CPA</t>
  </si>
  <si>
    <t xml:space="preserve">Shop, tools, misc</t>
  </si>
  <si>
    <t xml:space="preserve">Yard / shop rent (Cottondale: sq ft used x rate)</t>
  </si>
  <si>
    <t xml:space="preserve">Growth &amp; operations lead (TBD)</t>
  </si>
  <si>
    <t xml:space="preserve">Marketing - Google LSA</t>
  </si>
  <si>
    <t xml:space="preserve">Marketing - Facebook / Instagram</t>
  </si>
  <si>
    <t xml:space="preserve">Marketing - content, reviews, GBP, site</t>
  </si>
  <si>
    <t xml:space="preserve">Crew 2 - equipment rental (before purchase) + hiring</t>
  </si>
  <si>
    <t xml:space="preserve">Crew 2 - equipment + truck loan payments</t>
  </si>
  <si>
    <t xml:space="preserve">Total overhead</t>
  </si>
  <si>
    <t xml:space="preserve">OPERATING PROFIT (before owner taxes)</t>
  </si>
  <si>
    <t xml:space="preserve">Operating margin %</t>
  </si>
  <si>
    <t xml:space="preserve">CASH FLOW</t>
  </si>
  <si>
    <t xml:space="preserve">Cash in - deposits + balances + plans</t>
  </si>
  <si>
    <t xml:space="preserve">Cash out - direct costs + overhead</t>
  </si>
  <si>
    <t xml:space="preserve">Cash out - Crew 2 down payments (20% of each purchase)</t>
  </si>
  <si>
    <t xml:space="preserve">NET CASH FLOW</t>
  </si>
  <si>
    <t xml:space="preserve">Cash balance (end of month)</t>
  </si>
  <si>
    <t xml:space="preserve">KPIs THE DASHBOARD SHOWS EVERY MONDAY</t>
  </si>
  <si>
    <t xml:space="preserve">Revenue per crew-month</t>
  </si>
  <si>
    <t xml:space="preserve">Blended cost per lead</t>
  </si>
  <si>
    <t xml:space="preserve">Marketing cost per job sold</t>
  </si>
  <si>
    <t xml:space="preserve">Close rate in use (from Assumptions)</t>
  </si>
  <si>
    <t xml:space="preserve">Maintenance share of revenue</t>
  </si>
  <si>
    <t xml:space="preserve">Labor as % of revenue</t>
  </si>
  <si>
    <t xml:space="preserve">Revenue per crew-day (vs Charlie's $1,500 today)</t>
  </si>
  <si>
    <t xml:space="preserve">Break-even LF/month at this overhead (one crew)</t>
  </si>
  <si>
    <t xml:space="preserve">Unit economics - one job, one crew-month, one maintenance customer</t>
  </si>
  <si>
    <t xml:space="preserve">ONE JOB (average)</t>
  </si>
  <si>
    <t xml:space="preserve">Linear feet</t>
  </si>
  <si>
    <t xml:space="preserve">Price to customer</t>
  </si>
  <si>
    <t xml:space="preserve">Crew labor (share of one crew-month, at target LF)</t>
  </si>
  <si>
    <t xml:space="preserve">Materials + fuel (20%)</t>
  </si>
  <si>
    <t xml:space="preserve">Gross profit per job</t>
  </si>
  <si>
    <t xml:space="preserve">Gross margin</t>
  </si>
  <si>
    <t xml:space="preserve">Crew days per job (at target LF/month)</t>
  </si>
  <si>
    <t xml:space="preserve">ONE CREW-MONTH (at target)</t>
  </si>
  <si>
    <t xml:space="preserve">LF per month</t>
  </si>
  <si>
    <t xml:space="preserve">Crew wages before burden (size x hours x $/hr + lead premium + OT)</t>
  </si>
  <si>
    <t xml:space="preserve">Crew wages with burden (the fixed cost of a crew)</t>
  </si>
  <si>
    <t xml:space="preserve">Labor as % of revenue at target (Charlie's rule of thumb: 32%)</t>
  </si>
  <si>
    <t xml:space="preserve">Fixed crew cost divided by revenue: the crew costs the same at 400 LF or 900 LF, so every extra foot per day drops straight to margin.</t>
  </si>
  <si>
    <t xml:space="preserve">Gross profit per crew-month</t>
  </si>
  <si>
    <t xml:space="preserve">ONE MAINTENANCE CUSTOMER</t>
  </si>
  <si>
    <t xml:space="preserve">Plan price per visit</t>
  </si>
  <si>
    <t xml:space="preserve">Cost per visit</t>
  </si>
  <si>
    <t xml:space="preserve">Gross profit per visit</t>
  </si>
  <si>
    <t xml:space="preserve">Gross margin per visit</t>
  </si>
  <si>
    <t xml:space="preserve">Visits over 5 years</t>
  </si>
  <si>
    <t xml:space="preserve">5-year gross profit per plan customer</t>
  </si>
  <si>
    <t xml:space="preserve">Referral value: 1 in 4 plan customers refers one job</t>
  </si>
  <si>
    <t xml:space="preserve">Not in the proforma - upside only.</t>
  </si>
  <si>
    <t xml:space="preserve">TODAY vs TARGET (productivity is the margin)</t>
  </si>
  <si>
    <t xml:space="preserve">Today: LF per month (Charlie, before Ned)</t>
  </si>
  <si>
    <t xml:space="preserve">Today: revenue per crew-month (drain LF x $/LF + other-work days x $/day)</t>
  </si>
  <si>
    <t xml:space="preserve">Today: revenue per crew-day (model) vs Charlie's $1,500</t>
  </si>
  <si>
    <t xml:space="preserve">Charlie today: about 9 crew-days on drains, 12 on other work to fill the month - matches his $1,500/day. The plan below replaces those 12 other-work days with drains too.</t>
  </si>
  <si>
    <t xml:space="preserve">Today: labor as % of revenue</t>
  </si>
  <si>
    <t xml:space="preserve">At today's 400 LF the crew is expensive relative to revenue; at 900 LF it is not. That gap is the whole growth case.</t>
  </si>
  <si>
    <t xml:space="preserve">Target: labor as % of revenue</t>
  </si>
  <si>
    <t xml:space="preserve">Fixed monthly overhead before any crew (owner draw, existing payments, software, bookkeeping, shop)</t>
  </si>
  <si>
    <t xml:space="preserve">Break-even LF per month, one crew (fixed overhead + one crew's cost + its insurance, after materials)</t>
  </si>
  <si>
    <t xml:space="preserve">Break-even as % of one crew's target</t>
  </si>
  <si>
    <t xml:space="preserve">Three scenarios - year-2 run rate (month 24) and 24-month totals</t>
  </si>
  <si>
    <t xml:space="preserve">Change the blue cells; everything below recalculates using the same cost structure as the proforma.</t>
  </si>
  <si>
    <t xml:space="preserve">Conservative</t>
  </si>
  <si>
    <t xml:space="preserve">Base (Charlie's goal)</t>
  </si>
  <si>
    <t xml:space="preserve">Stretch</t>
  </si>
  <si>
    <t xml:space="preserve">LF per crew per month</t>
  </si>
  <si>
    <t xml:space="preserve">Crews running by month 24</t>
  </si>
  <si>
    <t xml:space="preserve">Average $/LF</t>
  </si>
  <si>
    <t xml:space="preserve">Active Drain Check plans at month 24</t>
  </si>
  <si>
    <t xml:space="preserve">Monthly install revenue</t>
  </si>
  <si>
    <t xml:space="preserve">Monthly maintenance revenue</t>
  </si>
  <si>
    <t xml:space="preserve">Monthly revenue</t>
  </si>
  <si>
    <t xml:space="preserve">Gross profit (installs less materials and crew wages; plans at plan margin)</t>
  </si>
  <si>
    <t xml:space="preserve">Overhead (one crew) / (two crews incl. loan)</t>
  </si>
  <si>
    <t xml:space="preserve">Operating profit per month</t>
  </si>
  <si>
    <t xml:space="preserve">Operating profit per year (run rate)</t>
  </si>
  <si>
    <t xml:space="preserve">Operating margin</t>
  </si>
  <si>
    <t xml:space="preserve">Estimates needed per month (jobs / Charlie's close rate)</t>
  </si>
  <si>
    <t xml:space="preserve">Leads needed per month (at ~45% of leads booking an estimate)</t>
  </si>
  <si>
    <t xml:space="preserve">What has to be true</t>
  </si>
  <si>
    <t xml:space="preserve">Conservative: one crew at 700 LF and $45/LF still clears overhead - the plan fails safe.</t>
  </si>
  <si>
    <t xml:space="preserve">Base: two crews at 900 LF, $50/LF, 90 plan customers - Charlie's stated goal, reached in month 10-12 of the proforma. Close rate on estimates is Charlie's 70% (Assumptions, yellow cell).</t>
  </si>
  <si>
    <t xml:space="preserve">Stretch: pricing power from reviews + Moasure proposals lifts $/LF to $55; 140 plan customers = the sellable recurring book.</t>
  </si>
  <si>
    <t xml:space="preserve">Path to owning Crew 2's equipment - rent first, buy on proof</t>
  </si>
  <si>
    <t xml:space="preserve">Crew 1 already owns a big trailer, a skid steer and a mini excavator (no capex in this plan). Crew 2 needs its own set. Rent-to-prove, then buy; every date is driven by the Crew 2 start month on Assumptions.</t>
  </si>
  <si>
    <t xml:space="preserve">Item</t>
  </si>
  <si>
    <t xml:space="preserve">Purchase price</t>
  </si>
  <si>
    <t xml:space="preserve">Rent / month</t>
  </si>
  <si>
    <t xml:space="preserve">Months rented</t>
  </si>
  <si>
    <t xml:space="preserve">Rent paid before buying</t>
  </si>
  <si>
    <t xml:space="preserve">Purchase month</t>
  </si>
  <si>
    <t xml:space="preserve">Down payment (20%)</t>
  </si>
  <si>
    <t xml:space="preserve">Loan payment / mo</t>
  </si>
  <si>
    <t xml:space="preserve">Loan paid off (month)</t>
  </si>
  <si>
    <t xml:space="preserve">Own-vs-rent break-even (months)</t>
  </si>
  <si>
    <t xml:space="preserve">Mini excavator (used)</t>
  </si>
  <si>
    <t xml:space="preserve">Skid steer / CTL (used)</t>
  </si>
  <si>
    <t xml:space="preserve">Dump trailer 7x14 (new)</t>
  </si>
  <si>
    <t xml:space="preserve">Truck 3/4-ton (used)</t>
  </si>
  <si>
    <t xml:space="preserve">Tools, laser, compactor, PPE</t>
  </si>
  <si>
    <t xml:space="preserve">Total</t>
  </si>
  <si>
    <t xml:space="preserve">How to read it</t>
  </si>
  <si>
    <t xml:space="preserve">Own-vs-rent break-even: purchase price / monthly rent. A mini-ex at $50,000 vs $2,000/month breaks even at 25 months of use - so anything Crew 2 will run for more than two years should be owned; the 3-month rental is insurance against Crew 2 not working out, not a long-term plan.</t>
  </si>
  <si>
    <t xml:space="preserve">The purchase month is the Crew 2 start month plus the months rented. Decision rule for pulling the trigger early or late: buy when Crew 2 has installed its target LF in two consecutive months; keep renting if it has not.</t>
  </si>
  <si>
    <t xml:space="preserve">Down payments hit cash in the purchase month (Proforma: 'Cash out - Crew 2 down payments'); loan payments run 60 months from there. Rent paid before buying is money spent to de-risk the purchase - budgeted, not wasted.</t>
  </si>
  <si>
    <t xml:space="preserve">Crew 1's set is already owned: no purchases are modeled for it. Its existing payments, if any, sit in 'Existing truck / equipment payments' on Assumptions.</t>
  </si>
  <si>
    <t xml:space="preserve">Time to full ownership of Crew 2's set: trailer, truck and tools on day one; mini-ex and skid steer bought in month start+3; all loans paid off 60 months after that (month 64 in the base case, since both crews now launch in month 1). Equity builds from the first payment; the machines outlast the loans.</t>
  </si>
  <si>
    <t xml:space="preserve">Five-year plan - annual, safe-scaling (Year 1-2 pull from the 24-month proforma; Years 3-5 from the blue inputs below)</t>
  </si>
  <si>
    <t xml:space="preserve">Blue = input. Every year is gated: the next crew is added only when the previous one has run at target for 3 months, backlog &gt; 4 weeks, and cash &gt; 2 months of overhead.</t>
  </si>
  <si>
    <t xml:space="preserve">Today (run rate)</t>
  </si>
  <si>
    <t xml:space="preserve">Year 3</t>
  </si>
  <si>
    <t xml:space="preserve">Year 4</t>
  </si>
  <si>
    <t xml:space="preserve">Year 5</t>
  </si>
  <si>
    <t xml:space="preserve">Notes</t>
  </si>
  <si>
    <t xml:space="preserve">CAPACITY</t>
  </si>
  <si>
    <t xml:space="preserve">Crews at year end</t>
  </si>
  <si>
    <t xml:space="preserve">Today = Charlie's one crew before Ned. Both crews launch together in year 1, funded by the initial investment; Crew 3 in year 3, Crew 4 in year 4, then consolidate. Change to test a slower or faster path.</t>
  </si>
  <si>
    <t xml:space="preserve">Average crews running during the year</t>
  </si>
  <si>
    <t xml:space="preserve">Both crews run the whole of year 1 - no ramp. Crew 3 starts mid-year 3; Crew 4 mid-year 4.</t>
  </si>
  <si>
    <t xml:space="preserve">LF per crew per year at target x utilization</t>
  </si>
  <si>
    <t xml:space="preserve">Today = 400 LF x 12. Years 3-5: 900 LF x 12 x 95% utilization.</t>
  </si>
  <si>
    <t xml:space="preserve">Total LF installed</t>
  </si>
  <si>
    <t xml:space="preserve">Average $/LF (3% a year after year 2 - reviews and the map justify it)</t>
  </si>
  <si>
    <t xml:space="preserve">Drainage install revenue (french drains only)</t>
  </si>
  <si>
    <t xml:space="preserve">Today's column is Charlie's actual mix of drain and other work (Unit economics tab); years 1-5 of the plan are drains only.</t>
  </si>
  <si>
    <t xml:space="preserve">Drain Check active plans at year end</t>
  </si>
  <si>
    <t xml:space="preserve">60% of customers take a cleaning plan (half yearly, half every two years); about 8%/yr churn. Years 1-2 come from the 24-month proforma.</t>
  </si>
  <si>
    <t xml:space="preserve">Drain Check revenue</t>
  </si>
  <si>
    <t xml:space="preserve">Crew labor (crews x fixed crew cost; wages +3%/yr from year 3)</t>
  </si>
  <si>
    <t xml:space="preserve">Change the wage on Assumptions and every year moves.</t>
  </si>
  <si>
    <t xml:space="preserve">Drain Check visit costs</t>
  </si>
  <si>
    <t xml:space="preserve">OVERHEAD - the layers that let the company handle the volume</t>
  </si>
  <si>
    <t xml:space="preserve">Owner draw (years 3-5 step up with the company, proportional to the year-1 draw)</t>
  </si>
  <si>
    <t xml:space="preserve">Charlie's pay rises with the company - change the Owner draw cell on Assumptions and all six years move together, in the same proportion. Before write-offs - see the Write-offs and taxes tab for what this actually costs him after deductions.</t>
  </si>
  <si>
    <t xml:space="preserve">Office admin / bookkeeper (part-time year 2, full-time year 3)</t>
  </si>
  <si>
    <t xml:space="preserve">Answers the phone the software cannot, books, AP/AR, reviews, scheduling. Hire when two crews are running.</t>
  </si>
  <si>
    <t xml:space="preserve">Operations manager (runs crews, purchasing, quality)</t>
  </si>
  <si>
    <t xml:space="preserve">Hired in month 4 of year 3 (about $65K/yr), before Crew 3 starts, so Charlie is not the bottleneck at three crews. Usually the best crew lead, promoted.</t>
  </si>
  <si>
    <t xml:space="preserve">Estimator / sales (runs Moasure surveys and quotes)</t>
  </si>
  <si>
    <t xml:space="preserve">At four crews Charlie cannot run 40+ estimates a month alone. Base + commission.</t>
  </si>
  <si>
    <t xml:space="preserve">Crew-lead bonus pool (LF/day and callbacks)</t>
  </si>
  <si>
    <t xml:space="preserve">$500/quarter per lead when the crew beats 43 LF/day with no callbacks.</t>
  </si>
  <si>
    <t xml:space="preserve">Insurance - GL, auto, equipment, WC excess (per crew)</t>
  </si>
  <si>
    <t xml:space="preserve">Today's premium plus about $9K per additional crew (auto, equipment, WC); get quotes before each hire.</t>
  </si>
  <si>
    <t xml:space="preserve">Truck + equipment loan payments (existing + one set per crew)</t>
  </si>
  <si>
    <t xml:space="preserve">Each new crew carries its own set (Equipment plan tab); rent-first 3 months before each purchase.</t>
  </si>
  <si>
    <t xml:space="preserve">Yard space used (sq ft) - Cottondale</t>
  </si>
  <si>
    <t xml:space="preserve">About 1,000 sq ft more per crew for its set and material bins. Years 1-2 follow the Assumptions tab.</t>
  </si>
  <si>
    <t xml:space="preserve">Steps up 5%/yr from year 3 (change the multiplier); market in 70815 is about $1.19.</t>
  </si>
  <si>
    <t xml:space="preserve">Yard / shop rent (sq ft x rate x 12)</t>
  </si>
  <si>
    <t xml:space="preserve">Years 1-2 from the proforma (start month applies).</t>
  </si>
  <si>
    <t xml:space="preserve">Software, phones, hosting, payment fees (+ per crew)</t>
  </si>
  <si>
    <t xml:space="preserve">Bookkeeping / CPA / payroll service</t>
  </si>
  <si>
    <t xml:space="preserve">QuickBooks Online + payroll service + monthly close; CPA quarterly. Grows with headcount.</t>
  </si>
  <si>
    <t xml:space="preserve">Marketing (Google LSA, Meta, content) - ~5% of revenue from year 3</t>
  </si>
  <si>
    <t xml:space="preserve">Falls as a % of revenue as reviews, referrals and the plan book compound.</t>
  </si>
  <si>
    <t xml:space="preserve">Shop, tools, uniforms, training, misc (+ per crew)</t>
  </si>
  <si>
    <t xml:space="preserve">Crew hiring, training and rent-first equipment months (per new crew)</t>
  </si>
  <si>
    <t xml:space="preserve">GROWTH &amp; OPERATIONS LEAD (Ned) - proposed, for discussion</t>
  </si>
  <si>
    <t xml:space="preserve">Base ($/yr) - fractional, about 25 hours a week</t>
  </si>
  <si>
    <t xml:space="preserve">Pulled straight from the Ned assumptions above - change those cells and this tab and the Ned proforma tab move together. For scale: Baton Rouge general/operations managers average $129,840 full-time (BLS OEWS).</t>
  </si>
  <si>
    <t xml:space="preserve">Growth share - % of operating profit above the baseline year</t>
  </si>
  <si>
    <t xml:space="preserve">Paid only on profit above what the business makes today; nothing on the baseline. Same cell as the Ned proforma tab.</t>
  </si>
  <si>
    <t xml:space="preserve">Baseline operating profit (today's run rate after owner draw, floored at 0)</t>
  </si>
  <si>
    <t xml:space="preserve">Today's column, computed below. The share is earned only on profit the growth creates.</t>
  </si>
  <si>
    <t xml:space="preserve">Growth lead cost (base + share)</t>
  </si>
  <si>
    <t xml:space="preserve">Share is computed on operating profit before the share itself.</t>
  </si>
  <si>
    <t xml:space="preserve">TOTAL OVERHEAD (excl. growth lead)</t>
  </si>
  <si>
    <t xml:space="preserve">Operating profit before growth lead</t>
  </si>
  <si>
    <t xml:space="preserve">OPERATING PROFIT after growth lead (owner draw already deducted)</t>
  </si>
  <si>
    <t xml:space="preserve">CASH AND SAFETY</t>
  </si>
  <si>
    <t xml:space="preserve">Equipment down payments (20% per new crew set)</t>
  </si>
  <si>
    <t xml:space="preserve">Cash at year end (opening + profit - down payments)</t>
  </si>
  <si>
    <t xml:space="preserve">Before distributions beyond the owner draw and before income tax.</t>
  </si>
  <si>
    <t xml:space="preserve">Reserve rule: 2 months of overhead</t>
  </si>
  <si>
    <t xml:space="preserve">Cash must stay above this before any hire or purchase.</t>
  </si>
  <si>
    <t xml:space="preserve">Reserve met?</t>
  </si>
  <si>
    <t xml:space="preserve">WHAT THE COMPANY IS WORTH (indicative)</t>
  </si>
  <si>
    <t xml:space="preserve">Seller's discretionary earnings (operating profit + owner draw)</t>
  </si>
  <si>
    <t xml:space="preserve">SDE multiple (BizBuySell landscaping median 2021-25: 2.46x)</t>
  </si>
  <si>
    <t xml:space="preserve">Recurring Drain Check revenue, documented systems and a manager who is not the owner all push toward the top of the range.</t>
  </si>
  <si>
    <t xml:space="preserve">Indicative enterprise value</t>
  </si>
  <si>
    <t xml:space="preserve">Cross-check: revenue x 0.70 (BizBuySell). Not a promise; a benchmark.</t>
  </si>
  <si>
    <t xml:space="preserve">Worst case, conservative, strong - the same business run three ways</t>
  </si>
  <si>
    <t xml:space="preserve">Blue = change it. The middle block is the plan in the blueprint. Today's run rate is on the '5-year plan' tab and is the same in all three cases; what differs is only how fast crews fill their days, what a foot sells for, how many plans attach, and when a crew is added.</t>
  </si>
  <si>
    <t xml:space="preserve">Side by side</t>
  </si>
  <si>
    <t xml:space="preserve">Worst case</t>
  </si>
  <si>
    <t xml:space="preserve">Strong</t>
  </si>
  <si>
    <t xml:space="preserve">Revenue - year 1</t>
  </si>
  <si>
    <t xml:space="preserve">Revenue - year 5</t>
  </si>
  <si>
    <t xml:space="preserve">Linear feet installed - year 5</t>
  </si>
  <si>
    <t xml:space="preserve">Gross margin - year 5</t>
  </si>
  <si>
    <t xml:space="preserve">Operating profit before the growth lead - year 1</t>
  </si>
  <si>
    <t xml:space="preserve">Operating profit after the growth lead - year 1</t>
  </si>
  <si>
    <t xml:space="preserve">Operating profit after the growth lead - year 5</t>
  </si>
  <si>
    <t xml:space="preserve">What the growth lead costs - year 1</t>
  </si>
  <si>
    <t xml:space="preserve">What the growth lead costs - year 5</t>
  </si>
  <si>
    <t xml:space="preserve">Owner's cash from the business - year 5</t>
  </si>
  <si>
    <t xml:space="preserve">Cash at the end of year 5</t>
  </si>
  <si>
    <t xml:space="preserve">Indicative value at the end of year 5</t>
  </si>
  <si>
    <t xml:space="preserve">Read it this way: plan around the worst case. There the 90-day gate ends the growth-lead arrangement for $15,000 and the company ends up roughly where it is today - that is the floor. The middle block is what the blueprint commits to. The right-hand block is the same plan with the levers landing.</t>
  </si>
  <si>
    <t xml:space="preserve">WORST CASE - most of it does not work</t>
  </si>
  <si>
    <t xml:space="preserve">Both crews still launch together in month 1 on the initial investment, but leads cost more, close worse, and crews never beat 36 LF a day - few plans attach. The 90-day gate is missed, so the growth lead is ended after three months (that is the $15,000 in year 1 - the whole exposure) and no share is ever earned. The company still runs two full crews on drains; it just runs them at a lower gear than Charlie's target.</t>
  </si>
  <si>
    <t xml:space="preserve">Drivers - change any blue cell</t>
  </si>
  <si>
    <t xml:space="preserve">Both crews launch together in year 1, funded by the initial investment. A third or fourth crew is added only after the last one runs at target for three months, backlog over four weeks and cash above two months of overhead - half a crew = started mid-year.</t>
  </si>
  <si>
    <t xml:space="preserve">LF a crew installs per working day - 100% on french drains</t>
  </si>
  <si>
    <t xml:space="preserve">Charlie's target is 43 (900 LF / 21 days). No other work is modeled - every working day is a drain day.</t>
  </si>
  <si>
    <t xml:space="preserve">Annual price change from year 2</t>
  </si>
  <si>
    <t xml:space="preserve">Drain Check plans active at year end</t>
  </si>
  <si>
    <t xml:space="preserve">Marketing as a share of revenue</t>
  </si>
  <si>
    <t xml:space="preserve">Overhead per crew per year (insurance, tools, uniforms, phones)</t>
  </si>
  <si>
    <t xml:space="preserve">Office admin, operations manager, estimator, bonus pool</t>
  </si>
  <si>
    <t xml:space="preserve">Hired in that order, each before the crew that needs it.</t>
  </si>
  <si>
    <t xml:space="preserve">Results</t>
  </si>
  <si>
    <t xml:space="preserve">Crew days worked</t>
  </si>
  <si>
    <t xml:space="preserve">Linear feet installed</t>
  </si>
  <si>
    <t xml:space="preserve">Drainage revenue</t>
  </si>
  <si>
    <t xml:space="preserve">Crew labor (wages from the Assumptions tab, +3% a year from year 2)</t>
  </si>
  <si>
    <t xml:space="preserve">Materials, fuel and plan visit costs</t>
  </si>
  <si>
    <t xml:space="preserve">Overhead (owner draw, fixed costs, per crew, staff, marketing, yard, equipment loans)</t>
  </si>
  <si>
    <t xml:space="preserve">Owner draw, existing payments, software, CPA, shop and the yard (sq ft x rate) all come from the Assumptions tab.</t>
  </si>
  <si>
    <t xml:space="preserve">Operating profit before the growth lead</t>
  </si>
  <si>
    <t xml:space="preserve">Growth lead - base for the year</t>
  </si>
  <si>
    <t xml:space="preserve">Set any year to 0 to see the plan without it.</t>
  </si>
  <si>
    <t xml:space="preserve">Growth lead - share of profit above today's baseline</t>
  </si>
  <si>
    <t xml:space="preserve">Earned only on profit above what the business makes today.</t>
  </si>
  <si>
    <t xml:space="preserve">Growth lead - total cost</t>
  </si>
  <si>
    <t xml:space="preserve">OPERATING PROFIT after the growth lead</t>
  </si>
  <si>
    <t xml:space="preserve">Operating margin (the owner draw is already paid)</t>
  </si>
  <si>
    <t xml:space="preserve">Equipment down payments for new crews</t>
  </si>
  <si>
    <t xml:space="preserve">Cash at year end</t>
  </si>
  <si>
    <t xml:space="preserve">Before income tax and before any distribution beyond the owner draw. A falling line means the owner draw is larger than the business earns - the draw is a blue cell.</t>
  </si>
  <si>
    <t xml:space="preserve">Owner's cash from the business (operating profit + owner draw)</t>
  </si>
  <si>
    <t xml:space="preserve">Indicative value at 2.46x SDE</t>
  </si>
  <si>
    <t xml:space="preserve">BizBuySell landscaping median, 945 sales 2021-2025. A benchmark, not a promise.</t>
  </si>
  <si>
    <t xml:space="preserve">CONSERVATIVE - the plan in the blueprint</t>
  </si>
  <si>
    <t xml:space="preserve">Two crews at Charlie's own target from month 1: 900 LF a crew a month, 70% close on estimates, 60% plan close, Crew 3 in year 3 and Crew 4 in year 4 - each only after its gate. This is an annual approximation of the 24-month proforma and lands within about 4% of it.</t>
  </si>
  <si>
    <t xml:space="preserve">STRONG - the levers work</t>
  </si>
  <si>
    <t xml:space="preserve">Reviews, referrals and the Moasure map support a 3% price step each year, crews settle at 48 LF a day, the plan book compounds and HOA / property-manager work fills the winter faster than the base case. Note the gross margin runs above Charlie's 50% rule - that is what productivity does to a fixed crew cost.</t>
  </si>
  <si>
    <t xml:space="preserve">The long view - the same roadmap run out fifteen years</t>
  </si>
  <si>
    <t xml:space="preserve">Blue = change it. Years 1-5 follow the five-year plan; from year 6 the company adds crews at the rate set on the Assumptions tab until it hits the ceiling one yard and one owner can run. Set 'Years to show' on the Assumptions tab to 1 through 15 and the summary at the top follows it.</t>
  </si>
  <si>
    <t xml:space="preserve">At the end of the year you choose on the Assumptions tab</t>
  </si>
  <si>
    <t xml:space="preserve">Year shown (change it on Assumptions)</t>
  </si>
  <si>
    <t xml:space="preserve">Crews running</t>
  </si>
  <si>
    <t xml:space="preserve">People on board</t>
  </si>
  <si>
    <t xml:space="preserve">Revenue</t>
  </si>
  <si>
    <t xml:space="preserve">Plan customers under contract</t>
  </si>
  <si>
    <t xml:space="preserve">Operating profit after the owner draw</t>
  </si>
  <si>
    <t xml:space="preserve">Cash on hand</t>
  </si>
  <si>
    <t xml:space="preserve">Equipment at book value</t>
  </si>
  <si>
    <t xml:space="preserve">Taken out along the way (tax and distributions)</t>
  </si>
  <si>
    <t xml:space="preserve">VALUE WITH the service book</t>
  </si>
  <si>
    <t xml:space="preserve">VALUE WITHOUT it</t>
  </si>
  <si>
    <t xml:space="preserve">What the service book adds</t>
  </si>
  <si>
    <t xml:space="preserve">Every figure below is a formula. Change a blue cell on Assumptions - the plan close rate, the yearly / two-yearly split, crews added per year, the multiples - and all fifteen years move.</t>
  </si>
  <si>
    <t xml:space="preserve">Year</t>
  </si>
  <si>
    <t xml:space="preserve">CAPACITY AND PEOPLE</t>
  </si>
  <si>
    <t xml:space="preserve">Years 1-5 from the five-year plan; after that the rate and the ceiling are both blue cells on Assumptions.</t>
  </si>
  <si>
    <t xml:space="preserve">Held flat at Charlie's target. Every working day is a drain day - no other work is modeled.</t>
  </si>
  <si>
    <t xml:space="preserve">PEOPLE ON BOARD</t>
  </si>
  <si>
    <t xml:space="preserve">Crew members in the field</t>
  </si>
  <si>
    <t xml:space="preserve">Office admin</t>
  </si>
  <si>
    <t xml:space="preserve">The number of crews one admin covers walks from today's figure to the year-15 figure on Assumptions, because AI takes the data entry and the phone triage. The role does not vanish - it becomes an operations coordinator.</t>
  </si>
  <si>
    <t xml:space="preserve">Operations managers</t>
  </si>
  <si>
    <t xml:space="preserve">Estimators</t>
  </si>
  <si>
    <t xml:space="preserve">Same ratchet as the admin line. Operations managers below are deliberately NOT ratcheted - running crews in the field is the least AI-exposed job in the company, and pretending otherwise would flatter the plan.</t>
  </si>
  <si>
    <t xml:space="preserve">Rises at the price escalator on Assumptions from year 3. Whether it keeps up with costs is the question the margin rows below answer.</t>
  </si>
  <si>
    <t xml:space="preserve">Jobs completed</t>
  </si>
  <si>
    <t xml:space="preserve">New plan customers (jobs x plan close rate)</t>
  </si>
  <si>
    <t xml:space="preserve">Plan customers under contract at year end</t>
  </si>
  <si>
    <t xml:space="preserve">Every year's installs add to the book and the book keeps paying. This is the line that turns a job shop into a company.</t>
  </si>
  <si>
    <t xml:space="preserve">Maintenance technicians needed</t>
  </si>
  <si>
    <t xml:space="preserve">Their time and fuel are already inside the cost per visit, so they are not charged again below. Until there is a full load, the cleanings fill the crews' slow weeks - the jetter is already owned.</t>
  </si>
  <si>
    <t xml:space="preserve">TOTAL PEOPLE ON BOARD (including Charlie)</t>
  </si>
  <si>
    <t xml:space="preserve">Plan revenue</t>
  </si>
  <si>
    <t xml:space="preserve">COSTS</t>
  </si>
  <si>
    <t xml:space="preserve">Crew labor</t>
  </si>
  <si>
    <t xml:space="preserve">Wages rise at their own rate, not at the price rate. Louisiana construction wages have grown about half as fast as the national average, which is the only reason the margin holds up here.</t>
  </si>
  <si>
    <t xml:space="preserve">Aggregate and stone</t>
  </si>
  <si>
    <t xml:space="preserve">The heaviest material and the fastest-rising. Priced per linear foot installed, not as a share of revenue - that is what lets it outrun the price.</t>
  </si>
  <si>
    <t xml:space="preserve">Pipe, fabric and catch basins</t>
  </si>
  <si>
    <t xml:space="preserve">Diesel and gasoline</t>
  </si>
  <si>
    <t xml:space="preserve">Held at general inflation deliberately. Fuel swings rather than trends - the sensitivity rows at the bottom show what a fuel shock does instead.</t>
  </si>
  <si>
    <t xml:space="preserve">Plan visit costs</t>
  </si>
  <si>
    <t xml:space="preserve">Mostly a technician's time, so it rises with wages.</t>
  </si>
  <si>
    <t xml:space="preserve">Materials, fuel and visits - total</t>
  </si>
  <si>
    <t xml:space="preserve">The same, as a share of revenue - WATCH THIS LINE</t>
  </si>
  <si>
    <t xml:space="preserve">It starts at the 20% Charlie quotes and drifts UP if aggregate rises faster than the price per foot - which is exactly what the last three years of data show. This single line is the difference between modelling inflation honestly and hiding it inside a fixed percentage of revenue.</t>
  </si>
  <si>
    <t xml:space="preserve">Charlie's 50% rule, tested year by year against costs that each rise at their own rate.</t>
  </si>
  <si>
    <t xml:space="preserve">Salaried staff (admin, managers, estimators)</t>
  </si>
  <si>
    <t xml:space="preserve">Salaries rise with the wage escalator, same as the crews. The step changes are the hiring thresholds on Assumptions - you cannot hire two thirds of an estimator.</t>
  </si>
  <si>
    <t xml:space="preserve">Held flat unless the draw escalator on Assumptions is raised. A draw held flat nominal loses about a quarter of its purchasing power over ten years at 2.75% inflation.</t>
  </si>
  <si>
    <t xml:space="preserve">All other overhead (per crew, marketing, yard, office, loans)</t>
  </si>
  <si>
    <t xml:space="preserve">Office overhead and yard rent rise at the general overhead rate. The per-crew figure rises at the midpoint of the insurance and overhead rates, because what sits inside it - truck insurance, repairs, tools - is led by commercial auto, the one line still hardening after 59 straight quarters of increases. Marketing stays 5% of revenue, so it rises with the business. Equipment loan payments are fixed and do not escalate.</t>
  </si>
  <si>
    <t xml:space="preserve">AI tools - voice agent, assisted quoting, AI seats</t>
  </si>
  <si>
    <t xml:space="preserve">A real, growing cost - not a free lunch. This category is not deflating: one vendor raised list price 29-41% between mid-2024 and 2026, so it escalates faster than general inflation here on purpose. The saving it buys is on the AI and robotics tab.</t>
  </si>
  <si>
    <t xml:space="preserve">OPERATING PROFIT (after the owner draw, before tax)</t>
  </si>
  <si>
    <t xml:space="preserve">This is BEFORE anything paid to Ned or a COO - their tabs take their share out of this line. It is AFTER the AI tool stack, so the tooling is paid for before anybody's share is calculated.</t>
  </si>
  <si>
    <t xml:space="preserve">WHAT THE COMPANY IS WORTH</t>
  </si>
  <si>
    <t xml:space="preserve">Equipment bought this year</t>
  </si>
  <si>
    <t xml:space="preserve">Equipment owned, at cost (cumulative)</t>
  </si>
  <si>
    <t xml:space="preserve">Equipment at book value (written off over the life on Assumptions)</t>
  </si>
  <si>
    <t xml:space="preserve">Floored at a quarter of cost - machines that are maintained keep a resale value.</t>
  </si>
  <si>
    <t xml:space="preserve">Equipment debt still owed</t>
  </si>
  <si>
    <t xml:space="preserve">Roughly: 80% of each purchase financed over five years, paid down about a quarter a year.</t>
  </si>
  <si>
    <t xml:space="preserve">Taken out of the company (income tax and distributions)</t>
  </si>
  <si>
    <t xml:space="preserve">On top of the owner draw, which is already in the overhead above. Change the percentage on the Assumptions tab.</t>
  </si>
  <si>
    <t xml:space="preserve">Taken out, running total</t>
  </si>
  <si>
    <t xml:space="preserve">What the owner has actually put in his pocket beyond the draw, by the end of each year.</t>
  </si>
  <si>
    <t xml:space="preserve">Cash on hand at year end</t>
  </si>
  <si>
    <t xml:space="preserve">What is left in the company after tax, distributions and the 20% down payment on new equipment.</t>
  </si>
  <si>
    <t xml:space="preserve">Owner cash from the business (profit + owner draw)</t>
  </si>
  <si>
    <t xml:space="preserve">The same, if the plan book had never been started</t>
  </si>
  <si>
    <t xml:space="preserve">Plan revenue taken out along with what the visits cost to deliver. Everything else - crews, installs, overhead - is unchanged.</t>
  </si>
  <si>
    <t xml:space="preserve">VALUE WITH the service book (owner cash x multiple, plus cash, less debt)</t>
  </si>
  <si>
    <t xml:space="preserve">The multiple covers the business and the equipment it runs on; cash is added and equipment debt subtracted.</t>
  </si>
  <si>
    <t xml:space="preserve">VALUE WITHOUT the service book</t>
  </si>
  <si>
    <t xml:space="preserve">What the service book is worth</t>
  </si>
  <si>
    <t xml:space="preserve">Two effects together: the profit the plans throw off, and the higher multiple a buyer pays for revenue that repeats.</t>
  </si>
  <si>
    <t xml:space="preserve">Cross-check: the plan book priced on its own (x annual plan revenue)</t>
  </si>
  <si>
    <t xml:space="preserve">What the money costs - every source priced on the same loan</t>
  </si>
  <si>
    <t xml:space="preserve">Blue = change it. Each row borrows the same amount (the 'Outside capital raised' cell on Assumptions) and shows what it actually costs to pay back. Rates are the live September 2026 market, sourced on the Sources tab. The order is cheapest first, and the order is the recommendation.</t>
  </si>
  <si>
    <t xml:space="preserve">Amount being raised</t>
  </si>
  <si>
    <t xml:space="preserve">Change this on the Assumptions tab and every row below re-prices.</t>
  </si>
  <si>
    <t xml:space="preserve">Compare on THIS column, not total cost - a short loan looks cheap only because it is short.</t>
  </si>
  <si>
    <t xml:space="preserve">Where the money comes from</t>
  </si>
  <si>
    <t xml:space="preserve">Rate (APR)</t>
  </si>
  <si>
    <t xml:space="preserve">Term (yrs)</t>
  </si>
  <si>
    <t xml:space="preserve">Upfront fee</t>
  </si>
  <si>
    <t xml:space="preserve">Monthly payment</t>
  </si>
  <si>
    <t xml:space="preserve">Total paid back</t>
  </si>
  <si>
    <t xml:space="preserve">Cost of the money</t>
  </si>
  <si>
    <t xml:space="preserve">Cost per year borrowed</t>
  </si>
  <si>
    <t xml:space="preserve">What it is, and what they want from you</t>
  </si>
  <si>
    <t xml:space="preserve">Supplier net terms (SiteOne, Ferguson, aggregate)</t>
  </si>
  <si>
    <t xml:space="preserve">Free money, and the first call. SiteOne bills Net 15th prox - every invoice in a month is due on the 15th of the next one, so roughly 30 days of float. At two crews, materials run $16,000-19,000 a month; thirty days of terms on that is $16,000-19,000 of permanent working capital at zero cost, and it takes a credit application, not a loan committee. Do this before drawing anything.</t>
  </si>
  <si>
    <t xml:space="preserve">Manufacturer 0% on the equipment (Bobcat, Kubota, Deere)</t>
  </si>
  <si>
    <t xml:space="preserve">Bobcat is running 0% for 60 months on compact loaders and 0% for 48 on compact excavators, OR $8,000-10,000 cash in lieu - PROMO EXPIRES SEPT 30, 2026. It is not really 0%: giving up an $8,000 rebate on an $85,000 excavator to get the 0% is an implied 4.93% APR, and 5.78% on the loader. Still the cheapest equipment money available, but ask every dealer for BOTH numbers - the 0% term and the cash-in-lieu - and compare.</t>
  </si>
  <si>
    <t xml:space="preserve">Equipment loan, independent lender</t>
  </si>
  <si>
    <t xml:space="preserve">6-14% for a well-qualified borrower in 2026; 7.5-9.5% is the realistic band here given two-plus years operating, $60,000 of unencumbered iron and an engineer owner. The machine secures it, but a sole owner signs personally anyway. Application-only up to $150,000-$250,000 - no financial statements, just the app, 3-6 months of bank statements and the vendor quote. Approval in 24-48 hours. Do NOT let a dealer steer you into a fair-market-value lease to hit a payment target: it costs you the depreciation deduction and you own nothing at the end.</t>
  </si>
  <si>
    <t xml:space="preserve">Louisiana SSBCI loan guaranty, through a bank</t>
  </si>
  <si>
    <t xml:space="preserve">THE LEAD. Louisiana's state guaranty covers up to 80% of a bank loan (or $1.5M), fee 0-2%, minimum 15% equity for an existing business, no application fee. The job test is one job under $100K and two jobs above - a second crew is three or four hires, so it is met on day one and it is the strongest paragraph in the package. Eligible for equipment AND working capital. You do not apply to the state; a Louisiana bank originates and files it. Because it takes most of the risk off the bank, it is the thing that makes a $150,000 ask worth a bank's time.</t>
  </si>
  <si>
    <t xml:space="preserve">SBA 7(a) Small Loan</t>
  </si>
  <si>
    <t xml:space="preserve">Prime + 6.0% is the cap for $50,001-$250,000, so 12.75% at a 6.75% prime. 85% SBA-guaranteed at or below $150,000. No mandatory equity injection for an expansion. Coverage test is 1.1x on historical AND/OR projected cash flow - projections are allowed, which matters enormously here. Expect a blanket lien on every business asset, a personal guarantee, and a lien on the house if there is equity in it. 30-75 days. Note the perverse pricing: a $360,000 loan is priced 300bp cheaper than a $150,000 one.</t>
  </si>
  <si>
    <t xml:space="preserve">CDFI / mission lender (TruFund, HOPE, LiftFund)</t>
  </si>
  <si>
    <t xml:space="preserve">8-13%. Slower and dearer than a bank but far more forgiving on collateral, credit history and messy books - several will help fix the books rather than decline over them. TruFund runs contractor mobilization loans specifically, which is working capital against signed contracts. Lead with jobs created in Baton Rouge and at what wage: with a CDFI that is not decoration, it is the underwriting criterion. Good for a $50,000-$100,000 first tranche while a bank deal is still being packaged.</t>
  </si>
  <si>
    <t xml:space="preserve">Bank line of credit (working capital only)</t>
  </si>
  <si>
    <t xml:space="preserve">8-14% secured, 10-16% unsecured. At this revenue expect $25,000-$50,000 offered - banks size unsecured lines near 10% of revenue. Interest only on what is drawn. The trap for a weather-driven business is the annual clean-up: most banks require it paid to zero for 30 days a year. Right tool for payroll float between a job finishing and the homeowner paying. Wrong tool for equipment - never fund a five-year asset on a one-year facility.</t>
  </si>
  <si>
    <t xml:space="preserve">Merchant cash advance / daily-debit 'revenue' product</t>
  </si>
  <si>
    <t xml:space="preserve">DO NOT. A 1.35 factor over nine months is 84% APR; a 1.49 over six months is 171%. The factor rate tells you nothing - the term does, and brokers quote the factor and bury the term. The mechanism that kills a drainage contractor is specific: money arrives in lumps 20-40 days after a job closes, and the advance debits EVERY BUSINESS DAY regardless. $714 a weekday on a $100,000 advance is 47% of gross revenue before materials, fuel or payroll, and after three rainless weeks the receivables stop and the debits do not. New York's attorney general cancelled $534M of merchant debt from one funder in January 2025. Louisiana now forces written disclosure of the total dollar cost - demand it, then do the division yourself.</t>
  </si>
  <si>
    <t xml:space="preserve">THE STACK - what to actually do, in order</t>
  </si>
  <si>
    <t xml:space="preserve">1. Open or expand supplier accounts this week. $16,000-19,000 of interest-free float, one credit application, no lender involved.</t>
  </si>
  <si>
    <t xml:space="preserve">2. Get the equipment credit app in before Sept 30 while the 0% promos are live. Ask each dealer for the cash-in-lieu number too, and take whichever is genuinely cheaper.</t>
  </si>
  <si>
    <t xml:space="preserve">3. Walk the SSBCI guaranty into a Baton Rouge bank - b1BANK or Hancock Whitney - with the package built by the LSU Small Business Development Center. Free, and the referral gets you a named lender instead of a web form.</t>
  </si>
  <si>
    <t xml:space="preserve">4. Add a $25,000-$50,000 bank line of credit for payroll float only. Apply now; it takes 15-45 days.</t>
  </si>
  <si>
    <t xml:space="preserve">5. Place the equipment in service before Dec 31 to use 100% bonus depreciation. Roughly $33,000-44,000 of tax deferred on a $138,500 package - but a fair-market-value lease forfeits it, so use a $1-buyout lease or a straight loan.</t>
  </si>
  <si>
    <t xml:space="preserve">6. Only if 1-5 come up short: SBA 7(a) at $150,000 flat. Not a dollar more - the fee and the guaranty both step at $150,001.</t>
  </si>
  <si>
    <t xml:space="preserve">7. Never the last row of the table above. A profitable business can be killed by 84% money faster than an unprofitable one can be killed by competition.</t>
  </si>
  <si>
    <t xml:space="preserve">TIMING - the one that has a date on it</t>
  </si>
  <si>
    <t xml:space="preserve">SBA's new rulebook (SOP 50 10 8.1) applies to any loan given an SBA number on or after October 1, 2026. If Ned is admitted as an owner as part of the same transaction, the loan is reclassified as a change of ownership: the coverage test becomes 1.25x on HISTORICAL cash flow and projections may not be used to meet it. On today's filed revenue that fails. Kept as a plain expansion loan to the existing company with Charlie as sole owner, the test stays 1.1x on historical AND/OR projected cash flow. Separate the capital raise from any equity admission by at least twelve months. This is worth more than any rate either of us could negotiate.</t>
  </si>
  <si>
    <t xml:space="preserve">What selling a piece of the company actually costs</t>
  </si>
  <si>
    <t xml:space="preserve">Blue = change it on the Assumptions tab. This tab answers one question: for the same dollars, is it cheaper to borrow or to sell equity? It prices the investor's claim year by year against the identical amount borrowed, and shows what Charlie keeps under each.</t>
  </si>
  <si>
    <t xml:space="preserve">Year shown</t>
  </si>
  <si>
    <t xml:space="preserve">Company is worth</t>
  </si>
  <si>
    <t xml:space="preserve">Investor would take</t>
  </si>
  <si>
    <t xml:space="preserve">Charlie keeps - sold equity</t>
  </si>
  <si>
    <t xml:space="preserve">Loan still owed</t>
  </si>
  <si>
    <t xml:space="preserve">Interest paid in total</t>
  </si>
  <si>
    <t xml:space="preserve">Charlie keeps - borrowed</t>
  </si>
  <si>
    <t xml:space="preserve">BORROWING WINS BY</t>
  </si>
  <si>
    <t xml:space="preserve">Set 'Outside equity taken' to a real number on the Assumptions tab to price a specific offer. At zero, the equity rows sit at zero and only the borrowing path is live.</t>
  </si>
  <si>
    <t xml:space="preserve">THE COMPANY, FOR REFERENCE</t>
  </si>
  <si>
    <t xml:space="preserve">Total revenue</t>
  </si>
  <si>
    <t xml:space="preserve">What the whole company is worth</t>
  </si>
  <si>
    <t xml:space="preserve">PATH A - SELL A PIECE OF IT</t>
  </si>
  <si>
    <t xml:space="preserve">Investor money in</t>
  </si>
  <si>
    <t xml:space="preserve">Lands once, in the year set on the Assumptions tab. Set the amount to 0 to take this path off the table entirely.</t>
  </si>
  <si>
    <t xml:space="preserve">What the investor is owed if they take their preference</t>
  </si>
  <si>
    <t xml:space="preserve">Their money back plus an accruing preferred return. A 1x non-participating preference means at exit they take the GREATER of this or their percentage - not both. That structure lets the owner give away less of the company for the same cheque.</t>
  </si>
  <si>
    <t xml:space="preserve">What their percentage would be worth instead</t>
  </si>
  <si>
    <t xml:space="preserve">The investor walks away with</t>
  </si>
  <si>
    <t xml:space="preserve">CHARLIE KEEPS - having sold equity</t>
  </si>
  <si>
    <t xml:space="preserve">PATH B - BORROW THE SAME MONEY INSTEAD</t>
  </si>
  <si>
    <t xml:space="preserve">Loan still outstanding</t>
  </si>
  <si>
    <t xml:space="preserve">The SAME amount the investor would have put in, borrowed instead, paid down straight-line over the term. Like for like - that is the only way the comparison means anything.</t>
  </si>
  <si>
    <t xml:space="preserve">Interest paid on it, running total</t>
  </si>
  <si>
    <t xml:space="preserve">Every dollar of interest the loan will ever cost, added up. This is the true and complete price of Path B - and unlike a percentage of the company, it stops.</t>
  </si>
  <si>
    <t xml:space="preserve">CHARLIE KEEPS - having borrowed</t>
  </si>
  <si>
    <t xml:space="preserve">The whole company, less what is still owed and less all the interest paid to get there.</t>
  </si>
  <si>
    <t xml:space="preserve">THE ANSWER</t>
  </si>
  <si>
    <t xml:space="preserve">Borrowing leaves Charlie ahead by</t>
  </si>
  <si>
    <t xml:space="preserve">Positive means debt was cheaper. The gap widens every year, because interest is a fixed cost that stops when the loan is paid and equity is a share of a number that keeps growing. That is the whole argument in one row.</t>
  </si>
  <si>
    <t xml:space="preserve">Equity only wins if the company is worth less than</t>
  </si>
  <si>
    <t xml:space="preserve">Below this value the investor's percentage is worth less than the debt would have cost, and selling equity was the better call. Compare it against the value line at the top: if the plan works at all, this number is never reached.</t>
  </si>
  <si>
    <t xml:space="preserve">WHAT THE MARKET WILL ACTUALLY DO</t>
  </si>
  <si>
    <t xml:space="preserve">Two things worth knowing before anyone goes looking for an investor. First, institutional minority growth equity does not exist at a $200,000-$500,000 cheque size for a non-technology service business - no fund has that mandate. The realistic sources are family, a local operator with money, or an independent sponsor writing a personal cheque, and each of those comes with a relationship attached to it. Second, and more important: selling equity today prices the company on today's near-zero earnings, so an investor would demand a percentage that only looks reasonable if you ignore the plan. Every month the two-crew run rate is real is a month the same cheque costs less of the company. If equity is ever taken, take it after year 1 is proven, take it as preferred with an accruing return rather than common, and use it for something debt genuinely cannot fund.</t>
  </si>
  <si>
    <t xml:space="preserve">What it is worth, and what it costs to buy somebody out</t>
  </si>
  <si>
    <t xml:space="preserve">Blue = change it on the Assumptions tab. The multiple is not one number - it depends on how big the company is, because size decides who is allowed to buy it. Under $1M of revenue a business is priced on owner's cash. Over $2M it is priced on profit after paying somebody to do the owner's job, which is a different and much larger number.</t>
  </si>
  <si>
    <t xml:space="preserve">Priced on</t>
  </si>
  <si>
    <t xml:space="preserve">Multiple it earns</t>
  </si>
  <si>
    <t xml:space="preserve">Cash at closing</t>
  </si>
  <si>
    <t xml:space="preserve">Ned's profits interest</t>
  </si>
  <si>
    <t xml:space="preserve">Charlie's share</t>
  </si>
  <si>
    <t xml:space="preserve">Every figure is a formula off the Assumptions tab and the long-range plan. Change a multiple, the hurdle, the manager's salary or Ned's percentage and all fifteen years move.</t>
  </si>
  <si>
    <t xml:space="preserve">THE TWO WAYS A BUYER COUNTS THE EARNINGS</t>
  </si>
  <si>
    <t xml:space="preserve">Owner's cash (SDE) - what the owner takes out in total</t>
  </si>
  <si>
    <t xml:space="preserve">Profit plus the owner's draw. This is what a small buyer who will run it himself cares about, because he is buying a job plus a return.</t>
  </si>
  <si>
    <t xml:space="preserve">EBITDA - the same earnings after paying a manager to do the owner's job</t>
  </si>
  <si>
    <t xml:space="preserve">A financial buyer will not work in the business, so he deducts what it costs to replace the owner. Lower number, much higher multiple. This one line is why the same company gets two valuations that differ by a factor of two.</t>
  </si>
  <si>
    <t xml:space="preserve">WHICH MULTIPLE APPLIES, AND WHY</t>
  </si>
  <si>
    <t xml:space="preserve">Multiple the size band earns</t>
  </si>
  <si>
    <t xml:space="preserve">Under $2M the buyer is an individual using an SBA loan, and the multiple is set by what his debt service can carry - it sits in a narrow 2.0-2.3x band no matter how good the business is. Over $2M the buyer pool changes to searchers and regional platforms at 4x EBITDA. Over $5M it changes again to private equity at 5-8x. Growing is what moves the multiple; the service book is not.</t>
  </si>
  <si>
    <t xml:space="preserve">Earnings the multiple is applied to</t>
  </si>
  <si>
    <t xml:space="preserve">WHAT THE WHOLE COMPANY IS WORTH</t>
  </si>
  <si>
    <t xml:space="preserve">Earnings x multiple, plus the cash in the bank, less what is still owed on equipment.</t>
  </si>
  <si>
    <t xml:space="preserve">Cash actually handed over at closing</t>
  </si>
  <si>
    <t xml:space="preserve">The rest is a seller note and an earnout. If the buyer uses an SBA loan, that note now sits on full standby for the life of his loan - ten years of no principal and no interest. Price that in before celebrating a headline number.</t>
  </si>
  <si>
    <t xml:space="preserve">NED'S PROFITS INTEREST - WHAT IT PAYS, AND WHAT IT COSTS CHARLIE</t>
  </si>
  <si>
    <t xml:space="preserve">Value created above the hurdle</t>
  </si>
  <si>
    <t xml:space="preserve">Everything above what the company was worth the day Ned started. Below the hurdle the profits interest pays nothing at all.</t>
  </si>
  <si>
    <t xml:space="preserve">Ned's share of it</t>
  </si>
  <si>
    <t xml:space="preserve">Charlie's share of the sale</t>
  </si>
  <si>
    <t xml:space="preserve">Charlie keeps 100% of what the company is worth today and the large majority of everything built on top of it.</t>
  </si>
  <si>
    <t xml:space="preserve">What Charlie would have without the plan (today's value, held flat)</t>
  </si>
  <si>
    <t xml:space="preserve">The honest comparison: not Charlie's share versus 100%, but Charlie's share versus what a business that stays as it is would be worth.</t>
  </si>
  <si>
    <t xml:space="preserve">Charlie ahead by</t>
  </si>
  <si>
    <t xml:space="preserve">BUYING NED OUT INSTEAD</t>
  </si>
  <si>
    <t xml:space="preserve">Cost to buy Ned's interest out in cash that year</t>
  </si>
  <si>
    <t xml:space="preserve">A call right at a formula price - the same multiple arithmetic above, usually with an agreed discount for an internal buyout - keeps this from ever becoming an argument. Paper it at the start, when nobody knows who will want out.</t>
  </si>
  <si>
    <t xml:space="preserve">The same, paid over five years at the raise rate</t>
  </si>
  <si>
    <t xml:space="preserve">A buyout almost never gets paid in one cheque. Five years of monthly payments out of the profit the interest was earning anyway is the usual shape.</t>
  </si>
  <si>
    <t xml:space="preserve">WHY THE PLAN IS WORTH MORE THAN THE PLAN BOOK</t>
  </si>
  <si>
    <t xml:space="preserve">The recurring service book is a good business and it throws off real profit. What it does not do, at this size, is raise the multiple: pest control, the most contract-recurring home service there is, sells at 2.04x owner's cash - below landscaping's 2.30x across 945 recorded sales. Recurring revenue shows up in the revenue multiple (0.96x against 0.63x), not the earnings multiple. What actually moves the multiple is crossing the size thresholds that change who is allowed to buy you: an individual with an SBA loan under $2M, a searcher or regional platform at $2-5M, private equity above that. Roughly 2.0x to 4.0x to 6.0x on a bigger number each time. That is the argument for growing, and it is drawn from recorded transactions rather than from anybody's opinion.</t>
  </si>
  <si>
    <t xml:space="preserve">What Ned earns, year by year</t>
  </si>
  <si>
    <t xml:space="preserve">Blue = change it on the Assumptions tab. A fractional base plus a share of the profit he helps create - nothing on the profit the business already makes. The profits interest at the bottom is not income; it only pays if the company is sold or he is bought out.</t>
  </si>
  <si>
    <t xml:space="preserve">Base salary</t>
  </si>
  <si>
    <t xml:space="preserve">Growth share</t>
  </si>
  <si>
    <t xml:space="preserve">TOTAL CASH THAT YEAR</t>
  </si>
  <si>
    <t xml:space="preserve">Cumulative cash</t>
  </si>
  <si>
    <t xml:space="preserve">Share of revenue</t>
  </si>
  <si>
    <t xml:space="preserve">Profits interest if sold</t>
  </si>
  <si>
    <t xml:space="preserve">EVERYTHING, IF HE EXITS THEN</t>
  </si>
  <si>
    <t xml:space="preserve">WHAT THE BUSINESS MAKES BEFORE ANY OF THIS</t>
  </si>
  <si>
    <t xml:space="preserve">Operating profit before Ned and before a COO</t>
  </si>
  <si>
    <t xml:space="preserve">Straight off the long-range tab, after the owner's draw. Everything below comes out of this line.</t>
  </si>
  <si>
    <t xml:space="preserve">WHAT NED IS PAID</t>
  </si>
  <si>
    <t xml:space="preserve">Fractional - about 25 hours a week. Steps up through year 5, then tracks inflation.</t>
  </si>
  <si>
    <t xml:space="preserve">Profit above the baseline the share is measured on</t>
  </si>
  <si>
    <t xml:space="preserve">Nothing is owed on the profit the business already makes. If growth does not happen, this is zero and so is the share.</t>
  </si>
  <si>
    <t xml:space="preserve">Growth share earned</t>
  </si>
  <si>
    <t xml:space="preserve">TOTAL CASH TO NED</t>
  </si>
  <si>
    <t xml:space="preserve">Cumulative cash to Ned</t>
  </si>
  <si>
    <t xml:space="preserve">As a share of revenue</t>
  </si>
  <si>
    <t xml:space="preserve">The affordability test. Above roughly 6-7% of revenue and the role is eating the growth it is meant to create.</t>
  </si>
  <si>
    <t xml:space="preserve">WHAT IS LEFT FOR THE BUSINESS</t>
  </si>
  <si>
    <t xml:space="preserve">Operating profit after Ned</t>
  </si>
  <si>
    <t xml:space="preserve">Charlie's cash from the business (that profit plus his draw)</t>
  </si>
  <si>
    <t xml:space="preserve">THE PROFITS INTEREST - NOT INCOME, ONLY PAYS ON A SALE</t>
  </si>
  <si>
    <t xml:space="preserve">What the company is worth that year</t>
  </si>
  <si>
    <t xml:space="preserve">Ned's profits interest if sold that year</t>
  </si>
  <si>
    <t xml:space="preserve">A share of the value created above the hurdle. Zero below it. Taxed as capital gain, not income, and only when it actually pays.</t>
  </si>
  <si>
    <t xml:space="preserve">EVERYTHING NED HAS EARNED IF HE EXITS THAT YEAR</t>
  </si>
  <si>
    <t xml:space="preserve">Cash taken along the way plus the equity settled at the end. This is the honest total.</t>
  </si>
  <si>
    <t xml:space="preserve">The structure in one line: a below-market base so the company can afford him while it is small, a share of the upside so he only does well if it works, and an equity interest that pays nothing unless the business is worth more than it is today. If the plan fails, Ned has been the cheapest senior hire on the payroll. If it works, he is paid out of money that did not previously exist.</t>
  </si>
  <si>
    <t xml:space="preserve">Bryan Rogers - Chief Operating Officer</t>
  </si>
  <si>
    <t xml:space="preserve">Blue = change it on the Assumptions tab. Salary steps with the size of the company, a bonus on operational targets, and equity that vests over four years. The bottom section compares all of it against what the bar already pays him, because that is the actual decision.</t>
  </si>
  <si>
    <t xml:space="preserve">Bonus</t>
  </si>
  <si>
    <t xml:space="preserve">TOTAL CASH</t>
  </si>
  <si>
    <t xml:space="preserve">Equity vested</t>
  </si>
  <si>
    <t xml:space="preserve">Equity value</t>
  </si>
  <si>
    <t xml:space="preserve">vs. the bar, cumulative</t>
  </si>
  <si>
    <t xml:space="preserve">CASH + EQUITY vs THE BAR</t>
  </si>
  <si>
    <t xml:space="preserve">THE COMPANY HE WOULD BE RUNNING</t>
  </si>
  <si>
    <t xml:space="preserve">Crews to run</t>
  </si>
  <si>
    <t xml:space="preserve">People on the payroll</t>
  </si>
  <si>
    <t xml:space="preserve">By year 5 this is a real operation. Somebody has to run it, and at seven crews it cannot be the person also selling and estimating.</t>
  </si>
  <si>
    <t xml:space="preserve">WHAT BRYAN IS PAID</t>
  </si>
  <si>
    <t xml:space="preserve">Base salary (steps with the size of the company, ramped while he still runs the bar)</t>
  </si>
  <si>
    <t xml:space="preserve">Anchored on BLS Baton Rouge data for General and Operations Managers: median $107,140, mean $136,200, 75th percentile $167,430. The steps are revenue bands, so the pay rises when the job does. Scaled down to the fraction of full-time he is actually working (about 3 days a week / 60% today, per Charlie) until the year he goes full-time.</t>
  </si>
  <si>
    <t xml:space="preserve">Bonus earned</t>
  </si>
  <si>
    <t xml:space="preserve">On operational targets - gross profit per crew-day, job margin, callbacks, crews staffed. Not on net income: the owner controls that line through discretionary spending, and tying a bonus to it produces an argument every single year.</t>
  </si>
  <si>
    <t xml:space="preserve">TOTAL CASH TO BRYAN</t>
  </si>
  <si>
    <t xml:space="preserve">Less the operations manager he replaces</t>
  </si>
  <si>
    <t xml:space="preserve">A COO at a four-crew company IS the operations leadership - the plan's own staffing rules already hire an operations manager from crew three onward, and Bryan replaces the first one. Capped at one: past six or seven crews you need a COO AND managers under him. In year 1 there is no manager to displace, which is exactly why year 1 is the expensive year.</t>
  </si>
  <si>
    <t xml:space="preserve">NET COST OF BRYAN TO THE BUSINESS</t>
  </si>
  <si>
    <t xml:space="preserve">What he actually adds to the cost base, after the salary the plan was going to spend anyway.</t>
  </si>
  <si>
    <t xml:space="preserve">Net cost as a share of revenue</t>
  </si>
  <si>
    <t xml:space="preserve">The affordability test, and the reason the year-1 base is set under the local median. A market COO package against $1.1M of revenue is over 12% of the top line before any offset - the business simply cannot carry it yet.</t>
  </si>
  <si>
    <t xml:space="preserve">EQUITY - EARNED OVER TIME, NOT GIVEN ON DAY ONE</t>
  </si>
  <si>
    <t xml:space="preserve">Vested share of the grant</t>
  </si>
  <si>
    <t xml:space="preserve">Four years, one-year cliff: nothing at all if he leaves inside twelve months, then a quarter a year. Unvested equity is forfeited; vested equity is repurchased at a formula price. Write the repurchase formula before he starts, not when somebody is angry.</t>
  </si>
  <si>
    <t xml:space="preserve">Equity he has actually earned (%)</t>
  </si>
  <si>
    <t xml:space="preserve">Value created since he joined</t>
  </si>
  <si>
    <t xml:space="preserve">Like Ned's, Bryan's grant is written as a profits interest: it pays on the growth from the day he arrives, not on what Charlie already built. That is what makes it tax-free at grant under Rev. Proc. 93-27 and costs Charlie none of today's value.</t>
  </si>
  <si>
    <t xml:space="preserve">What his earned equity is worth</t>
  </si>
  <si>
    <t xml:space="preserve">Plus any stake bought with bar proceeds</t>
  </si>
  <si>
    <t xml:space="preserve">Only if he puts cash in. Priced at the company's value in his start year, less an insider discount for a minority stake with no control and no market.</t>
  </si>
  <si>
    <t xml:space="preserve">TOTAL EQUITY VALUE</t>
  </si>
  <si>
    <t xml:space="preserve">AGAINST WHAT HE ALREADY HAS - THE ACTUAL DECISION</t>
  </si>
  <si>
    <t xml:space="preserve">What the bar pays him today</t>
  </si>
  <si>
    <t xml:space="preserve">Median seller's discretionary earnings for a bar was $128,375 in 2025 - pre-tax and before debt service, so his real take-home is lower. Grown at inflation. Replace it with his actual number; the whole comparison turns on it.</t>
  </si>
  <si>
    <t xml:space="preserve">Cash difference that year</t>
  </si>
  <si>
    <t xml:space="preserve">Negative in the early years. That is the honest shape of this: he takes a pay cut to buy equity in something bigger.</t>
  </si>
  <si>
    <t xml:space="preserve">Cumulative cash difference</t>
  </si>
  <si>
    <t xml:space="preserve">CUMULATIVE CASH DIFFERENCE PLUS EQUITY EARNED</t>
  </si>
  <si>
    <t xml:space="preserve">The year this turns positive is the year the move has paid for itself. Add the bar's sale proceeds on top - that money is his either way.</t>
  </si>
  <si>
    <t xml:space="preserve">Break-even check: is he ahead yet?</t>
  </si>
  <si>
    <t xml:space="preserve">WHAT THIS DOES NOT SHOW</t>
  </si>
  <si>
    <t xml:space="preserve">Three things sit outside this arithmetic and all three are real. First, the bar has to actually sell: bars took a median 189 days on the market in 2025, and across all small businesses under $500,000 of earnings only about 10-15% of those listed ever complete a sale. Food and beverage transaction volume fell 12% over the last year. Plan on nine to eighteen months and a genuine chance of no sale at all - and do not make the start date depend on it. Second, a salary is not the same risk as owning a bar: it arrives every fortnight whether it rained that month or not, and that is worth something this table cannot price. Third, if the equity is written as a profits interest he stops being an employee for tax purposes - he receives a K-1 instead of a W-2, owes self-employment tax and quarterly estimates, and loses the simplicity he has now. Phantom equity delivers nearly the same economics after tax, keeps him on a W-2, and gives the company a deduction it does not get otherwise. That trade should be a priced decision, not a default.</t>
  </si>
  <si>
    <t xml:space="preserve">Three people, one profit line</t>
  </si>
  <si>
    <t xml:space="preserve">Every dollar paid to Charlie, Ned and Bryan comes out of the same operating profit. This tab proves it adds up, and shows what is left.</t>
  </si>
  <si>
    <t xml:space="preserve">Gross profit</t>
  </si>
  <si>
    <t xml:space="preserve">Operating profit before Charlie's draw, Ned or Bryan</t>
  </si>
  <si>
    <t xml:space="preserve">The pot everything below is paid out of.</t>
  </si>
  <si>
    <t xml:space="preserve">Charlie - owner draw</t>
  </si>
  <si>
    <t xml:space="preserve">Ned - base plus growth share</t>
  </si>
  <si>
    <t xml:space="preserve">Bryan - salary plus bonus</t>
  </si>
  <si>
    <t xml:space="preserve">Credit: the operations manager Bryan replaces</t>
  </si>
  <si>
    <t xml:space="preserve">Already inside the salaried-staff line above, so it has to be given back here or Bryan is counted twice.</t>
  </si>
  <si>
    <t xml:space="preserve">Paid to the three of them, net</t>
  </si>
  <si>
    <t xml:space="preserve">The honest affordability test for the whole leadership structure. If this climbs while the bottom line does not, the structure is too heavy for the business.</t>
  </si>
  <si>
    <t xml:space="preserve">LEFT IN THE COMPANY after all three</t>
  </si>
  <si>
    <t xml:space="preserve">What funds the next crew, the next truck and the cash cushion. If this is negative the plan is paying its leaders out of borrowed money.</t>
  </si>
  <si>
    <t xml:space="preserve">Sanity check - does it reconcile?</t>
  </si>
  <si>
    <t xml:space="preserve">Read the 'share of revenue' row before anything else. A leadership team costing 15% of revenue in year one is normal for a company that is deliberately hiring ahead of itself; the same 15% in year five means the growth never arrived and the structure needs cutting. The three roles are also not equivalent risks: Charlie's draw is the first call on the money and the last to be cut, Ned's share only exists if profit grows, and Bryan's salary is a fixed cost from the day he starts - which is precisely why his base is set below the local market median until the revenue is there to carry it.</t>
  </si>
  <si>
    <t xml:space="preserve">AI and robotics - where the money actually moves</t>
  </si>
  <si>
    <t xml:space="preserve">Blue = change it on the Assumptions tab. The headline finding, from the September 2026 evidence: the crews are the SAFEST jobs in this company and the office is the exposed one. Nothing in autonomous earthmoving can be bought for residential drainage work today. Field wages are going UP, not down. Every source is on the Sources &amp; notes tab.</t>
  </si>
  <si>
    <t xml:space="preserve">1. The crews do not automate.</t>
  </si>
  <si>
    <t xml:space="preserve">BLS projects construction labourers +6% and equipment operators +4% employment through 2035, against +3% for all occupations. The Acemoglu-Restrepo finding that robots cut wages was measured on ROUTINE ASSEMBLY work in manufacturing - a fixed machine repeating one motion. A different backyard, soil, slope, fence line and buried gas service every single job is the opposite of that.</t>
  </si>
  <si>
    <t xml:space="preserve">2. Nothing is buyable for residential earthmoving.</t>
  </si>
  <si>
    <t xml:space="preserve">Built Robotics' autonomous trenching needs a 15-50 TONNE excavator and the company has pivoted to utility-scale solar; a mini-ex is 1.5-9 tonnes. Cat Command runs on the 313-395 class, not minis. Bobcat's RogueX, RogueX2 and RX3 are CONCEPT machines with no production date - dealer pages listing them carry no price and no inventory. Do not let anyone sell Charlie a timeline.</t>
  </si>
  <si>
    <t xml:space="preserve">3. The one thing worth buying is unglamorous.</t>
  </si>
  <si>
    <t xml:space="preserve">Grade control / depth check, about $5,000 a machine. Bobcat Depth Check is a factory option on the E32-E55 class the crews already run, +/- 0.5 inch. Buy it as a quality and rework tool. No independent productivity study exists - every percentage in circulation is vendor-funded, so model it from Charlie's own callback rate, not from a brochure.</t>
  </si>
  <si>
    <t xml:space="preserve">4. The displacement is in the office.</t>
  </si>
  <si>
    <t xml:space="preserve">Stanford's ADP payroll study (3.5-5M workers a month) found employment for 22-25 year olds in the most AI-exposed occupations down about 6%, software developers down about 20% - and the named occupations are customer service, marketing and software, not trades. Anthropic's own usage index shows Construction and Extraction almost absent. The exposed roles here are estimating, bookkeeping, scheduling, marketing and software.</t>
  </si>
  <si>
    <t xml:space="preserve">5. The real risk is lead generation, around 2028.</t>
  </si>
  <si>
    <t xml:space="preserve">45% of US consumers used an AI assistant for a local business recommendation in the past year, up from 6% the year before - but 88% of them still check reviews before acting, and ChatGPT surfaces only about 1.2% of local businesses against 35.9% for Google's local pack. Reputation still decides the sale. Google LSA cost per lead has NOT collapsed ($53 home-services average), so the $59 in this model holds to about 2028.</t>
  </si>
  <si>
    <t xml:space="preserve">THE CREWS - THE PART THAT DOES NOT CHANGE</t>
  </si>
  <si>
    <t xml:space="preserve">People in the field</t>
  </si>
  <si>
    <t xml:space="preserve">Flat per crew for all fifteen years. This is a deliberate modelling choice and it matches the evidence - no vendor sells a machine that digs a residential drain.</t>
  </si>
  <si>
    <t xml:space="preserve">Crew labour cost</t>
  </si>
  <si>
    <t xml:space="preserve">Crew labour as a share of revenue - THIS LINE DOES NOT FALL</t>
  </si>
  <si>
    <t xml:space="preserve">If somebody shows Charlie a plan where this line falls because of robots, they are selling something. The realistic 15-year risk to this business is wage inflation and operator scarcity, not robotic displacement.</t>
  </si>
  <si>
    <t xml:space="preserve">THE OFFICE - WHERE THE SAVING ACTUALLY IS</t>
  </si>
  <si>
    <t xml:space="preserve">Admin + estimators WITHOUT any AI (today's ratios held flat)</t>
  </si>
  <si>
    <t xml:space="preserve">Admin + estimators WITH the AI ratchet (what the plan actually hires)</t>
  </si>
  <si>
    <t xml:space="preserve">People avoided</t>
  </si>
  <si>
    <t xml:space="preserve">Whole people, not fractions - you cannot avoid two thirds of a bookkeeper. This is why the line steps rather than sloping.</t>
  </si>
  <si>
    <t xml:space="preserve">Salary cost avoided</t>
  </si>
  <si>
    <t xml:space="preserve">Priced at the average of an admin and an estimator salary, escalated at the same wage rate as everybody else.</t>
  </si>
  <si>
    <t xml:space="preserve">WHAT IT COSTS TO GET THAT</t>
  </si>
  <si>
    <t xml:space="preserve">AI tool stack (voice agent, assisted quoting, seats)</t>
  </si>
  <si>
    <t xml:space="preserve">Grade control on machines bought this year</t>
  </si>
  <si>
    <t xml:space="preserve">One system per new crew's excavator. Year 1 covers the crews being added now; after that it is only new crews. Add this to the equipment budget for each new crew - it is shown here so it is visible, not hidden in capex.</t>
  </si>
  <si>
    <t xml:space="preserve">TOTAL AI AND AUTOMATION COST</t>
  </si>
  <si>
    <t xml:space="preserve">THE NET - AFTER THE HONEST HAIRCUT</t>
  </si>
  <si>
    <t xml:space="preserve">Gross saving (salary avoided less what the tools cost)</t>
  </si>
  <si>
    <t xml:space="preserve">Negative in the early years. That is correct and it is the point - the tools cost money before they save a hire.</t>
  </si>
  <si>
    <t xml:space="preserve">Less the share competed away by rivals</t>
  </si>
  <si>
    <t xml:space="preserve">When every contractor in Baton Rouge has the same tools, the saving turns into lower prices and higher lead costs instead of margin. Only applied to a positive saving - competition does not refund a loss.</t>
  </si>
  <si>
    <t xml:space="preserve">NET KEPT</t>
  </si>
  <si>
    <t xml:space="preserve">Keep this in perspective. It is a real saving and it is worth taking, but it is a fraction of a point of revenue - it is not the thing that makes or breaks this business. Crossing $2M and $5M of revenue is worth far more.</t>
  </si>
  <si>
    <t xml:space="preserve">WHAT TO ACTUALLY DO, IN ORDER. (1) Buy the AI voice agent now - at 1-2 crews that is $99-208 a month and it breaks even on about two saved leads, against a $59 lead. It is the easiest yes in this whole model, because 27% of home-services calls go unanswered and 85% of those callers never ring back. (2) Put grade control on the next excavator, roughly $5,000, and judge it on callbacks rather than on any vendor's productivity claim. (3) Spend the next two years making the Google Business Profile and the review book bulletproof - that is what AI assistants read, and 88% of people who get an AI recommendation verify it against reviews before they call. (4) Do NOT buy: autonomous equipment (it does not exist for this work), route optimisation (the 15-30% savings are real at eight trucks doing short stops, and near zero at two crews doing multi-day jobs in one metro), or a 'GEO agency'.</t>
  </si>
  <si>
    <t xml:space="preserve">TWO CORRECTIONS THIS ROUND MADE TO EARLIER VERSIONS OF THIS MODEL. First, rework: earlier documents in this set said rework runs 2-20% of contract value. The best actual-cost study, published in the ASCE Journal of Construction Engineering and Management in 2026, measured real contractor data and found 0.38% before completion and 0.76% including post-completion corrections. The old 12%+ figures conflated rework with change orders. The callback risk on a French drain is a slope and design problem, not a documentation problem. Second, wages: the '2.45% Louisiana haircut' this model used to apply is not supported - East Baton Rouge specialty-trade wages actually grew 3.75% a year from 2019 to 2024, beating the 3.5% this model assumes. Understating the largest cost line for fifteen years would have been the most dangerous error in the whole workbook.</t>
  </si>
  <si>
    <t xml:space="preserve">What Charlie can legally write off, and what it is worth</t>
  </si>
  <si>
    <t xml:space="preserve">Blue = change it on the Assumptions tab. Every line here is an ESTIMATE for planning purposes, not a tax return - a CPA must confirm the treatment, the rate and the amount before Charlie relies on any of it. Nothing here changes the operating profit shown on the Long range tab; this is Charlie's OWN tax picture, on top of that.</t>
  </si>
  <si>
    <t xml:space="preserve">CHARLIE'S DRAW - BEFORE ANY OF THIS</t>
  </si>
  <si>
    <t xml:space="preserve">Default $150,000/yr. Set on the Assumptions tab - everything below is what legally brings the taxable amount down from there.</t>
  </si>
  <si>
    <t xml:space="preserve">ADDITIONAL DEDUCTIONS - ON TOP OF MATERIALS, LABOR AND FUEL ALREADY SUBTRACTED IN THE COMPANY'S NUMBERS</t>
  </si>
  <si>
    <t xml:space="preserve">Vehicle - IRS standard mileage (miles x rate)</t>
  </si>
  <si>
    <t xml:space="preserve">Covers gas, oil, repairs, insurance and depreciation on Charlie's own business driving in one number - do not also deduct fuel separately for these miles. Needs a contemporaneous mileage log (app, not a year-end guess).</t>
  </si>
  <si>
    <t xml:space="preserve">Business meals (50% of spend - current law, not 100%)</t>
  </si>
  <si>
    <t xml:space="preserve">Client meals, long job-day crew meals. Keep the receipt plus date, place, purpose and who was there - that is what an audit actually checks.</t>
  </si>
  <si>
    <t xml:space="preserve">Home office (simplified method, $5/sq ft up to 300 sq ft)</t>
  </si>
  <si>
    <t xml:space="preserve">Only if a room is used regularly AND exclusively for bidding, invoicing and admin - a garage that also stores personal stuff does not qualify.</t>
  </si>
  <si>
    <t xml:space="preserve">Self-employed health insurance premiums</t>
  </si>
  <si>
    <t xml:space="preserve">Above-the-line, Form 7206. Capped at net business profit - cannot create a loss.</t>
  </si>
  <si>
    <t xml:space="preserve">Phone, licenses, dues, bank/card fees, misc</t>
  </si>
  <si>
    <t xml:space="preserve">Retirement plan contribution (SEP-IRA or Solo 401(k))</t>
  </si>
  <si>
    <t xml:space="preserve">2026 combined cap $72,000. This is money Charlie keeps for himself, just not taxed yet - not a write-off he loses, a forced-savings one.</t>
  </si>
  <si>
    <t xml:space="preserve">TOTAL ADDITIONAL DEDUCTIONS</t>
  </si>
  <si>
    <t xml:space="preserve">WHAT IT IS WORTH</t>
  </si>
  <si>
    <t xml:space="preserve">Estimated tax saved that year (deductions x combined rate)</t>
  </si>
  <si>
    <t xml:space="preserve">A rough planning number, not a return. Materials, pipe, aggregate and tools bought through the business are already ordinary expense at 100 cents on the dollar inside the company's own numbers - not repeated here, so this line is what a CPA-guided personal return can add on top.</t>
  </si>
  <si>
    <t xml:space="preserve">CREDIT CARD / PAYMENT STRATEGY - CASH, NOT A DEDUCTION</t>
  </si>
  <si>
    <t xml:space="preserve">Fuel + materials + supplies spend routed through business cards</t>
  </si>
  <si>
    <t xml:space="preserve">Scales with revenue. Route it through a business card and pay it in full every month - float and rewards, never financing.</t>
  </si>
  <si>
    <t xml:space="preserve">Estimated cash-back / fleet-discount earned that year</t>
  </si>
  <si>
    <t xml:space="preserve">Cash back on a business card is a purchase-price rebate, not taxable income, as long as it is not earned by referral/sign-up bonuses treated as 1099 income - confirm with the CPA.</t>
  </si>
  <si>
    <t xml:space="preserve">TOTAL EXTRA VALUE TO CHARLIE THAT YEAR (tax saved + card rewards)</t>
  </si>
  <si>
    <t xml:space="preserve">HOW TO ACTUALLY DO THIS, IN PLAIN TERMS. Open a dedicated business bank account and at least one business credit card before anything else - mixing personal and business spending is the single biggest reason an LLC's liability shield gets pierced AND the single biggest reason a deduction gets disallowed on audit. Every dollar above should be substantiated as it happens (mileage app, meal receipts with who/why, a folder for insurance and phone bills), not reconstructed at tax time. Section 179 and 100% bonus depreciation (permanent, for property placed in service after Jan 19, 2025; 2026 Section 179 limit $2,560,000) already let the company fully expense equipment like the Bobcat purchases the moment they are placed in service, even while financed at 0% - that stacks the deduction now with the payments spread out later, and it is already reflected on the Buyout &amp; exit and Sources tabs, not repeated here to avoid double-counting. At $150,000+ of owner comp, ask the CPA specifically about an S-corp election: paying Charlie a 'reasonable salary' and taking the rest as a distribution can cut self-employment tax (15.3% up to the $184,500 2026 Social Security wage base) - real money, but it adds payroll processing and the IRS actively audits under-paid S-corp salaries, so this is a CPA-confirm decision, not a DIY one.</t>
  </si>
  <si>
    <t xml:space="preserve">CREDIT CARDS THAT FIT THIS SPEND, TODAY. Chase Ink Business Cash (no annual fee): 5% back on the first $25K/yr at office supply and phone/internet, 2% on the first $25K/yr at gas stations. Amex Blue Business Cash: flat 2% on everything up to $50K/yr. Capital One Spark Cash Plus: flat 2% with no cap (its $150 fee is refunded above $150K/yr spent). For fuel specifically, once there are several trucks and drivers, a fleet card (WEX, or a Shell/BP fleet card) trades a lower cash-back rate for per-vehicle spending controls and a small per-gallon discount - worth it for the fraud control alone once Charlie is not the only one fueling up. Pay every card in full every month: that is what builds a real business credit profile (D&amp;B PAYDEX rewards paying early, not slow) without ever paying interest - business credit needs an EIN, a D-U-N-S number, and cards/vendors that actually report to the business bureaus, which not all small-business cards do. None of this is personalized financial advice - card terms change, and Charlie should compare current offers directly with each issuer.</t>
  </si>
  <si>
    <t xml:space="preserve">Sources and notes</t>
  </si>
  <si>
    <t xml:space="preserve">From Charlie (Sept 2026)</t>
  </si>
  <si>
    <t xml:space="preserve">Currently ~400 LF/month with a 3-man crew; an average job day is ~$1,500 of revenue; 50% margin after materials, gas and labor; labor ~32% and materials+gas ~20% of project cost; crew paid $20-25/hr; goal 800-1,000 LF/month per 3-man crew, two crews; target customers 50-75 within 20 miles of 70808; water-jet maintenance plan yearly or every 2 years; uses Moasure for proposals.</t>
  </si>
  <si>
    <t xml:space="preserve">Angi - French drain cost (updated May 30, 2026)</t>
  </si>
  <si>
    <t xml:space="preserve">National average $9,250; range $500-18,000; $10-100/LF; yard drains $20-30/LF. https://www.angi.com/articles/how-much-does-french-drain-cost.htm</t>
  </si>
  <si>
    <t xml:space="preserve">Angi - Hydro jetting cost (updated July 9, 2026)</t>
  </si>
  <si>
    <t xml:space="preserve">National average $475; typical $350-600. https://www.angi.com/articles/hydro-jetting-cost.htm</t>
  </si>
  <si>
    <t xml:space="preserve">SearchLight Digital - Google LSA cost per lead (Feb 2026, 888 contractors, 126,650 leads)</t>
  </si>
  <si>
    <t xml:space="preserve">Drain/sewer $59 CPL, 39.5% book rate; home-services blended $53, 43.9% book rate. https://searchlightdigital.io/google-local-service-ads-cost-per-lead/</t>
  </si>
  <si>
    <t xml:space="preserve">Valley Marketing Group citing AdAmigo 2026 - Meta ads for contractors</t>
  </si>
  <si>
    <t xml:space="preserve">Meta home-services CPL ~$34; landscaping/plumbing $45-80; call within 5 minutes or leads go cold. https://thevalleymarketinggroup.com/blog/facebook-ads-vs-google-ads-home-service-contractors-2026/</t>
  </si>
  <si>
    <t xml:space="preserve">Pew Research - Americans' Social Media Use 2025 (survey Feb-Jun 2025)</t>
  </si>
  <si>
    <t xml:space="preserve">Ages 50-64: Facebook 79%, YouTube 74%, Instagram 35%. Ages 65+: Facebook 69%, YouTube 55%, Instagram 19%. https://www.pewresearch.org/internet/2025/11/20/americans-social-media-use-2025/</t>
  </si>
  <si>
    <t xml:space="preserve">U.S. Census QuickFacts - East Baton Rouge Parish</t>
  </si>
  <si>
    <t xml:space="preserve">Population 456,180 (2025 est.); 17.4% age 65+; owner-occupied 59.3%; median home value $248,800; 210,707 housing units. https://www.census.gov/quickfacts/eastbatonrougeparishlouisiana</t>
  </si>
  <si>
    <t xml:space="preserve">City-Data / ACS 2024 - ZIP 70808</t>
  </si>
  <si>
    <t xml:space="preserve">Population ~35,700; median home value ~$411-423K; 56% owner-occupied; large 1970-1989 housing stock (original drainage aging out). https://www.city-data.com/zips/70808.html</t>
  </si>
  <si>
    <t xml:space="preserve">BizBuySell - Landscaping &amp; Yard Service valuation benchmarks (945 sold businesses, 2021-2025)</t>
  </si>
  <si>
    <t xml:space="preserve">Median sale price $425,000; median revenue $708,412; median SDE $187,761; revenue multiple 0.70x; SDE multiple 2.46x. https://www.bizbuysell.com/learning-center/valuation-benchmarks/landscaping-yard-service/</t>
  </si>
  <si>
    <t xml:space="preserve">BLS OEWS May 2023 - Baton Rouge MSA</t>
  </si>
  <si>
    <t xml:space="preserve">Landscaping workers mean $16.80/h; construction laborers $20.43/h; operating engineers $32.26/h. https://www.bls.gov/oes/2023/may/oes_12940.htm</t>
  </si>
  <si>
    <t xml:space="preserve">Higrovi 2026 missed-call report / Hicira</t>
  </si>
  <si>
    <t xml:space="preserve">27% of home-services calls unanswered; 85% of unreachable callers don't call back; 5-minute response = 21x qualification. https://www.higrovi.com/blog/contractor-missed-call-report-2026</t>
  </si>
  <si>
    <t xml:space="preserve">Moasure - export formats</t>
  </si>
  <si>
    <t xml:space="preserve">PDF (with elevations, scale, logo), DXF/DWG, CSV point cloud (x,y,z), PNG/JPG/SVG. No public API; Command imports the CSV/PDF. https://www.moasure.com/pages/features-export</t>
  </si>
  <si>
    <t xml:space="preserve">WSJ Prime rate (Sept 15, 2026)</t>
  </si>
  <si>
    <t xml:space="preserve">6.75%, unchanged since the December 2025 cut (7.50% a year earlier). Every SBA rate cap in this workbook is prime plus a spread. https://www.bankrate.com/rates/interest-rates/wall-street-prime-rate/</t>
  </si>
  <si>
    <t xml:space="preserve">SBA 7(a) rate caps and terms (SBA, current)</t>
  </si>
  <si>
    <t xml:space="preserve">Variable caps over prime: &lt;=$50K +6.5%; $50,001-$250,000 +6.0%; $250,001-$350,000 +4.5%; &gt;$350,000 +3.0%. Guaranty 85% at or below $150,000, 75% above. Max loan $5M. Working capital 10 years or less; equipment to useful life. No prepayment penalty under a 15-year maturity. https://www.sba.gov/partners/lenders/7a-loan-program/terms-conditions-eligibility</t>
  </si>
  <si>
    <t xml:space="preserve">SBA FY2026 guaranty fee schedule (Information Notice 5000-872051, eff. Aug 28, 2025)</t>
  </si>
  <si>
    <t xml:space="preserve">&lt;=$150,000: 2.00%. $150,001-$700,000: 3.00%. $700,001-$1M: 3.50%. &gt;$1M: 3.75%. Annual service fee 0.55% of the guaranteed balance. The step at $150,001 is why the raise is sized at $150,000 flat. https://www.naggl.org/fy-2026-loan-fees-and-clarification-of-fee-calculation-for-multiple-wcp-or-ewcp-loans/</t>
  </si>
  <si>
    <t xml:space="preserve">SBA coverage ratio and the October 1, 2026 rule change</t>
  </si>
  <si>
    <t xml:space="preserve">7(a) Small Loans require DSCR &gt;= 1.1:1 on a historical AND/OR projected basis (SBA Procedural Notice 5000-875701, eff. March 1, 2026 - the same notice retired the FICO SBSS minimum). SOP 50 10 8.1 applies to any loan given an SBA number on or after Oct 1, 2026; under its Appendix 15 a change of ownership is tested at 1.25x on HISTORICAL cash flow with projections not usable. Keeping the raise a plain expansion loan to the existing entity preserves the projection-based test. https://www.sba.gov/document/procedural-notice-5000-875701-sunset-sbss-score-7a-small-loans and https://www.doeren.com/viewpoint/sop-50-10-8-1-what-sba-lenders-should-be-thinking-about-before-oct-1</t>
  </si>
  <si>
    <t xml:space="preserve">Louisiana SSBCI - Small Business Loan Guaranty (LED)</t>
  </si>
  <si>
    <t xml:space="preserve">State guarantees up to 80% of a bank loan or $1.5M, fee 0-2%, 15% minimum equity for an existing business, no application fee. Job test: 1 job at or below $100K, 2 jobs above. Equipment, working capital, inventory all eligible; refinancing is not. A Louisiana bank originates and files it. LEDSSBCI2@la.gov, 225.342.3000. Collateral Support pledges up to $250,000 cash behind a loan where collateral falls short. https://www.louisianassbci.com/programs/small-business-loan-guaranty/ (note: the legacy LEDC page still states 75% / 1-4% - confirm current terms in writing)</t>
  </si>
  <si>
    <t xml:space="preserve">Equipment finance market, 2026</t>
  </si>
  <si>
    <t xml:space="preserve">Banks and credit unions 6-12% for strong credit; alternative lenders 10-25%; well-qualified borrowers 6-14%. Terms 12-60 months, most fixed, many programs with no down payment. Application-only up to $150,000-$250,000 with no financial statements. https://dimensionfunding.com/equipment-financing-rates-in-2026/</t>
  </si>
  <si>
    <t xml:space="preserve">Bobcat financing promotion (verified Sept 17, 2026; expires Sept 30, 2026)</t>
  </si>
  <si>
    <t xml:space="preserve">Compact loaders 0% for 60 months OR up to $10,000 cash in lieu; compact excavators 0% for 48 months OR up to $8,000 in lieu. Forgoing an $8,000 rebate on an $85,000 excavator to take the 0%/48 is an implied 4.93% APR; the loader case is 5.78%. The 0% is cheap, not free. https://bobcatofhouston.com/current-promotions/</t>
  </si>
  <si>
    <t xml:space="preserve">Section 179 and bonus depreciation, 2026</t>
  </si>
  <si>
    <t xml:space="preserve">Section 179 limit $2,560,000, phase-out from $4,090,000. Bonus depreciation 100%, permanent for qualified property acquired and placed in service after January 19, 2025. Section 179 is capped at business taxable income; bonus is not. A $1-buyout lease or a straight loan qualifies - a fair-market-value lease does not. https://www.section179.org/section_179_deduction/</t>
  </si>
  <si>
    <t xml:space="preserve">Merchant cash advance pricing and enforcement</t>
  </si>
  <si>
    <t xml:space="preserve">Factor rates 1.09-1.5+, stated APR equivalents 30-350%+, terms 3-36 months, holdback 10-20% of daily receipts; default rates estimated 10-25%. Worked APRs: 1.22 over 12 months = 41%; 1.35 over 9 months = 84%; 1.49 over 6 months = 171%. New York AG judgment against Yellowstone Capital, Jan 16, 2025: over $1 billion, $534 million of merchant debt cancelled, permanent industry ban. Louisiana HB 470 (eff. Aug 1, 2025) requires written disclosure of total dollar cost on revenue-based financing of any size - but not APR. https://www.nav.com/business-financing-options/merchant-cash-advance/ and https://ag.ny.gov/resources/individuals/credit-debt-lending/yellowstone-settlement</t>
  </si>
  <si>
    <t xml:space="preserve">BizBuySell valuation benchmarks by category (closed sales, 2021-2025)</t>
  </si>
  <si>
    <t xml:space="preserve">Landscaping &amp; yard service, 945 sales: median revenue $708,412, median SDE $187,761, SDE multiple 2.30x (lower quartile 1.70x, upper quartile 3.01x), revenue multiple 0.63x. Plumbing, 226 sales: 2.24x SDE. Pest control - the most contract-recurring home service - 2.04x SDE but 0.96x revenue. The recurring premium shows up in the revenue multiple, not the earnings multiple. https://www.bizbuysell.com/learning-center/valuation-benchmarks/landscaping-yard-service/</t>
  </si>
  <si>
    <t xml:space="preserve">IBBA / M&amp;A Source Market Pulse Q1 2026 (300 advisors, 203 closed transactions)</t>
  </si>
  <si>
    <t xml:space="preserve">Median multiples by size: under $500K 2.0x SDE; $500K-$1M 2.8x SDE; $1M-$2M 3.0x SDE; $2M-$5M 4.0x EBITDA; $5M-$50M 4.5x EBITDA (5.8x in Q2 2026). Cash at close in the $2M-$5M band 76%, seller financing ~15%. Deals under $500K draw 1-2 offers; deals over $5M draw 3+ offers 87% of the time. https://wabusinessbrokers.com/wp-content/uploads/2026/05/Q1-2026-IBBA-Market-Pulse-Report-Exec-Summary-compressed-with-logo.pdf</t>
  </si>
  <si>
    <t xml:space="preserve">Profits interest - the structure for Ned's stake</t>
  </si>
  <si>
    <t xml:space="preserve">An LLC profits interest gives a share of future profit and future appreciation above a hurdle set at the company's value on the grant date, with no claim on value below it. Rev. Proc. 93-27: not a taxable event to either party at grant. Rev. Proc. 2001-43 covers unvested grants. File an 83(b) election immediately even though not technically required. The holder becomes a partner, receives a K-1 and pays self-employment tax; proceeds above the hurdle are capital gain; the company gets no deduction. A CPA should price the hurdle contemporaneously. https://www.thetaxadviser.com/issues/2025/jan/profits-interests-the-most-tax-efficient-equity-grant-to-employees/</t>
  </si>
  <si>
    <t xml:space="preserve">Seller notes on standby (SBA SOP 50 10 8, eff. June 1, 2025)</t>
  </si>
  <si>
    <t xml:space="preserve">A seller note must be on FULL STANDBY for the entire term of the SBA loan to count toward a buyer's equity injection - typically no principal and no interest for ten years. Any year-5 or year-10 exit financed by an SBA buyer must be modelled with this haircut. https://www.pioneercapitaladvisory.com/post/investor-equity-sba-7a-sop-50-10-8-1-new-rules-vs-old-rules</t>
  </si>
  <si>
    <t xml:space="preserve">BLS OEWS May 2025 - Baton Rouge MSA, the wage ladder this model prices against</t>
  </si>
  <si>
    <t xml:space="preserve">Hourly medians: construction labourers $18.58 (75th $22.72, 90th $28.45, mean $20.48, 6,300 jobs); operating engineers and equipment operators $27.99 (mean $28.30, 2,260 jobs); first-line construction supervisors $37.92; landscaping workers $17.43. The operator premium over a labourer is 51%, or $9.41/hr - the single largest structural wage lever available, and cheaper to create by cross-training than by hiring. Construction and extraction location quotient for Baton Rouge is 1.99: the metro is nearly twice as construction-intensive as the nation, so the crews compete with petrochemical turnaround work. https://www.bls.gov/regions/southwest/news-release/occupationalemploymentandwages_batonrouge.htm</t>
  </si>
  <si>
    <t xml:space="preserve">QCEW - East Baton Rouge Parish, specialty trade contractors (NAICS 238) - THE CORRECTION</t>
  </si>
  <si>
    <t xml:space="preserve">Average weekly wage $1,320 (2019) to $1,586 (2024), +20.2%, a realized 3.75%/yr. This BEATS the 3.5% escalator in this workbook and refutes the '2.45% Louisiana haircut' earlier versions relied on. https://data.bls.gov/cew/data/api/2024/a/area/22033.csv</t>
  </si>
  <si>
    <t xml:space="preserve">BLS Occupational Outlook 2025-35 - the automation reality check</t>
  </si>
  <si>
    <t xml:space="preserve">Construction labourers +6% employment (about 137,000 openings a year); construction equipment operators +4% (about 42,500 openings a year, median $59,600). All-occupations average is +3%. BLS models automation, and still projects these jobs growing FASTER than average. https://www.bls.gov/ooh/construction-and-extraction/construction-laborers-and-helpers.htm</t>
  </si>
  <si>
    <t xml:space="preserve">Acemoglu &amp; Restrepo, 'Robots and Jobs' (NBER w23285 / JPE 2020) - and why it does not transfer</t>
  </si>
  <si>
    <t xml:space="preserve">One more robot per 1,000 workers cut wages 0.25-0.5%, 1990-2007. But 39% of the robots studied were automotive and 19% electronics: the mechanism is a fixed machine repeating one motion on a line. Autor &amp; Thompson ('Expertise', 2025) predict the opposite where remaining tasks need judgment in unstructured settings - which is residential drainage exactly. https://www.nber.org/papers/w23285</t>
  </si>
  <si>
    <t xml:space="preserve">Stanford Digital Economy Lab, 'Canaries in the Coal Mine' (Nov 2025) - where displacement actually shows up</t>
  </si>
  <si>
    <t xml:space="preserve">ADP payroll records, 3.5-5M workers a month, Jan 2021 to Sep 2025: employment for 22-25 year olds in the most AI-exposed occupations fell about 6%, software developers aged 22-25 about 20%. Adjustment appeared in EMPLOYMENT, not pay. Occupations named: software developers, customer service reps, marketing and sales managers. Least affected: physical work. https://digitaleconomy.stanford.edu/app/uploads/2025/11/CanariesintheCoalMine_Nov25.pdf</t>
  </si>
  <si>
    <t xml:space="preserve">Anthropic Economic Index (June 2026)</t>
  </si>
  <si>
    <t xml:space="preserve">Computer and mathematical occupations are about 30% of AI usage against 4% of US employment; management about 23% against 7%. Construction and extraction is largely absent from usage. https://www.anthropic.com/research/economic-index-june-2026-report</t>
  </si>
  <si>
    <t xml:space="preserve">NBER w35129 - immigration enforcement and construction labour supply</t>
  </si>
  <si>
    <t xml:space="preserve">Enforcement cut the employment rate of likely-undocumented workers in affected sectors by 1.8 percentage points, 3.5 for men, with more than 7 workers leaving employment per detention. Immigrants were 26.3% of the US construction workforce in 2024 and 43% of construction labourers. Louisiana's share is lower than Texas or Florida, which means the pressure arrives as spillover bidding for Gulf South crews. A supply contraction raises wages. https://news.constructconnect.com/ice-enforcement-cut-construction-labor-supply-nber-paper-finds</t>
  </si>
  <si>
    <t xml:space="preserve">Love (2026), ASCE Journal of Construction Engineering and Management - THE REWORK CORRECTION</t>
  </si>
  <si>
    <t xml:space="preserve">Measured real contractor cost data: rework before completion averaged 0.38% of contract value (range 0.01-3.67%); including post-completion corrections, 0.76% (range 0.02-7.34%). The 12%+ figures in the older literature conflated rework with change orders. Earlier documents in this set quoted 2-20% and have been corrected. https://www.asce.org/publications-and-news/civil-engineering-source/article/2026/01/22/how-much-does-field-rework-in-construction-actually-cost</t>
  </si>
  <si>
    <t xml:space="preserve">JOLTS July 2026 and the cost of losing a crew member</t>
  </si>
  <si>
    <t xml:space="preserve">Construction total separations 3.9% a month against 3.5% for total private - roughly 47% annualized churn. Replacement cost at about 21% of annual salary (Center for American Progress meta-analysis) is roughly $9,600 for a $22/hr crew member. At eight crews, halving separations is worth $50,000-$100,000 a year in avoided replacement cost alone. https://www.bls.gov/news.release/jolts.t03.htm</t>
  </si>
  <si>
    <t xml:space="preserve">Built Robotics, Caterpillar, Bobcat - what autonomous earthmoving actually requires (verified Sept 2026)</t>
  </si>
  <si>
    <t xml:space="preserve">Built Robotics' autonomous trenching Exosystem retrofits 15-50 TONNE excavators; a mini excavator is 1.5-9 tonnes. Built has publicly pivoted from general construction to utility-scale solar piling. Cat Command runs on the 313-395 class, not on 301.5-310 minis. Bobcat's RogueX, RogueX2 and RX3 are concept machines with no production date - dealer listings carry no price and no inventory. No vendor markets a residential product. https://www.builtrobotics.com/solutions/trenching</t>
  </si>
  <si>
    <t xml:space="preserve">Grade control - the one automation that is actually buyable</t>
  </si>
  <si>
    <t xml:space="preserve">Cat E-Fence/Indicate about $5,000 on a 6-9 tonne compact excavator, dealer-installed in under four hours. Bobcat Depth Check is a factory option on the E32/E35/E42/E45/E50/E55 class at +/- 0.5 inch, running on the existing panel. Trimble extended Earthworks to mini excavators with swing boom in May 2026, aimed at underground utilities. CAUTION: Trimble's own productivity study page publishes no percentages, and no independent study exists - every figure in circulation is vendor-funded. Model it from Charlie's own callback rate. https://compactequip.com/mini-excavators/entry-level-grade-control-options-for-mini-excavators-that-wont-break-the-bank/</t>
  </si>
  <si>
    <t xml:space="preserve">Autonomous mowing consolidated rather than commoditized</t>
  </si>
  <si>
    <t xml:space="preserve">Scythe Robotics was acquired by Autonomous Solutions Inc. in March 2026; Electric Sheep was acquired by Oso Electric Equipment. Two of the best-funded venture players exiting inside about twelve months is evidence the standalone economics were harder than projected. Both products are confined to large open acreage, which is not this market. https://asirobots.com/asi-robots-acquires-scythe-robotics-to-expand-autonomous-equipment-across-landscaping-construction-and-agriculture/</t>
  </si>
  <si>
    <t xml:space="preserve">BrightLocal Local Consumer Review Survey 2026 - the lead-generation shift</t>
  </si>
  <si>
    <t xml:space="preserve">45% of US consumers used an AI tool for a local business recommendation in the past 12 months, up from 6% the year before - now the third most common source after Google and Facebook. But 88% verify the AI's recommendation against reviews and profiles before acting. AI is a discovery layer; reputation still decides the sale. https://www.brightlocal.com/research/local-consumer-review-survey/</t>
  </si>
  <si>
    <t xml:space="preserve">Google LSA cost per lead holds, and LSAs are moving into Google Ads</t>
  </si>
  <si>
    <t xml:space="preserve">SearchLight Digital, Feb 2026, $6.72M of spend across 888 contractors: home-services average $53 per lead; plumbing $35-65, HVAC $30-70, roofing $55-90. The $59 in this workbook is defensible to about 2028. Separately, AI Overviews now appear on about 48% of tracked queries (up from 31% a year earlier) and ChatGPT surfaces only about 1.2% of local business locations against 35.9% for Google's local pack. Google is migrating Local Services Ads into the main Google Ads platform from 2026. https://thevalleymarketinggroup.com/blog/google-local-services-ads-cost-per-lead-2026/</t>
  </si>
  <si>
    <t xml:space="preserve">AI voice agents for home services - real pricing, Sept 2026</t>
  </si>
  <si>
    <t xml:space="preserve">Jobber AI Receptionist $99/mo; Goodcall $66-208/mo annual; OnCrew $49-349/mo; Sameday AI $449-789/mo; Smith.ai $95-300/mo plus per call; Avoca and ServiceTitan Virtual Agent are quote-only and priced for 20+ CSR shops. NOTE: Sameday's list price rose 29-41% between mid-2024 and 2026 - this category is not deflating. Every published booking-rate improvement is a vendor-hosted testimonial, not an independent study. https://pipelineon.com/blog/ai-receptionist-contractor/</t>
  </si>
  <si>
    <t xml:space="preserve">METR randomized trial - the honest number on AI-assisted development</t>
  </si>
  <si>
    <t xml:space="preserve">Experienced open-source developers were 19% SLOWER with AI tools on real tasks in their own repositories, while self-reporting they were 20% faster. The February 2026 update softened it (-18% original participants, -4% new recruits, both confidence intervals crossing zero) and METR is redesigning the experiment. This is about experts in mature codebases, not a non-professional building greenfield internal tooling - but it is the reason to budget for maintenance, a security review before the app holds customer data, and the bus-factor risk. https://metr.org/blog/2025-07-10-early-2025-ai-experienced-os-dev-study/</t>
  </si>
  <si>
    <t xml:space="preserve">Angi Q2 2026 - the lead marketplace is losing power, not gaining it</t>
  </si>
  <si>
    <t xml:space="preserve">Revenue $248.0M, down 11% year over year; operating loss $233.7M driven by a $235.2M goodwill and intangible impairment, against +$17.7M operating income a year earlier; total leads 4.8M, down 13%; average monthly active pros 106,000, down 17%. A marketplace shedding 17% of its pros cannot extract rent from a licensed local contractor with its own brand. The threat is not Angi taking the customer - it is Angi's decline pushing acquisition cost toward Google and AI search, where review density wins. https://ir.angi.com/static-files/10f1742d-8741-49ca-81f5-c8e8f261b3ac</t>
  </si>
  <si>
    <t xml:space="preserve">IBBA / M&amp;A Source Market Pulse Q2 2026 - and the absence of an AI premium</t>
  </si>
  <si>
    <t xml:space="preserve">The $5M-$50M band rose to 5.8x EBITDA, the highest since Q1 2022; 87% of deals above $5M drew three or more offers; sellers received 83-92% cash at close. Sub-$2M Main Street still favours buyers. Critically, advisors were asked directly about AI's effect on valuations: 67% report NO material impact, 15% say too early, 12% modest upside, 3% downside. This is why no AI premium has been added to the multiples in this workbook - any real margin gain already flows through SDE and EBITDA and would be double-counted. https://www.prnewswire.com/news-releases/the-market-pulse-survey-q2-2026-reports-the-latest-trends-in-business-sales-up-to-50m-302858664.html</t>
  </si>
  <si>
    <t xml:space="preserve">AI adoption in the trades is still early - which is why the office saving is real but slow</t>
  </si>
  <si>
    <t xml:space="preserve">ServiceTitan's 2026 State of AI in the Trades (n=1,032): only 12% have embedded AI, 34% are experimenting; among users 62% report measurable gains. Their 2026 residential report (n=1,000+): 25% use AI meaningfully and about half do not trust it. NFIB 2025: only 24% of small employers use AI at all. BizBuySell Q1 2026: among owners using AI, 69% report no staffing change and only 8% are reducing roles. https://www.servicetitan.com/guides/2026-ai-in-the-trades</t>
  </si>
  <si>
    <t xml:space="preserve">Louisiana licensing - the moat AI does not touch</t>
  </si>
  <si>
    <t xml:space="preserve">LSLBC requires a Residential Building Contractor licence above $50,000, Home Improvement registration for $7,500-$50,000, a $50,000 minimum net worth, $100,000 minimum liability insurance, workers' compensation and a Business and Law exam - and maintains a dedicated Culverts and Drainage Structures classification. AI lowers the cost of finding and quoting work. It does not lower the cost of digging a trench in Baton Rouge clay, and it does not issue a licence. https://lslbc.gov/classifications_list/culverts-and-drainage-structures/</t>
  </si>
  <si>
    <t xml:space="preserve">Model conventions</t>
  </si>
  <si>
    <t xml:space="preserve">Revenue recognized in month of install; 30% deposit at signing, 90% of balance in month of completion, 10% the following month. Payroll burden 18% is an estimate - replace with actual workers' comp rate. No income tax modeled (pass-through LLC). Crew 2 equipment: Crew 1 already owns its trailer, skid steer and mini excavator; Crew 2's mini-ex and skid steer are rented for 3 months then bought (80% financed, 9%, 60 months); trailer, truck and tools bought at start.</t>
  </si>
</sst>
</file>

<file path=xl/styles.xml><?xml version="1.0" encoding="utf-8"?>
<styleSheet xmlns="http://schemas.openxmlformats.org/spreadsheetml/2006/main">
  <numFmts count="8">
    <numFmt numFmtId="164" formatCode="General"/>
    <numFmt numFmtId="165" formatCode="#,##0;\(#,##0\);\-"/>
    <numFmt numFmtId="166" formatCode="\$#,##0;&quot;($&quot;#,##0\);\-"/>
    <numFmt numFmtId="167" formatCode="0.0%"/>
    <numFmt numFmtId="168" formatCode="0.00"/>
    <numFmt numFmtId="169" formatCode="\$0.00"/>
    <numFmt numFmtId="170" formatCode="@"/>
    <numFmt numFmtId="171" formatCode="0.00%"/>
  </numFmts>
  <fonts count="1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i val="true"/>
      <sz val="9"/>
      <name val="Arial"/>
      <family val="0"/>
      <charset val="1"/>
    </font>
    <font>
      <b val="true"/>
      <sz val="11"/>
      <color rgb="FF1F5A6E"/>
      <name val="Arial"/>
      <family val="0"/>
      <charset val="1"/>
    </font>
    <font>
      <sz val="10"/>
      <color rgb="FF0000FF"/>
      <name val="Arial"/>
      <family val="0"/>
      <charset val="1"/>
    </font>
    <font>
      <sz val="9"/>
      <color rgb="FF46524E"/>
      <name val="Arial"/>
      <family val="0"/>
      <charset val="1"/>
    </font>
    <font>
      <sz val="10"/>
      <name val="Arial"/>
      <family val="0"/>
      <charset val="1"/>
    </font>
    <font>
      <b val="true"/>
      <sz val="10"/>
      <name val="Arial"/>
      <family val="0"/>
      <charset val="1"/>
    </font>
    <font>
      <sz val="10"/>
      <color rgb="FF008000"/>
      <name val="Arial"/>
      <family val="0"/>
      <charset val="1"/>
    </font>
    <font>
      <i val="true"/>
      <sz val="9"/>
      <color rgb="FF46524E"/>
      <name val="Arial"/>
      <family val="0"/>
      <charset val="1"/>
    </font>
    <font>
      <b val="true"/>
      <sz val="12"/>
      <color rgb="FF1F5A6E"/>
      <name val="Arial"/>
      <family val="0"/>
      <charset val="1"/>
    </font>
    <font>
      <i val="true"/>
      <sz val="9"/>
      <color rgb="FFB0771B"/>
      <name val="Arial"/>
      <family val="0"/>
      <charset val="1"/>
    </font>
    <font>
      <b val="true"/>
      <sz val="9.5"/>
      <color rgb="FF1F5A6E"/>
      <name val="Arial"/>
      <family val="0"/>
      <charset val="1"/>
    </font>
  </fonts>
  <fills count="6">
    <fill>
      <patternFill patternType="none"/>
    </fill>
    <fill>
      <patternFill patternType="gray125"/>
    </fill>
    <fill>
      <patternFill patternType="solid">
        <fgColor rgb="FFD8E7EC"/>
        <bgColor rgb="FFEEF1EF"/>
      </patternFill>
    </fill>
    <fill>
      <patternFill patternType="solid">
        <fgColor rgb="FFFFFF00"/>
        <bgColor rgb="FFFFFF00"/>
      </patternFill>
    </fill>
    <fill>
      <patternFill patternType="solid">
        <fgColor rgb="FFEEF1EF"/>
        <bgColor rgb="FFF6E9CF"/>
      </patternFill>
    </fill>
    <fill>
      <patternFill patternType="solid">
        <fgColor rgb="FFF6E9CF"/>
        <bgColor rgb="FFEEF1EF"/>
      </patternFill>
    </fill>
  </fills>
  <borders count="2">
    <border diagonalUp="false" diagonalDown="false">
      <left/>
      <right/>
      <top/>
      <bottom/>
      <diagonal/>
    </border>
    <border diagonalUp="false" diagonalDown="false">
      <left/>
      <right/>
      <top style="thin">
        <color rgb="FF16211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8" fillId="3" borderId="0" xfId="0" applyFont="true" applyBorder="false" applyAlignment="true" applyProtection="true">
      <alignment horizontal="general" vertical="bottom" textRotation="0" wrapText="false" indent="0" shrinkToFit="false"/>
      <protection locked="false" hidden="false"/>
    </xf>
    <xf numFmtId="166" fontId="8" fillId="3" borderId="0" xfId="0" applyFont="true" applyBorder="false" applyAlignment="true" applyProtection="true">
      <alignment horizontal="general" vertical="bottom" textRotation="0" wrapText="false" indent="0" shrinkToFit="false"/>
      <protection locked="false" hidden="false"/>
    </xf>
    <xf numFmtId="166" fontId="8" fillId="0" borderId="0" xfId="0" applyFont="true" applyBorder="false" applyAlignment="true" applyProtection="true">
      <alignment horizontal="general" vertical="bottom" textRotation="0" wrapText="false" indent="0" shrinkToFit="false"/>
      <protection locked="false" hidden="false"/>
    </xf>
    <xf numFmtId="164" fontId="8" fillId="0" borderId="0" xfId="0" applyFont="true" applyBorder="false" applyAlignment="true" applyProtection="true">
      <alignment horizontal="general" vertical="bottom" textRotation="0" wrapText="false" indent="0" shrinkToFit="false"/>
      <protection locked="false" hidden="false"/>
    </xf>
    <xf numFmtId="165" fontId="8" fillId="0" borderId="0" xfId="0" applyFont="true" applyBorder="false" applyAlignment="true" applyProtection="true">
      <alignment horizontal="general" vertical="bottom" textRotation="0" wrapText="false" indent="0" shrinkToFit="false"/>
      <protection locked="false" hidden="false"/>
    </xf>
    <xf numFmtId="167" fontId="8" fillId="0" borderId="0" xfId="0" applyFont="true" applyBorder="false" applyAlignment="true" applyProtection="true">
      <alignment horizontal="general" vertical="bottom" textRotation="0" wrapText="false" indent="0" shrinkToFit="false"/>
      <protection locked="false" hidden="false"/>
    </xf>
    <xf numFmtId="167" fontId="8" fillId="3" borderId="0" xfId="0" applyFont="true" applyBorder="false" applyAlignment="true" applyProtection="true">
      <alignment horizontal="general" vertical="bottom" textRotation="0" wrapText="false" indent="0" shrinkToFit="false"/>
      <protection locked="false" hidden="false"/>
    </xf>
    <xf numFmtId="168" fontId="10" fillId="0" borderId="0" xfId="0" applyFont="true" applyBorder="false" applyAlignment="true" applyProtection="true">
      <alignment horizontal="general" vertical="bottom" textRotation="0" wrapText="false" indent="0" shrinkToFit="false"/>
      <protection locked="true" hidden="true"/>
    </xf>
    <xf numFmtId="166" fontId="10" fillId="0" borderId="0" xfId="0" applyFont="true" applyBorder="false" applyAlignment="true" applyProtection="true">
      <alignment horizontal="general" vertical="bottom" textRotation="0" wrapText="false" indent="0" shrinkToFit="false"/>
      <protection locked="true" hidden="tru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true"/>
    </xf>
    <xf numFmtId="165" fontId="11" fillId="0" borderId="0" xfId="0" applyFont="true" applyBorder="false" applyAlignment="true" applyProtection="true">
      <alignment horizontal="general" vertical="bottom" textRotation="0" wrapText="false" indent="0" shrinkToFit="false"/>
      <protection locked="true" hidden="true"/>
    </xf>
    <xf numFmtId="167" fontId="10" fillId="0" borderId="0" xfId="0" applyFont="true" applyBorder="false" applyAlignment="true" applyProtection="true">
      <alignment horizontal="general" vertical="bottom" textRotation="0" wrapText="false" indent="0" shrinkToFit="false"/>
      <protection locked="true" hidden="true"/>
    </xf>
    <xf numFmtId="166" fontId="11" fillId="0" borderId="0" xfId="0" applyFont="true" applyBorder="false" applyAlignment="true" applyProtection="true">
      <alignment horizontal="general" vertical="bottom" textRotation="0" wrapText="false" indent="0" shrinkToFit="false"/>
      <protection locked="true" hidden="true"/>
    </xf>
    <xf numFmtId="166" fontId="11" fillId="0" borderId="1" xfId="0" applyFont="true" applyBorder="true" applyAlignment="true" applyProtection="true">
      <alignment horizontal="general" vertical="bottom" textRotation="0" wrapText="false" indent="0" shrinkToFit="false"/>
      <protection locked="true" hidden="true"/>
    </xf>
    <xf numFmtId="165" fontId="12" fillId="0" borderId="0" xfId="0" applyFont="true" applyBorder="false" applyAlignment="true" applyProtection="true">
      <alignment horizontal="general" vertical="bottom" textRotation="0" wrapText="false" indent="0" shrinkToFit="false"/>
      <protection locked="true" hidden="true"/>
    </xf>
    <xf numFmtId="166" fontId="12" fillId="0" borderId="0" xfId="0" applyFont="true" applyBorder="false" applyAlignment="true" applyProtection="true">
      <alignment horizontal="general" vertical="bottom" textRotation="0" wrapText="false" indent="0" shrinkToFit="false"/>
      <protection locked="true" hidden="true"/>
    </xf>
    <xf numFmtId="168" fontId="12" fillId="0" borderId="0" xfId="0" applyFont="true" applyBorder="false" applyAlignment="true" applyProtection="true">
      <alignment horizontal="general" vertical="bottom" textRotation="0" wrapText="false" indent="0" shrinkToFit="false"/>
      <protection locked="true" hidden="true"/>
    </xf>
    <xf numFmtId="167" fontId="12" fillId="0" borderId="0" xfId="0" applyFont="true" applyBorder="false" applyAlignment="true" applyProtection="true">
      <alignment horizontal="general" vertical="bottom" textRotation="0" wrapText="false" indent="0" shrinkToFit="false"/>
      <protection locked="true" hidden="true"/>
    </xf>
    <xf numFmtId="164" fontId="11" fillId="4"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false" hidden="false"/>
    </xf>
    <xf numFmtId="166" fontId="10" fillId="0"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false" hidden="false"/>
    </xf>
    <xf numFmtId="169" fontId="12" fillId="0" borderId="0" xfId="0" applyFont="true" applyBorder="false" applyAlignment="true" applyProtection="true">
      <alignment horizontal="general" vertical="bottom" textRotation="0" wrapText="false" indent="0" shrinkToFit="false"/>
      <protection locked="true" hidden="true"/>
    </xf>
    <xf numFmtId="169" fontId="10" fillId="0" borderId="0" xfId="0" applyFont="true" applyBorder="false" applyAlignment="true" applyProtection="true">
      <alignment horizontal="general" vertical="bottom" textRotation="0" wrapText="false" indent="0" shrinkToFit="false"/>
      <protection locked="true" hidden="true"/>
    </xf>
    <xf numFmtId="167" fontId="10" fillId="0" borderId="0" xfId="0" applyFont="true" applyBorder="false" applyAlignment="true" applyProtection="true">
      <alignment horizontal="general" vertical="bottom" textRotation="0" wrapText="false" indent="0" shrinkToFit="false"/>
      <protection locked="true" hidden="false"/>
    </xf>
    <xf numFmtId="170" fontId="10" fillId="0" borderId="0" xfId="0" applyFont="true" applyBorder="false" applyAlignment="true" applyProtection="true">
      <alignment horizontal="general" vertical="bottom" textRotation="0" wrapText="false" indent="0" shrinkToFit="false"/>
      <protection locked="true" hidden="true"/>
    </xf>
    <xf numFmtId="164" fontId="13"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top" textRotation="0" wrapText="tru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true"/>
    </xf>
    <xf numFmtId="168" fontId="14" fillId="0" borderId="0" xfId="0" applyFont="true" applyBorder="false" applyAlignment="true" applyProtection="true">
      <alignment horizontal="general" vertical="bottom" textRotation="0" wrapText="false" indent="0" shrinkToFit="false"/>
      <protection locked="true" hidden="true"/>
    </xf>
    <xf numFmtId="166" fontId="14" fillId="0" borderId="0" xfId="0" applyFont="true" applyBorder="false" applyAlignment="true" applyProtection="true">
      <alignment horizontal="general" vertical="bottom" textRotation="0" wrapText="false" indent="0" shrinkToFit="false"/>
      <protection locked="true" hidden="true"/>
    </xf>
    <xf numFmtId="167" fontId="11" fillId="0" borderId="0" xfId="0" applyFont="true" applyBorder="false" applyAlignment="true" applyProtection="true">
      <alignment horizontal="general" vertical="bottom" textRotation="0" wrapText="false" indent="0" shrinkToFit="false"/>
      <protection locked="true" hidden="true"/>
    </xf>
    <xf numFmtId="164" fontId="15" fillId="0" borderId="0" xfId="0" applyFont="true" applyBorder="tru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general" vertical="bottom" textRotation="0" wrapText="true" indent="0" shrinkToFit="false"/>
      <protection locked="true" hidden="false"/>
    </xf>
    <xf numFmtId="171" fontId="8" fillId="0" borderId="0" xfId="0" applyFont="true" applyBorder="false" applyAlignment="true" applyProtection="true">
      <alignment horizontal="general" vertical="bottom" textRotation="0" wrapText="false" indent="0" shrinkToFit="false"/>
      <protection locked="false" hidden="false"/>
    </xf>
    <xf numFmtId="166" fontId="5" fillId="0" borderId="0" xfId="0" applyFont="true" applyBorder="false" applyAlignment="true" applyProtection="true">
      <alignment horizontal="general" vertical="bottom" textRotation="0" wrapText="false" indent="0" shrinkToFit="false"/>
      <protection locked="true" hidden="true"/>
    </xf>
    <xf numFmtId="164" fontId="9" fillId="0" borderId="0" xfId="0" applyFont="true" applyBorder="false" applyAlignment="true" applyProtection="true">
      <alignment horizontal="general" vertical="top" textRotation="0" wrapText="tru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71" fontId="8" fillId="5" borderId="0" xfId="0" applyFont="true" applyBorder="false" applyAlignment="true" applyProtection="true">
      <alignment horizontal="general" vertical="bottom" textRotation="0" wrapText="false" indent="0" shrinkToFit="false"/>
      <protection locked="false" hidden="false"/>
    </xf>
    <xf numFmtId="168" fontId="8" fillId="5" borderId="0" xfId="0" applyFont="true" applyBorder="false" applyAlignment="true" applyProtection="true">
      <alignment horizontal="general" vertical="bottom" textRotation="0" wrapText="false" indent="0" shrinkToFit="false"/>
      <protection locked="false" hidden="false"/>
    </xf>
    <xf numFmtId="166" fontId="5" fillId="5" borderId="0" xfId="0" applyFont="true" applyBorder="false" applyAlignment="true" applyProtection="true">
      <alignment horizontal="general" vertical="bottom" textRotation="0" wrapText="false" indent="0" shrinkToFit="false"/>
      <protection locked="true" hidden="true"/>
    </xf>
    <xf numFmtId="166" fontId="11" fillId="5" borderId="0" xfId="0" applyFont="true" applyBorder="false" applyAlignment="true" applyProtection="true">
      <alignment horizontal="general" vertical="bottom" textRotation="0" wrapText="false" indent="0" shrinkToFit="false"/>
      <protection locked="true" hidden="true"/>
    </xf>
    <xf numFmtId="164" fontId="10" fillId="0" borderId="0" xfId="0" applyFont="true" applyBorder="true" applyAlignment="true" applyProtection="true">
      <alignment horizontal="general" vertical="top" textRotation="0" wrapText="true" indent="0" shrinkToFit="false"/>
      <protection locked="true" hidden="false"/>
    </xf>
    <xf numFmtId="164" fontId="11" fillId="0" borderId="0" xfId="0" applyFont="true" applyBorder="true" applyAlignment="true" applyProtection="true">
      <alignment horizontal="general" vertical="top" textRotation="0" wrapText="true" indent="0" shrinkToFit="false"/>
      <protection locked="true" hidden="false"/>
    </xf>
    <xf numFmtId="168" fontId="11" fillId="0" borderId="0" xfId="0" applyFont="true" applyBorder="false" applyAlignment="true" applyProtection="true">
      <alignment horizontal="general" vertical="bottom" textRotation="0" wrapText="false" indent="0" shrinkToFit="false"/>
      <protection locked="true" hidden="true"/>
    </xf>
    <xf numFmtId="167" fontId="14" fillId="0" borderId="0" xfId="0" applyFont="true" applyBorder="false" applyAlignment="true" applyProtection="true">
      <alignment horizontal="general" vertical="bottom" textRotation="0" wrapText="false" indent="0" shrinkToFit="false"/>
      <protection locked="true" hidden="true"/>
    </xf>
    <xf numFmtId="164" fontId="7" fillId="5"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F1EF"/>
      <rgbColor rgb="FFFF0000"/>
      <rgbColor rgb="FF00FF00"/>
      <rgbColor rgb="FF0000FF"/>
      <rgbColor rgb="FFFFFF00"/>
      <rgbColor rgb="FFFF00FF"/>
      <rgbColor rgb="FF00FFFF"/>
      <rgbColor rgb="FF800000"/>
      <rgbColor rgb="FF008000"/>
      <rgbColor rgb="FF000080"/>
      <rgbColor rgb="FFB0771B"/>
      <rgbColor rgb="FF800080"/>
      <rgbColor rgb="FF1F5A6E"/>
      <rgbColor rgb="FFC0C0C0"/>
      <rgbColor rgb="FF808080"/>
      <rgbColor rgb="FF9999FF"/>
      <rgbColor rgb="FF993366"/>
      <rgbColor rgb="FFF6E9CF"/>
      <rgbColor rgb="FFD8E7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6211F"/>
      <rgbColor rgb="FF333300"/>
      <rgbColor rgb="FF993300"/>
      <rgbColor rgb="FF993366"/>
      <rgbColor rgb="FF333399"/>
      <rgbColor rgb="FF4652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70"/>
  </cols>
  <sheetData>
    <row r="1" customFormat="false" ht="17.35" hidden="false" customHeight="false" outlineLevel="0" collapsed="false">
      <c r="A1" s="2" t="s">
        <v>0</v>
      </c>
      <c r="B1" s="3"/>
      <c r="C1" s="3"/>
    </row>
    <row r="2" customFormat="false" ht="15" hidden="false" customHeight="false" outlineLevel="0" collapsed="false">
      <c r="A2" s="4" t="s">
        <v>1</v>
      </c>
      <c r="B2" s="3"/>
      <c r="C2" s="3"/>
    </row>
    <row r="3" customFormat="false" ht="15" hidden="false" customHeight="false" outlineLevel="0" collapsed="false">
      <c r="A3" s="3"/>
      <c r="B3" s="3"/>
      <c r="C3" s="3"/>
    </row>
    <row r="4" customFormat="false" ht="15" hidden="false" customHeight="false" outlineLevel="0" collapsed="false">
      <c r="A4" s="5" t="s">
        <v>2</v>
      </c>
      <c r="B4" s="6"/>
      <c r="C4" s="6"/>
    </row>
    <row r="5" customFormat="false" ht="15" hidden="false" customHeight="false" outlineLevel="0" collapsed="false">
      <c r="A5" s="3" t="s">
        <v>3</v>
      </c>
      <c r="B5" s="7" t="n">
        <v>50</v>
      </c>
      <c r="C5" s="8" t="s">
        <v>4</v>
      </c>
    </row>
    <row r="6" customFormat="false" ht="15" hidden="false" customHeight="false" outlineLevel="0" collapsed="false">
      <c r="A6" s="3" t="s">
        <v>5</v>
      </c>
      <c r="B6" s="9" t="n">
        <v>400</v>
      </c>
      <c r="C6" s="8" t="s">
        <v>6</v>
      </c>
    </row>
    <row r="7" customFormat="false" ht="15" hidden="false" customHeight="false" outlineLevel="0" collapsed="false">
      <c r="A7" s="3" t="s">
        <v>7</v>
      </c>
      <c r="B7" s="10" t="n">
        <v>25000</v>
      </c>
      <c r="C7" s="8" t="s">
        <v>8</v>
      </c>
    </row>
    <row r="8" customFormat="false" ht="15" hidden="false" customHeight="false" outlineLevel="0" collapsed="false">
      <c r="A8" s="3" t="s">
        <v>9</v>
      </c>
      <c r="B8" s="9" t="n">
        <v>900</v>
      </c>
      <c r="C8" s="8" t="s">
        <v>10</v>
      </c>
    </row>
    <row r="9" customFormat="false" ht="15" hidden="false" customHeight="false" outlineLevel="0" collapsed="false">
      <c r="A9" s="3" t="s">
        <v>11</v>
      </c>
      <c r="B9" s="11" t="n">
        <v>1500</v>
      </c>
      <c r="C9" s="8" t="s">
        <v>12</v>
      </c>
    </row>
    <row r="10" customFormat="false" ht="15" hidden="false" customHeight="false" outlineLevel="0" collapsed="false">
      <c r="A10" s="3" t="s">
        <v>13</v>
      </c>
      <c r="B10" s="12" t="n">
        <v>21</v>
      </c>
      <c r="C10" s="8"/>
    </row>
    <row r="11" customFormat="false" ht="15" hidden="false" customHeight="false" outlineLevel="0" collapsed="false">
      <c r="A11" s="3" t="s">
        <v>14</v>
      </c>
      <c r="B11" s="7" t="n">
        <v>43</v>
      </c>
      <c r="C11" s="8" t="s">
        <v>15</v>
      </c>
    </row>
    <row r="12" customFormat="false" ht="15" hidden="false" customHeight="false" outlineLevel="0" collapsed="false">
      <c r="A12" s="3" t="s">
        <v>16</v>
      </c>
      <c r="B12" s="11" t="n">
        <v>1000</v>
      </c>
      <c r="C12" s="8" t="s">
        <v>17</v>
      </c>
    </row>
    <row r="13" customFormat="false" ht="15" hidden="false" customHeight="false" outlineLevel="0" collapsed="false">
      <c r="A13" s="3" t="s">
        <v>18</v>
      </c>
      <c r="B13" s="9" t="n">
        <v>900</v>
      </c>
      <c r="C13" s="8" t="s">
        <v>19</v>
      </c>
    </row>
    <row r="14" customFormat="false" ht="15" hidden="false" customHeight="false" outlineLevel="0" collapsed="false">
      <c r="A14" s="3" t="s">
        <v>20</v>
      </c>
      <c r="B14" s="7" t="n">
        <v>1</v>
      </c>
      <c r="C14" s="8" t="s">
        <v>21</v>
      </c>
    </row>
    <row r="15" customFormat="false" ht="15" hidden="false" customHeight="false" outlineLevel="0" collapsed="false">
      <c r="A15" s="3" t="s">
        <v>22</v>
      </c>
      <c r="B15" s="13" t="n">
        <v>900</v>
      </c>
      <c r="C15" s="8" t="s">
        <v>23</v>
      </c>
    </row>
    <row r="16" customFormat="false" ht="15" hidden="false" customHeight="false" outlineLevel="0" collapsed="false">
      <c r="A16" s="3" t="s">
        <v>24</v>
      </c>
      <c r="B16" s="13" t="n">
        <v>900</v>
      </c>
      <c r="C16" s="8" t="s">
        <v>25</v>
      </c>
    </row>
    <row r="17" customFormat="false" ht="15" hidden="false" customHeight="false" outlineLevel="0" collapsed="false">
      <c r="A17" s="3" t="s">
        <v>26</v>
      </c>
      <c r="B17" s="13" t="n">
        <v>100</v>
      </c>
      <c r="C17" s="8" t="s">
        <v>27</v>
      </c>
    </row>
    <row r="18" customFormat="false" ht="15" hidden="false" customHeight="false" outlineLevel="0" collapsed="false">
      <c r="A18" s="3" t="s">
        <v>28</v>
      </c>
      <c r="B18" s="12" t="n">
        <v>1</v>
      </c>
      <c r="C18" s="8" t="s">
        <v>29</v>
      </c>
    </row>
    <row r="19" customFormat="false" ht="15" hidden="false" customHeight="false" outlineLevel="0" collapsed="false">
      <c r="A19" s="5" t="s">
        <v>30</v>
      </c>
      <c r="B19" s="6"/>
      <c r="C19" s="6"/>
    </row>
    <row r="20" customFormat="false" ht="15" hidden="false" customHeight="false" outlineLevel="0" collapsed="false">
      <c r="A20" s="3" t="s">
        <v>31</v>
      </c>
      <c r="B20" s="7" t="n">
        <v>2</v>
      </c>
      <c r="C20" s="8" t="s">
        <v>32</v>
      </c>
    </row>
    <row r="21" customFormat="false" ht="15" hidden="false" customHeight="false" outlineLevel="0" collapsed="false">
      <c r="A21" s="3" t="s">
        <v>33</v>
      </c>
      <c r="B21" s="14" t="n">
        <v>0.32</v>
      </c>
      <c r="C21" s="8" t="s">
        <v>34</v>
      </c>
    </row>
    <row r="22" customFormat="false" ht="15" hidden="false" customHeight="false" outlineLevel="0" collapsed="false">
      <c r="A22" s="3" t="s">
        <v>35</v>
      </c>
      <c r="B22" s="15" t="n">
        <v>0.2</v>
      </c>
      <c r="C22" s="8" t="s">
        <v>36</v>
      </c>
    </row>
    <row r="23" customFormat="false" ht="15" hidden="false" customHeight="false" outlineLevel="0" collapsed="false">
      <c r="A23" s="3" t="s">
        <v>37</v>
      </c>
      <c r="B23" s="7" t="n">
        <v>22.5</v>
      </c>
      <c r="C23" s="8" t="s">
        <v>38</v>
      </c>
    </row>
    <row r="24" customFormat="false" ht="15" hidden="false" customHeight="false" outlineLevel="0" collapsed="false">
      <c r="A24" s="3" t="s">
        <v>39</v>
      </c>
      <c r="B24" s="12" t="n">
        <v>3</v>
      </c>
      <c r="C24" s="8" t="s">
        <v>40</v>
      </c>
    </row>
    <row r="25" customFormat="false" ht="15" hidden="false" customHeight="false" outlineLevel="0" collapsed="false">
      <c r="A25" s="3" t="s">
        <v>41</v>
      </c>
      <c r="B25" s="15" t="n">
        <v>0.14</v>
      </c>
      <c r="C25" s="8" t="s">
        <v>42</v>
      </c>
    </row>
    <row r="26" customFormat="false" ht="15" hidden="false" customHeight="false" outlineLevel="0" collapsed="false">
      <c r="A26" s="3" t="s">
        <v>43</v>
      </c>
      <c r="B26" s="12" t="n">
        <v>3</v>
      </c>
      <c r="C26" s="8" t="s">
        <v>44</v>
      </c>
    </row>
    <row r="27" customFormat="false" ht="15" hidden="false" customHeight="false" outlineLevel="0" collapsed="false">
      <c r="A27" s="3" t="s">
        <v>45</v>
      </c>
      <c r="B27" s="13" t="n">
        <v>173</v>
      </c>
      <c r="C27" s="8" t="s">
        <v>46</v>
      </c>
    </row>
    <row r="28" customFormat="false" ht="15" hidden="false" customHeight="false" outlineLevel="0" collapsed="false">
      <c r="A28" s="3" t="s">
        <v>47</v>
      </c>
      <c r="B28" s="12" t="n">
        <v>0</v>
      </c>
      <c r="C28" s="8" t="s">
        <v>48</v>
      </c>
    </row>
    <row r="29" customFormat="false" ht="15" hidden="false" customHeight="false" outlineLevel="0" collapsed="false">
      <c r="A29" s="5" t="s">
        <v>49</v>
      </c>
      <c r="B29" s="6"/>
      <c r="C29" s="6"/>
    </row>
    <row r="30" customFormat="false" ht="15" hidden="false" customHeight="false" outlineLevel="0" collapsed="false">
      <c r="A30" s="3" t="s">
        <v>50</v>
      </c>
      <c r="B30" s="10" t="n">
        <v>249</v>
      </c>
      <c r="C30" s="8" t="s">
        <v>51</v>
      </c>
    </row>
    <row r="31" customFormat="false" ht="15" hidden="false" customHeight="false" outlineLevel="0" collapsed="false">
      <c r="A31" s="3" t="s">
        <v>52</v>
      </c>
      <c r="B31" s="15" t="n">
        <v>0.6</v>
      </c>
      <c r="C31" s="8" t="s">
        <v>53</v>
      </c>
    </row>
    <row r="32" customFormat="false" ht="15" hidden="false" customHeight="false" outlineLevel="0" collapsed="false">
      <c r="A32" s="3" t="s">
        <v>54</v>
      </c>
      <c r="B32" s="15" t="n">
        <v>0.5</v>
      </c>
      <c r="C32" s="8" t="s">
        <v>55</v>
      </c>
    </row>
    <row r="33" customFormat="false" ht="15" hidden="false" customHeight="false" outlineLevel="0" collapsed="false">
      <c r="A33" s="3" t="s">
        <v>56</v>
      </c>
      <c r="B33" s="16" t="n">
        <f aca="false">$B$32*1+(1-$B$32)*0.5</f>
        <v>0.75</v>
      </c>
      <c r="C33" s="8" t="s">
        <v>57</v>
      </c>
    </row>
    <row r="34" customFormat="false" ht="15" hidden="false" customHeight="false" outlineLevel="0" collapsed="false">
      <c r="A34" s="3" t="s">
        <v>58</v>
      </c>
      <c r="B34" s="13" t="n">
        <v>150</v>
      </c>
      <c r="C34" s="8" t="s">
        <v>59</v>
      </c>
    </row>
    <row r="35" customFormat="false" ht="15" hidden="false" customHeight="false" outlineLevel="0" collapsed="false">
      <c r="A35" s="3" t="s">
        <v>60</v>
      </c>
      <c r="B35" s="14" t="n">
        <v>0.15</v>
      </c>
      <c r="C35" s="8" t="s">
        <v>61</v>
      </c>
    </row>
    <row r="36" customFormat="false" ht="15" hidden="false" customHeight="false" outlineLevel="0" collapsed="false">
      <c r="A36" s="3" t="s">
        <v>62</v>
      </c>
      <c r="B36" s="12" t="n">
        <v>3</v>
      </c>
      <c r="C36" s="8" t="s">
        <v>63</v>
      </c>
    </row>
    <row r="37" customFormat="false" ht="15" hidden="false" customHeight="false" outlineLevel="0" collapsed="false">
      <c r="A37" s="3" t="s">
        <v>64</v>
      </c>
      <c r="B37" s="12" t="n">
        <v>70</v>
      </c>
      <c r="C37" s="8" t="s">
        <v>65</v>
      </c>
    </row>
    <row r="38" customFormat="false" ht="15" hidden="false" customHeight="false" outlineLevel="0" collapsed="false">
      <c r="A38" s="5" t="s">
        <v>66</v>
      </c>
      <c r="B38" s="6"/>
      <c r="C38" s="6"/>
    </row>
    <row r="39" customFormat="false" ht="15" hidden="false" customHeight="false" outlineLevel="0" collapsed="false">
      <c r="A39" s="3" t="s">
        <v>67</v>
      </c>
      <c r="B39" s="7" t="n">
        <v>10</v>
      </c>
      <c r="C39" s="8" t="s">
        <v>68</v>
      </c>
    </row>
    <row r="40" customFormat="false" ht="15" hidden="false" customHeight="false" outlineLevel="0" collapsed="false">
      <c r="A40" s="3" t="s">
        <v>69</v>
      </c>
      <c r="B40" s="15" t="n">
        <v>0.5</v>
      </c>
      <c r="C40" s="8" t="s">
        <v>70</v>
      </c>
    </row>
    <row r="41" customFormat="false" ht="15" hidden="false" customHeight="false" outlineLevel="0" collapsed="false">
      <c r="A41" s="3" t="s">
        <v>71</v>
      </c>
      <c r="B41" s="7" t="n">
        <v>8</v>
      </c>
      <c r="C41" s="8" t="s">
        <v>72</v>
      </c>
    </row>
    <row r="42" customFormat="false" ht="15" hidden="false" customHeight="false" outlineLevel="0" collapsed="false">
      <c r="A42" s="3" t="s">
        <v>73</v>
      </c>
      <c r="B42" s="15" t="n">
        <v>0.03</v>
      </c>
      <c r="C42" s="8" t="s">
        <v>74</v>
      </c>
    </row>
    <row r="43" customFormat="false" ht="15" hidden="false" customHeight="false" outlineLevel="0" collapsed="false">
      <c r="A43" s="3" t="s">
        <v>75</v>
      </c>
      <c r="B43" s="14" t="n">
        <v>0.08</v>
      </c>
      <c r="C43" s="8" t="s">
        <v>76</v>
      </c>
    </row>
    <row r="44" customFormat="false" ht="15" hidden="false" customHeight="false" outlineLevel="0" collapsed="false">
      <c r="A44" s="3" t="s">
        <v>77</v>
      </c>
      <c r="B44" s="15" t="n">
        <v>0.6</v>
      </c>
      <c r="C44" s="8" t="s">
        <v>78</v>
      </c>
    </row>
    <row r="45" customFormat="false" ht="15" hidden="false" customHeight="false" outlineLevel="0" collapsed="false">
      <c r="A45" s="3" t="s">
        <v>79</v>
      </c>
      <c r="B45" s="10" t="n">
        <v>60000</v>
      </c>
      <c r="C45" s="8" t="s">
        <v>80</v>
      </c>
    </row>
    <row r="46" customFormat="false" ht="15" hidden="false" customHeight="false" outlineLevel="0" collapsed="false">
      <c r="A46" s="3" t="s">
        <v>81</v>
      </c>
      <c r="B46" s="12" t="n">
        <v>7</v>
      </c>
      <c r="C46" s="8" t="s">
        <v>82</v>
      </c>
    </row>
    <row r="47" customFormat="false" ht="15" hidden="false" customHeight="false" outlineLevel="0" collapsed="false">
      <c r="A47" s="3" t="s">
        <v>83</v>
      </c>
      <c r="B47" s="7" t="n">
        <v>2.5</v>
      </c>
      <c r="C47" s="8" t="s">
        <v>84</v>
      </c>
    </row>
    <row r="48" customFormat="false" ht="15" hidden="false" customHeight="false" outlineLevel="0" collapsed="false">
      <c r="A48" s="3" t="s">
        <v>85</v>
      </c>
      <c r="B48" s="7" t="n">
        <v>2.1</v>
      </c>
      <c r="C48" s="8" t="s">
        <v>86</v>
      </c>
    </row>
    <row r="49" customFormat="false" ht="15" hidden="false" customHeight="false" outlineLevel="0" collapsed="false">
      <c r="A49" s="3" t="s">
        <v>87</v>
      </c>
      <c r="B49" s="12" t="n">
        <v>1</v>
      </c>
      <c r="C49" s="8" t="s">
        <v>88</v>
      </c>
    </row>
    <row r="50" customFormat="false" ht="15" hidden="false" customHeight="false" outlineLevel="0" collapsed="false">
      <c r="A50" s="5" t="s">
        <v>89</v>
      </c>
      <c r="B50" s="6"/>
      <c r="C50" s="6"/>
    </row>
    <row r="51" customFormat="false" ht="15" hidden="false" customHeight="false" outlineLevel="0" collapsed="false">
      <c r="A51" s="3" t="s">
        <v>90</v>
      </c>
      <c r="B51" s="12" t="n">
        <v>2</v>
      </c>
      <c r="C51" s="8" t="s">
        <v>91</v>
      </c>
    </row>
    <row r="52" customFormat="false" ht="15" hidden="false" customHeight="false" outlineLevel="0" collapsed="false">
      <c r="A52" s="3" t="s">
        <v>92</v>
      </c>
      <c r="B52" s="12" t="n">
        <v>4</v>
      </c>
      <c r="C52" s="8" t="s">
        <v>93</v>
      </c>
    </row>
    <row r="53" customFormat="false" ht="15" hidden="false" customHeight="false" outlineLevel="0" collapsed="false">
      <c r="A53" s="3" t="s">
        <v>94</v>
      </c>
      <c r="B53" s="12" t="n">
        <v>3</v>
      </c>
      <c r="C53" s="8" t="s">
        <v>95</v>
      </c>
    </row>
    <row r="54" customFormat="false" ht="15" hidden="false" customHeight="false" outlineLevel="0" collapsed="false">
      <c r="A54" s="3" t="s">
        <v>96</v>
      </c>
      <c r="B54" s="13" t="n">
        <v>900</v>
      </c>
      <c r="C54" s="8" t="s">
        <v>97</v>
      </c>
    </row>
    <row r="55" customFormat="false" ht="15" hidden="false" customHeight="false" outlineLevel="0" collapsed="false">
      <c r="A55" s="3" t="s">
        <v>98</v>
      </c>
      <c r="B55" s="11" t="n">
        <v>48000</v>
      </c>
      <c r="C55" s="8"/>
    </row>
    <row r="56" customFormat="false" ht="15" hidden="false" customHeight="false" outlineLevel="0" collapsed="false">
      <c r="A56" s="3" t="s">
        <v>99</v>
      </c>
      <c r="B56" s="11" t="n">
        <v>72000</v>
      </c>
      <c r="C56" s="8"/>
    </row>
    <row r="57" customFormat="false" ht="15" hidden="false" customHeight="false" outlineLevel="0" collapsed="false">
      <c r="A57" s="3" t="s">
        <v>100</v>
      </c>
      <c r="B57" s="11" t="n">
        <v>58000</v>
      </c>
      <c r="C57" s="8"/>
    </row>
    <row r="58" customFormat="false" ht="15" hidden="false" customHeight="false" outlineLevel="0" collapsed="false">
      <c r="A58" s="5" t="s">
        <v>101</v>
      </c>
      <c r="B58" s="6"/>
      <c r="C58" s="6"/>
    </row>
    <row r="59" customFormat="false" ht="15" hidden="false" customHeight="false" outlineLevel="0" collapsed="false">
      <c r="A59" s="3" t="s">
        <v>102</v>
      </c>
      <c r="B59" s="14" t="n">
        <v>0.3</v>
      </c>
      <c r="C59" s="8" t="s">
        <v>103</v>
      </c>
    </row>
    <row r="60" customFormat="false" ht="15" hidden="false" customHeight="false" outlineLevel="0" collapsed="false">
      <c r="A60" s="3" t="s">
        <v>104</v>
      </c>
      <c r="B60" s="14" t="n">
        <v>0.9</v>
      </c>
      <c r="C60" s="8" t="s">
        <v>105</v>
      </c>
    </row>
    <row r="61" customFormat="false" ht="15" hidden="false" customHeight="false" outlineLevel="0" collapsed="false">
      <c r="A61" s="3" t="s">
        <v>106</v>
      </c>
      <c r="B61" s="12" t="n">
        <v>1</v>
      </c>
      <c r="C61" s="8" t="s">
        <v>107</v>
      </c>
    </row>
    <row r="62" customFormat="false" ht="15" hidden="false" customHeight="false" outlineLevel="0" collapsed="false">
      <c r="A62" s="3" t="s">
        <v>108</v>
      </c>
      <c r="B62" s="10" t="n">
        <v>25000</v>
      </c>
      <c r="C62" s="8" t="s">
        <v>109</v>
      </c>
    </row>
    <row r="63" customFormat="false" ht="15" hidden="false" customHeight="false" outlineLevel="0" collapsed="false">
      <c r="A63" s="5" t="s">
        <v>110</v>
      </c>
      <c r="B63" s="6"/>
      <c r="C63" s="6"/>
    </row>
    <row r="64" customFormat="false" ht="15" hidden="false" customHeight="false" outlineLevel="0" collapsed="false">
      <c r="A64" s="3" t="s">
        <v>111</v>
      </c>
      <c r="B64" s="10" t="n">
        <v>900</v>
      </c>
      <c r="C64" s="8" t="s">
        <v>112</v>
      </c>
    </row>
    <row r="65" customFormat="false" ht="15" hidden="false" customHeight="false" outlineLevel="0" collapsed="false">
      <c r="A65" s="3" t="s">
        <v>113</v>
      </c>
      <c r="B65" s="12" t="n">
        <v>59</v>
      </c>
      <c r="C65" s="8" t="s">
        <v>114</v>
      </c>
    </row>
    <row r="66" customFormat="false" ht="15" hidden="false" customHeight="false" outlineLevel="0" collapsed="false">
      <c r="A66" s="3" t="s">
        <v>115</v>
      </c>
      <c r="B66" s="14" t="n">
        <v>0.5</v>
      </c>
      <c r="C66" s="8" t="s">
        <v>116</v>
      </c>
    </row>
    <row r="67" customFormat="false" ht="15" hidden="false" customHeight="false" outlineLevel="0" collapsed="false">
      <c r="A67" s="3" t="s">
        <v>117</v>
      </c>
      <c r="B67" s="10" t="n">
        <v>600</v>
      </c>
      <c r="C67" s="8" t="s">
        <v>118</v>
      </c>
    </row>
    <row r="68" customFormat="false" ht="15" hidden="false" customHeight="false" outlineLevel="0" collapsed="false">
      <c r="A68" s="3" t="s">
        <v>119</v>
      </c>
      <c r="B68" s="12" t="n">
        <v>55</v>
      </c>
      <c r="C68" s="8" t="s">
        <v>120</v>
      </c>
    </row>
    <row r="69" customFormat="false" ht="15" hidden="false" customHeight="false" outlineLevel="0" collapsed="false">
      <c r="A69" s="3" t="s">
        <v>121</v>
      </c>
      <c r="B69" s="14" t="n">
        <v>0.3</v>
      </c>
      <c r="C69" s="8" t="s">
        <v>122</v>
      </c>
    </row>
    <row r="70" customFormat="false" ht="15" hidden="false" customHeight="false" outlineLevel="0" collapsed="false">
      <c r="A70" s="3" t="s">
        <v>123</v>
      </c>
      <c r="B70" s="12" t="n">
        <v>6</v>
      </c>
      <c r="C70" s="8" t="s">
        <v>124</v>
      </c>
    </row>
    <row r="71" customFormat="false" ht="15" hidden="false" customHeight="false" outlineLevel="0" collapsed="false">
      <c r="A71" s="3" t="s">
        <v>125</v>
      </c>
      <c r="B71" s="14" t="n">
        <v>0.06</v>
      </c>
      <c r="C71" s="8" t="s">
        <v>126</v>
      </c>
    </row>
    <row r="72" customFormat="false" ht="15" hidden="false" customHeight="false" outlineLevel="0" collapsed="false">
      <c r="A72" s="3" t="s">
        <v>127</v>
      </c>
      <c r="B72" s="14" t="n">
        <v>0.65</v>
      </c>
      <c r="C72" s="8" t="s">
        <v>128</v>
      </c>
    </row>
    <row r="73" customFormat="false" ht="15" hidden="false" customHeight="false" outlineLevel="0" collapsed="false">
      <c r="A73" s="5" t="s">
        <v>129</v>
      </c>
      <c r="B73" s="6"/>
      <c r="C73" s="6"/>
    </row>
    <row r="74" customFormat="false" ht="15" hidden="false" customHeight="false" outlineLevel="0" collapsed="false">
      <c r="A74" s="3" t="s">
        <v>130</v>
      </c>
      <c r="B74" s="15" t="n">
        <v>0.7</v>
      </c>
      <c r="C74" s="8" t="s">
        <v>131</v>
      </c>
    </row>
    <row r="75" customFormat="false" ht="15" hidden="false" customHeight="false" outlineLevel="0" collapsed="false">
      <c r="A75" s="3" t="s">
        <v>132</v>
      </c>
      <c r="B75" s="7" t="n">
        <v>1.6</v>
      </c>
      <c r="C75" s="8" t="s">
        <v>133</v>
      </c>
    </row>
    <row r="76" customFormat="false" ht="15" hidden="false" customHeight="false" outlineLevel="0" collapsed="false">
      <c r="A76" s="3" t="s">
        <v>134</v>
      </c>
      <c r="B76" s="11" t="n">
        <v>300</v>
      </c>
      <c r="C76" s="8" t="s">
        <v>135</v>
      </c>
    </row>
    <row r="77" customFormat="false" ht="15" hidden="false" customHeight="false" outlineLevel="0" collapsed="false">
      <c r="A77" s="5" t="s">
        <v>136</v>
      </c>
      <c r="B77" s="6"/>
      <c r="C77" s="6"/>
    </row>
    <row r="78" customFormat="false" ht="15" hidden="false" customHeight="false" outlineLevel="0" collapsed="false">
      <c r="A78" s="3" t="s">
        <v>137</v>
      </c>
      <c r="B78" s="10" t="n">
        <v>12500</v>
      </c>
      <c r="C78" s="8" t="s">
        <v>138</v>
      </c>
    </row>
    <row r="79" customFormat="false" ht="15" hidden="false" customHeight="false" outlineLevel="0" collapsed="false">
      <c r="A79" s="3" t="s">
        <v>139</v>
      </c>
      <c r="B79" s="11" t="n">
        <v>900</v>
      </c>
      <c r="C79" s="8" t="s">
        <v>140</v>
      </c>
    </row>
    <row r="80" customFormat="false" ht="15" hidden="false" customHeight="false" outlineLevel="0" collapsed="false">
      <c r="A80" s="3" t="s">
        <v>141</v>
      </c>
      <c r="B80" s="11" t="n">
        <v>1800</v>
      </c>
      <c r="C80" s="8" t="s">
        <v>109</v>
      </c>
    </row>
    <row r="81" customFormat="false" ht="15" hidden="false" customHeight="false" outlineLevel="0" collapsed="false">
      <c r="A81" s="3" t="s">
        <v>142</v>
      </c>
      <c r="B81" s="11" t="n">
        <v>350</v>
      </c>
      <c r="C81" s="8" t="s">
        <v>143</v>
      </c>
    </row>
    <row r="82" customFormat="false" ht="15" hidden="false" customHeight="false" outlineLevel="0" collapsed="false">
      <c r="A82" s="3" t="s">
        <v>144</v>
      </c>
      <c r="B82" s="11" t="n">
        <v>250</v>
      </c>
      <c r="C82" s="8" t="s">
        <v>145</v>
      </c>
    </row>
    <row r="83" customFormat="false" ht="15" hidden="false" customHeight="false" outlineLevel="0" collapsed="false">
      <c r="A83" s="3" t="s">
        <v>146</v>
      </c>
      <c r="B83" s="11" t="n">
        <v>600</v>
      </c>
      <c r="C83" s="8" t="s">
        <v>145</v>
      </c>
    </row>
    <row r="84" customFormat="false" ht="15" hidden="false" customHeight="false" outlineLevel="0" collapsed="false">
      <c r="A84" s="3" t="s">
        <v>147</v>
      </c>
      <c r="B84" s="9" t="n">
        <v>2500</v>
      </c>
      <c r="C84" s="8" t="s">
        <v>148</v>
      </c>
    </row>
    <row r="85" customFormat="false" ht="15" hidden="false" customHeight="false" outlineLevel="0" collapsed="false">
      <c r="A85" s="3" t="s">
        <v>149</v>
      </c>
      <c r="B85" s="15" t="n">
        <v>0.85</v>
      </c>
      <c r="C85" s="8" t="s">
        <v>150</v>
      </c>
    </row>
    <row r="86" customFormat="false" ht="15" hidden="false" customHeight="false" outlineLevel="0" collapsed="false">
      <c r="A86" s="3" t="s">
        <v>151</v>
      </c>
      <c r="B86" s="7" t="n">
        <v>1</v>
      </c>
      <c r="C86" s="8" t="s">
        <v>152</v>
      </c>
    </row>
    <row r="87" customFormat="false" ht="15" hidden="false" customHeight="false" outlineLevel="0" collapsed="false">
      <c r="A87" s="3" t="s">
        <v>153</v>
      </c>
      <c r="B87" s="17" t="n">
        <f aca="false">$B$84*$B$85</f>
        <v>2125</v>
      </c>
      <c r="C87" s="8" t="s">
        <v>154</v>
      </c>
    </row>
    <row r="88" customFormat="false" ht="15" hidden="false" customHeight="false" outlineLevel="0" collapsed="false">
      <c r="A88" s="3" t="s">
        <v>155</v>
      </c>
      <c r="B88" s="7" t="n">
        <v>0</v>
      </c>
      <c r="C88" s="8" t="s">
        <v>156</v>
      </c>
    </row>
    <row r="89" customFormat="false" ht="15" hidden="false" customHeight="false" outlineLevel="0" collapsed="false">
      <c r="A89" s="5" t="s">
        <v>157</v>
      </c>
      <c r="B89" s="6"/>
      <c r="C89" s="6"/>
    </row>
    <row r="90" customFormat="false" ht="15" hidden="false" customHeight="false" outlineLevel="0" collapsed="false">
      <c r="A90" s="3" t="s">
        <v>158</v>
      </c>
      <c r="B90" s="10" t="n">
        <v>50000</v>
      </c>
      <c r="C90" s="8" t="s">
        <v>159</v>
      </c>
    </row>
    <row r="91" customFormat="false" ht="15" hidden="false" customHeight="false" outlineLevel="0" collapsed="false">
      <c r="A91" s="3" t="s">
        <v>160</v>
      </c>
      <c r="B91" s="11" t="n">
        <v>2000</v>
      </c>
      <c r="C91" s="8" t="s">
        <v>161</v>
      </c>
    </row>
    <row r="92" customFormat="false" ht="15" hidden="false" customHeight="false" outlineLevel="0" collapsed="false">
      <c r="A92" s="3" t="s">
        <v>162</v>
      </c>
      <c r="B92" s="7" t="n">
        <v>3</v>
      </c>
      <c r="C92" s="8" t="s">
        <v>163</v>
      </c>
    </row>
    <row r="93" customFormat="false" ht="15" hidden="false" customHeight="false" outlineLevel="0" collapsed="false">
      <c r="A93" s="3" t="s">
        <v>164</v>
      </c>
      <c r="B93" s="10" t="n">
        <v>38000</v>
      </c>
      <c r="C93" s="8" t="s">
        <v>165</v>
      </c>
    </row>
    <row r="94" customFormat="false" ht="15" hidden="false" customHeight="false" outlineLevel="0" collapsed="false">
      <c r="A94" s="3" t="s">
        <v>166</v>
      </c>
      <c r="B94" s="11" t="n">
        <v>1700</v>
      </c>
      <c r="C94" s="8" t="s">
        <v>167</v>
      </c>
    </row>
    <row r="95" customFormat="false" ht="15" hidden="false" customHeight="false" outlineLevel="0" collapsed="false">
      <c r="A95" s="3" t="s">
        <v>168</v>
      </c>
      <c r="B95" s="7" t="n">
        <v>3</v>
      </c>
      <c r="C95" s="8"/>
    </row>
    <row r="96" customFormat="false" ht="15" hidden="false" customHeight="false" outlineLevel="0" collapsed="false">
      <c r="A96" s="3" t="s">
        <v>169</v>
      </c>
      <c r="B96" s="11" t="n">
        <v>9500</v>
      </c>
      <c r="C96" s="8" t="s">
        <v>170</v>
      </c>
    </row>
    <row r="97" customFormat="false" ht="15" hidden="false" customHeight="false" outlineLevel="0" collapsed="false">
      <c r="A97" s="3" t="s">
        <v>171</v>
      </c>
      <c r="B97" s="11" t="n">
        <v>600</v>
      </c>
      <c r="C97" s="8"/>
    </row>
    <row r="98" customFormat="false" ht="15" hidden="false" customHeight="false" outlineLevel="0" collapsed="false">
      <c r="A98" s="3" t="s">
        <v>172</v>
      </c>
      <c r="B98" s="12" t="n">
        <v>0</v>
      </c>
      <c r="C98" s="8" t="s">
        <v>173</v>
      </c>
    </row>
    <row r="99" customFormat="false" ht="15" hidden="false" customHeight="false" outlineLevel="0" collapsed="false">
      <c r="A99" s="3" t="s">
        <v>174</v>
      </c>
      <c r="B99" s="11" t="n">
        <v>35000</v>
      </c>
      <c r="C99" s="8"/>
    </row>
    <row r="100" customFormat="false" ht="15" hidden="false" customHeight="false" outlineLevel="0" collapsed="false">
      <c r="A100" s="3" t="s">
        <v>175</v>
      </c>
      <c r="B100" s="12" t="n">
        <v>0</v>
      </c>
      <c r="C100" s="8" t="s">
        <v>176</v>
      </c>
    </row>
    <row r="101" customFormat="false" ht="15" hidden="false" customHeight="false" outlineLevel="0" collapsed="false">
      <c r="A101" s="3" t="s">
        <v>177</v>
      </c>
      <c r="B101" s="12" t="n">
        <v>0</v>
      </c>
      <c r="C101" s="8"/>
    </row>
    <row r="102" customFormat="false" ht="15" hidden="false" customHeight="false" outlineLevel="0" collapsed="false">
      <c r="A102" s="3" t="s">
        <v>178</v>
      </c>
      <c r="B102" s="11" t="n">
        <v>6000</v>
      </c>
      <c r="C102" s="8" t="s">
        <v>179</v>
      </c>
    </row>
    <row r="103" customFormat="false" ht="15" hidden="false" customHeight="false" outlineLevel="0" collapsed="false">
      <c r="A103" s="3" t="s">
        <v>180</v>
      </c>
      <c r="B103" s="12" t="n">
        <v>0</v>
      </c>
      <c r="C103" s="8"/>
    </row>
    <row r="104" customFormat="false" ht="15" hidden="false" customHeight="false" outlineLevel="0" collapsed="false">
      <c r="A104" s="3" t="s">
        <v>181</v>
      </c>
      <c r="B104" s="12" t="n">
        <v>0</v>
      </c>
      <c r="C104" s="8"/>
    </row>
    <row r="105" customFormat="false" ht="15" hidden="false" customHeight="false" outlineLevel="0" collapsed="false">
      <c r="A105" s="3" t="s">
        <v>182</v>
      </c>
      <c r="B105" s="14" t="n">
        <v>0.8</v>
      </c>
      <c r="C105" s="8" t="s">
        <v>183</v>
      </c>
    </row>
    <row r="106" customFormat="false" ht="15" hidden="false" customHeight="false" outlineLevel="0" collapsed="false">
      <c r="A106" s="3" t="s">
        <v>184</v>
      </c>
      <c r="B106" s="14" t="n">
        <v>0.09</v>
      </c>
      <c r="C106" s="8" t="s">
        <v>185</v>
      </c>
    </row>
    <row r="107" customFormat="false" ht="15" hidden="false" customHeight="false" outlineLevel="0" collapsed="false">
      <c r="A107" s="3" t="s">
        <v>186</v>
      </c>
      <c r="B107" s="12" t="n">
        <v>60</v>
      </c>
      <c r="C107" s="8"/>
    </row>
    <row r="108" customFormat="false" ht="15" hidden="false" customHeight="false" outlineLevel="0" collapsed="false">
      <c r="A108" s="3" t="s">
        <v>187</v>
      </c>
      <c r="B108" s="11" t="n">
        <v>4500</v>
      </c>
      <c r="C108" s="8" t="s">
        <v>188</v>
      </c>
    </row>
    <row r="109" customFormat="false" ht="15" hidden="false" customHeight="false" outlineLevel="0" collapsed="false">
      <c r="A109" s="5" t="s">
        <v>189</v>
      </c>
      <c r="B109" s="6"/>
      <c r="C109" s="6"/>
    </row>
    <row r="110" customFormat="false" ht="15" hidden="false" customHeight="false" outlineLevel="0" collapsed="false">
      <c r="A110" s="3" t="s">
        <v>190</v>
      </c>
      <c r="B110" s="10" t="n">
        <v>150000</v>
      </c>
      <c r="C110" s="8" t="s">
        <v>191</v>
      </c>
    </row>
    <row r="111" customFormat="false" ht="15" hidden="false" customHeight="false" outlineLevel="0" collapsed="false">
      <c r="A111" s="3" t="s">
        <v>192</v>
      </c>
      <c r="B111" s="15" t="n">
        <v>0.1275</v>
      </c>
      <c r="C111" s="8" t="s">
        <v>193</v>
      </c>
    </row>
    <row r="112" customFormat="false" ht="15" hidden="false" customHeight="false" outlineLevel="0" collapsed="false">
      <c r="A112" s="3" t="s">
        <v>194</v>
      </c>
      <c r="B112" s="7" t="n">
        <v>10</v>
      </c>
      <c r="C112" s="8" t="s">
        <v>195</v>
      </c>
    </row>
    <row r="113" customFormat="false" ht="15" hidden="false" customHeight="false" outlineLevel="0" collapsed="false">
      <c r="A113" s="3" t="s">
        <v>196</v>
      </c>
      <c r="B113" s="14" t="n">
        <v>0.02</v>
      </c>
      <c r="C113" s="8" t="s">
        <v>197</v>
      </c>
    </row>
    <row r="114" customFormat="false" ht="15" hidden="false" customHeight="false" outlineLevel="0" collapsed="false">
      <c r="A114" s="3" t="s">
        <v>198</v>
      </c>
      <c r="B114" s="10" t="n">
        <v>25000</v>
      </c>
      <c r="C114" s="8" t="s">
        <v>199</v>
      </c>
    </row>
    <row r="115" customFormat="false" ht="15" hidden="false" customHeight="false" outlineLevel="0" collapsed="false">
      <c r="A115" s="5" t="s">
        <v>200</v>
      </c>
      <c r="B115" s="6"/>
      <c r="C115" s="6"/>
    </row>
    <row r="116" customFormat="false" ht="15" hidden="false" customHeight="false" outlineLevel="0" collapsed="false">
      <c r="A116" s="3" t="s">
        <v>201</v>
      </c>
      <c r="B116" s="10" t="n">
        <v>300000</v>
      </c>
      <c r="C116" s="8" t="s">
        <v>202</v>
      </c>
    </row>
    <row r="117" customFormat="false" ht="15" hidden="false" customHeight="false" outlineLevel="0" collapsed="false">
      <c r="A117" s="3" t="s">
        <v>203</v>
      </c>
      <c r="B117" s="15" t="n">
        <v>0.2</v>
      </c>
      <c r="C117" s="8" t="s">
        <v>204</v>
      </c>
    </row>
    <row r="118" customFormat="false" ht="15" hidden="false" customHeight="false" outlineLevel="0" collapsed="false">
      <c r="A118" s="3" t="s">
        <v>205</v>
      </c>
      <c r="B118" s="7" t="n">
        <v>2</v>
      </c>
      <c r="C118" s="8" t="s">
        <v>206</v>
      </c>
    </row>
    <row r="119" customFormat="false" ht="15" hidden="false" customHeight="false" outlineLevel="0" collapsed="false">
      <c r="A119" s="3" t="s">
        <v>207</v>
      </c>
      <c r="B119" s="14" t="n">
        <v>0.08</v>
      </c>
      <c r="C119" s="8" t="s">
        <v>208</v>
      </c>
    </row>
    <row r="120" customFormat="false" ht="15" hidden="false" customHeight="false" outlineLevel="0" collapsed="false">
      <c r="A120" s="5" t="s">
        <v>209</v>
      </c>
      <c r="B120" s="6"/>
      <c r="C120" s="6"/>
    </row>
    <row r="121" customFormat="false" ht="15" hidden="false" customHeight="false" outlineLevel="0" collapsed="false">
      <c r="A121" s="3" t="s">
        <v>210</v>
      </c>
      <c r="B121" s="15" t="n">
        <v>0.1</v>
      </c>
      <c r="C121" s="8" t="s">
        <v>211</v>
      </c>
    </row>
    <row r="122" customFormat="false" ht="15" hidden="false" customHeight="false" outlineLevel="0" collapsed="false">
      <c r="A122" s="3" t="s">
        <v>212</v>
      </c>
      <c r="B122" s="15" t="n">
        <v>0.15</v>
      </c>
      <c r="C122" s="8" t="s">
        <v>213</v>
      </c>
    </row>
    <row r="123" customFormat="false" ht="15" hidden="false" customHeight="false" outlineLevel="0" collapsed="false">
      <c r="A123" s="3" t="s">
        <v>214</v>
      </c>
      <c r="B123" s="10" t="n">
        <v>170000</v>
      </c>
      <c r="C123" s="8" t="s">
        <v>215</v>
      </c>
    </row>
    <row r="124" customFormat="false" ht="15" hidden="false" customHeight="false" outlineLevel="0" collapsed="false">
      <c r="A124" s="5" t="s">
        <v>216</v>
      </c>
      <c r="B124" s="6"/>
      <c r="C124" s="6"/>
    </row>
    <row r="125" customFormat="false" ht="15" hidden="false" customHeight="false" outlineLevel="0" collapsed="false">
      <c r="A125" s="3" t="s">
        <v>217</v>
      </c>
      <c r="B125" s="7" t="n">
        <v>2.49</v>
      </c>
      <c r="C125" s="8" t="s">
        <v>218</v>
      </c>
    </row>
    <row r="126" customFormat="false" ht="15" hidden="false" customHeight="false" outlineLevel="0" collapsed="false">
      <c r="A126" s="3" t="s">
        <v>219</v>
      </c>
      <c r="B126" s="7" t="n">
        <v>4</v>
      </c>
      <c r="C126" s="8" t="s">
        <v>220</v>
      </c>
    </row>
    <row r="127" customFormat="false" ht="15" hidden="false" customHeight="false" outlineLevel="0" collapsed="false">
      <c r="A127" s="3" t="s">
        <v>221</v>
      </c>
      <c r="B127" s="7" t="n">
        <v>5.8</v>
      </c>
      <c r="C127" s="8" t="s">
        <v>222</v>
      </c>
    </row>
    <row r="128" customFormat="false" ht="15" hidden="false" customHeight="false" outlineLevel="0" collapsed="false">
      <c r="A128" s="3" t="s">
        <v>223</v>
      </c>
      <c r="B128" s="10" t="n">
        <v>85000</v>
      </c>
      <c r="C128" s="8" t="s">
        <v>224</v>
      </c>
    </row>
    <row r="129" customFormat="false" ht="15" hidden="false" customHeight="false" outlineLevel="0" collapsed="false">
      <c r="A129" s="3" t="s">
        <v>225</v>
      </c>
      <c r="B129" s="14" t="n">
        <v>0.76</v>
      </c>
      <c r="C129" s="8" t="s">
        <v>226</v>
      </c>
    </row>
    <row r="130" customFormat="false" ht="15" hidden="false" customHeight="false" outlineLevel="0" collapsed="false">
      <c r="A130" s="5" t="s">
        <v>227</v>
      </c>
      <c r="B130" s="6"/>
      <c r="C130" s="6"/>
    </row>
    <row r="131" customFormat="false" ht="15" hidden="false" customHeight="false" outlineLevel="0" collapsed="false">
      <c r="A131" s="3" t="s">
        <v>228</v>
      </c>
      <c r="B131" s="15" t="n">
        <v>0.03</v>
      </c>
      <c r="C131" s="8" t="s">
        <v>229</v>
      </c>
    </row>
    <row r="132" customFormat="false" ht="15" hidden="false" customHeight="false" outlineLevel="0" collapsed="false">
      <c r="A132" s="3" t="s">
        <v>230</v>
      </c>
      <c r="B132" s="15" t="n">
        <v>0.0525</v>
      </c>
      <c r="C132" s="8" t="s">
        <v>231</v>
      </c>
    </row>
    <row r="133" customFormat="false" ht="15" hidden="false" customHeight="false" outlineLevel="0" collapsed="false">
      <c r="A133" s="3" t="s">
        <v>232</v>
      </c>
      <c r="B133" s="15" t="n">
        <v>0.025</v>
      </c>
      <c r="C133" s="8" t="s">
        <v>233</v>
      </c>
    </row>
    <row r="134" customFormat="false" ht="15" hidden="false" customHeight="false" outlineLevel="0" collapsed="false">
      <c r="A134" s="3" t="s">
        <v>234</v>
      </c>
      <c r="B134" s="14" t="n">
        <v>0.55</v>
      </c>
      <c r="C134" s="8" t="s">
        <v>235</v>
      </c>
    </row>
    <row r="135" customFormat="false" ht="15" hidden="false" customHeight="false" outlineLevel="0" collapsed="false">
      <c r="A135" s="3" t="s">
        <v>236</v>
      </c>
      <c r="B135" s="14" t="n">
        <v>0.2</v>
      </c>
      <c r="C135" s="8" t="s">
        <v>237</v>
      </c>
    </row>
    <row r="136" customFormat="false" ht="15" hidden="false" customHeight="false" outlineLevel="0" collapsed="false">
      <c r="A136" s="3" t="s">
        <v>238</v>
      </c>
      <c r="B136" s="15" t="n">
        <v>0.0275</v>
      </c>
      <c r="C136" s="8" t="s">
        <v>239</v>
      </c>
    </row>
    <row r="137" customFormat="false" ht="15" hidden="false" customHeight="false" outlineLevel="0" collapsed="false">
      <c r="A137" s="3" t="s">
        <v>240</v>
      </c>
      <c r="B137" s="15" t="n">
        <v>0.035</v>
      </c>
      <c r="C137" s="8" t="s">
        <v>241</v>
      </c>
    </row>
    <row r="138" customFormat="false" ht="15" hidden="false" customHeight="false" outlineLevel="0" collapsed="false">
      <c r="A138" s="3" t="s">
        <v>242</v>
      </c>
      <c r="B138" s="15" t="n">
        <v>0.05</v>
      </c>
      <c r="C138" s="8" t="s">
        <v>243</v>
      </c>
    </row>
    <row r="139" customFormat="false" ht="15" hidden="false" customHeight="false" outlineLevel="0" collapsed="false">
      <c r="A139" s="3" t="s">
        <v>244</v>
      </c>
      <c r="B139" s="14" t="n">
        <v>0.03</v>
      </c>
      <c r="C139" s="8" t="s">
        <v>245</v>
      </c>
    </row>
    <row r="140" customFormat="false" ht="15" hidden="false" customHeight="false" outlineLevel="0" collapsed="false">
      <c r="A140" s="3" t="s">
        <v>246</v>
      </c>
      <c r="B140" s="14" t="n">
        <v>0.03</v>
      </c>
      <c r="C140" s="8" t="s">
        <v>247</v>
      </c>
    </row>
    <row r="141" customFormat="false" ht="15" hidden="false" customHeight="false" outlineLevel="0" collapsed="false">
      <c r="A141" s="3" t="s">
        <v>248</v>
      </c>
      <c r="B141" s="14" t="n">
        <v>0.0275</v>
      </c>
      <c r="C141" s="8" t="s">
        <v>249</v>
      </c>
    </row>
    <row r="142" customFormat="false" ht="15" hidden="false" customHeight="false" outlineLevel="0" collapsed="false">
      <c r="A142" s="3" t="s">
        <v>250</v>
      </c>
      <c r="B142" s="14" t="n">
        <v>0</v>
      </c>
      <c r="C142" s="8" t="s">
        <v>251</v>
      </c>
    </row>
    <row r="143" customFormat="false" ht="15" hidden="false" customHeight="false" outlineLevel="0" collapsed="false">
      <c r="A143" s="5" t="s">
        <v>252</v>
      </c>
      <c r="B143" s="6"/>
      <c r="C143" s="6"/>
    </row>
    <row r="144" customFormat="false" ht="15" hidden="false" customHeight="false" outlineLevel="0" collapsed="false">
      <c r="A144" s="3" t="s">
        <v>253</v>
      </c>
      <c r="B144" s="10" t="n">
        <v>60000</v>
      </c>
      <c r="C144" s="8" t="s">
        <v>254</v>
      </c>
    </row>
    <row r="145" customFormat="false" ht="15" hidden="false" customHeight="false" outlineLevel="0" collapsed="false">
      <c r="A145" s="3" t="s">
        <v>255</v>
      </c>
      <c r="B145" s="11" t="n">
        <v>66000</v>
      </c>
      <c r="C145" s="8"/>
    </row>
    <row r="146" customFormat="false" ht="15" hidden="false" customHeight="false" outlineLevel="0" collapsed="false">
      <c r="A146" s="3" t="s">
        <v>256</v>
      </c>
      <c r="B146" s="11" t="n">
        <v>72000</v>
      </c>
      <c r="C146" s="8"/>
    </row>
    <row r="147" customFormat="false" ht="15" hidden="false" customHeight="false" outlineLevel="0" collapsed="false">
      <c r="A147" s="3" t="s">
        <v>257</v>
      </c>
      <c r="B147" s="14" t="n">
        <v>0.0275</v>
      </c>
      <c r="C147" s="8" t="s">
        <v>258</v>
      </c>
    </row>
    <row r="148" customFormat="false" ht="15" hidden="false" customHeight="false" outlineLevel="0" collapsed="false">
      <c r="A148" s="3" t="s">
        <v>259</v>
      </c>
      <c r="B148" s="7" t="n">
        <v>0</v>
      </c>
      <c r="C148" s="8" t="s">
        <v>260</v>
      </c>
    </row>
    <row r="149" customFormat="false" ht="15" hidden="false" customHeight="false" outlineLevel="0" collapsed="false">
      <c r="A149" s="5" t="s">
        <v>261</v>
      </c>
      <c r="B149" s="6"/>
      <c r="C149" s="6"/>
    </row>
    <row r="150" customFormat="false" ht="15" hidden="false" customHeight="false" outlineLevel="0" collapsed="false">
      <c r="A150" s="3" t="s">
        <v>262</v>
      </c>
      <c r="B150" s="7" t="n">
        <v>1</v>
      </c>
      <c r="C150" s="8" t="s">
        <v>263</v>
      </c>
    </row>
    <row r="151" customFormat="false" ht="15" hidden="false" customHeight="false" outlineLevel="0" collapsed="false">
      <c r="A151" s="3" t="s">
        <v>264</v>
      </c>
      <c r="B151" s="10" t="n">
        <v>95000</v>
      </c>
      <c r="C151" s="8" t="s">
        <v>265</v>
      </c>
    </row>
    <row r="152" customFormat="false" ht="15" hidden="false" customHeight="false" outlineLevel="0" collapsed="false">
      <c r="A152" s="3" t="s">
        <v>266</v>
      </c>
      <c r="B152" s="10" t="n">
        <v>120000</v>
      </c>
      <c r="C152" s="8" t="s">
        <v>267</v>
      </c>
    </row>
    <row r="153" customFormat="false" ht="15" hidden="false" customHeight="false" outlineLevel="0" collapsed="false">
      <c r="A153" s="3" t="s">
        <v>268</v>
      </c>
      <c r="B153" s="10" t="n">
        <v>155000</v>
      </c>
      <c r="C153" s="8" t="s">
        <v>269</v>
      </c>
    </row>
    <row r="154" customFormat="false" ht="15" hidden="false" customHeight="false" outlineLevel="0" collapsed="false">
      <c r="A154" s="3" t="s">
        <v>270</v>
      </c>
      <c r="B154" s="11" t="n">
        <v>185000</v>
      </c>
      <c r="C154" s="8" t="s">
        <v>271</v>
      </c>
    </row>
    <row r="155" customFormat="false" ht="15" hidden="false" customHeight="false" outlineLevel="0" collapsed="false">
      <c r="A155" s="3" t="s">
        <v>272</v>
      </c>
      <c r="B155" s="15" t="n">
        <v>0.22</v>
      </c>
      <c r="C155" s="8" t="s">
        <v>273</v>
      </c>
    </row>
    <row r="156" customFormat="false" ht="15" hidden="false" customHeight="false" outlineLevel="0" collapsed="false">
      <c r="A156" s="3" t="s">
        <v>274</v>
      </c>
      <c r="B156" s="7" t="n">
        <v>1</v>
      </c>
      <c r="C156" s="8" t="s">
        <v>275</v>
      </c>
    </row>
    <row r="157" customFormat="false" ht="15" hidden="false" customHeight="false" outlineLevel="0" collapsed="false">
      <c r="A157" s="3" t="s">
        <v>276</v>
      </c>
      <c r="B157" s="15" t="n">
        <v>0.12</v>
      </c>
      <c r="C157" s="8" t="s">
        <v>277</v>
      </c>
    </row>
    <row r="158" customFormat="false" ht="15" hidden="false" customHeight="false" outlineLevel="0" collapsed="false">
      <c r="A158" s="3" t="s">
        <v>278</v>
      </c>
      <c r="B158" s="7" t="n">
        <v>4</v>
      </c>
      <c r="C158" s="8" t="s">
        <v>279</v>
      </c>
    </row>
    <row r="159" customFormat="false" ht="15" hidden="false" customHeight="false" outlineLevel="0" collapsed="false">
      <c r="A159" s="3" t="s">
        <v>280</v>
      </c>
      <c r="B159" s="7" t="n">
        <v>0</v>
      </c>
      <c r="C159" s="8" t="s">
        <v>281</v>
      </c>
    </row>
    <row r="160" customFormat="false" ht="15" hidden="false" customHeight="false" outlineLevel="0" collapsed="false">
      <c r="A160" s="3" t="s">
        <v>282</v>
      </c>
      <c r="B160" s="14" t="n">
        <v>0.2</v>
      </c>
      <c r="C160" s="8" t="s">
        <v>283</v>
      </c>
    </row>
    <row r="161" customFormat="false" ht="15" hidden="false" customHeight="false" outlineLevel="0" collapsed="false">
      <c r="A161" s="3" t="s">
        <v>284</v>
      </c>
      <c r="B161" s="10" t="n">
        <v>128375</v>
      </c>
      <c r="C161" s="8" t="s">
        <v>285</v>
      </c>
    </row>
    <row r="162" customFormat="false" ht="15" hidden="false" customHeight="false" outlineLevel="0" collapsed="false">
      <c r="A162" s="3" t="s">
        <v>286</v>
      </c>
      <c r="B162" s="10" t="n">
        <v>270000</v>
      </c>
      <c r="C162" s="8" t="s">
        <v>287</v>
      </c>
    </row>
    <row r="163" customFormat="false" ht="15" hidden="false" customHeight="false" outlineLevel="0" collapsed="false">
      <c r="A163" s="5" t="s">
        <v>288</v>
      </c>
      <c r="B163" s="6"/>
      <c r="C163" s="6"/>
    </row>
    <row r="164" customFormat="false" ht="15" hidden="false" customHeight="false" outlineLevel="0" collapsed="false">
      <c r="A164" s="3" t="s">
        <v>289</v>
      </c>
      <c r="B164" s="15" t="n">
        <v>0.6</v>
      </c>
      <c r="C164" s="8" t="s">
        <v>290</v>
      </c>
    </row>
    <row r="165" customFormat="false" ht="15" hidden="false" customHeight="false" outlineLevel="0" collapsed="false">
      <c r="A165" s="3" t="s">
        <v>291</v>
      </c>
      <c r="B165" s="7" t="n">
        <v>2</v>
      </c>
      <c r="C165" s="8" t="s">
        <v>292</v>
      </c>
    </row>
    <row r="166" customFormat="false" ht="15" hidden="false" customHeight="false" outlineLevel="0" collapsed="false">
      <c r="A166" s="5" t="s">
        <v>293</v>
      </c>
      <c r="B166" s="6"/>
      <c r="C166" s="6"/>
    </row>
    <row r="167" customFormat="false" ht="15" hidden="false" customHeight="false" outlineLevel="0" collapsed="false">
      <c r="A167" s="3" t="s">
        <v>294</v>
      </c>
      <c r="B167" s="9" t="n">
        <v>18000</v>
      </c>
      <c r="C167" s="8" t="s">
        <v>295</v>
      </c>
    </row>
    <row r="168" customFormat="false" ht="15" hidden="false" customHeight="false" outlineLevel="0" collapsed="false">
      <c r="A168" s="3" t="s">
        <v>296</v>
      </c>
      <c r="B168" s="15" t="n">
        <v>0.743</v>
      </c>
      <c r="C168" s="8" t="s">
        <v>297</v>
      </c>
    </row>
    <row r="169" customFormat="false" ht="15" hidden="false" customHeight="false" outlineLevel="0" collapsed="false">
      <c r="A169" s="3" t="s">
        <v>298</v>
      </c>
      <c r="B169" s="12" t="n">
        <v>1</v>
      </c>
      <c r="C169" s="8" t="s">
        <v>299</v>
      </c>
    </row>
    <row r="170" customFormat="false" ht="15" hidden="false" customHeight="false" outlineLevel="0" collapsed="false">
      <c r="A170" s="3" t="s">
        <v>300</v>
      </c>
      <c r="B170" s="10" t="n">
        <v>2400</v>
      </c>
      <c r="C170" s="8" t="s">
        <v>301</v>
      </c>
    </row>
    <row r="171" customFormat="false" ht="15" hidden="false" customHeight="false" outlineLevel="0" collapsed="false">
      <c r="A171" s="3" t="s">
        <v>302</v>
      </c>
      <c r="B171" s="11" t="n">
        <v>1500</v>
      </c>
      <c r="C171" s="8" t="s">
        <v>303</v>
      </c>
    </row>
    <row r="172" customFormat="false" ht="15" hidden="false" customHeight="false" outlineLevel="0" collapsed="false">
      <c r="A172" s="3" t="s">
        <v>304</v>
      </c>
      <c r="B172" s="10" t="n">
        <v>9600</v>
      </c>
      <c r="C172" s="8" t="s">
        <v>305</v>
      </c>
    </row>
    <row r="173" customFormat="false" ht="15" hidden="false" customHeight="false" outlineLevel="0" collapsed="false">
      <c r="A173" s="3" t="s">
        <v>306</v>
      </c>
      <c r="B173" s="15" t="n">
        <v>0.15</v>
      </c>
      <c r="C173" s="8" t="s">
        <v>307</v>
      </c>
    </row>
    <row r="174" customFormat="false" ht="15" hidden="false" customHeight="false" outlineLevel="0" collapsed="false">
      <c r="A174" s="3" t="s">
        <v>308</v>
      </c>
      <c r="B174" s="11" t="n">
        <v>3600</v>
      </c>
      <c r="C174" s="8" t="s">
        <v>309</v>
      </c>
    </row>
    <row r="175" customFormat="false" ht="15" hidden="false" customHeight="false" outlineLevel="0" collapsed="false">
      <c r="A175" s="3" t="s">
        <v>310</v>
      </c>
      <c r="B175" s="15" t="n">
        <v>0.32</v>
      </c>
      <c r="C175" s="8" t="s">
        <v>311</v>
      </c>
    </row>
    <row r="176" customFormat="false" ht="15" hidden="false" customHeight="false" outlineLevel="0" collapsed="false">
      <c r="A176" s="5" t="s">
        <v>312</v>
      </c>
      <c r="B176" s="6"/>
      <c r="C176" s="6"/>
    </row>
    <row r="177" customFormat="false" ht="15" hidden="false" customHeight="false" outlineLevel="0" collapsed="false">
      <c r="A177" s="3" t="s">
        <v>313</v>
      </c>
      <c r="B177" s="10" t="n">
        <v>250000</v>
      </c>
      <c r="C177" s="8" t="s">
        <v>314</v>
      </c>
    </row>
    <row r="178" customFormat="false" ht="15" hidden="false" customHeight="false" outlineLevel="0" collapsed="false">
      <c r="A178" s="3" t="s">
        <v>315</v>
      </c>
      <c r="B178" s="15" t="n">
        <v>0.02</v>
      </c>
      <c r="C178" s="8" t="s">
        <v>316</v>
      </c>
    </row>
    <row r="179" customFormat="false" ht="15" hidden="false" customHeight="false" outlineLevel="0" collapsed="false">
      <c r="A179" s="5" t="s">
        <v>317</v>
      </c>
      <c r="B179" s="6"/>
      <c r="C179" s="6"/>
    </row>
    <row r="180" customFormat="false" ht="15" hidden="false" customHeight="false" outlineLevel="0" collapsed="false">
      <c r="A180" s="3" t="s">
        <v>318</v>
      </c>
      <c r="B180" s="7" t="n">
        <v>3.5</v>
      </c>
      <c r="C180" s="8" t="s">
        <v>319</v>
      </c>
    </row>
    <row r="181" customFormat="false" ht="15" hidden="false" customHeight="false" outlineLevel="0" collapsed="false">
      <c r="A181" s="3" t="s">
        <v>320</v>
      </c>
      <c r="B181" s="7" t="n">
        <v>4.5</v>
      </c>
      <c r="C181" s="8" t="s">
        <v>321</v>
      </c>
    </row>
    <row r="182" customFormat="false" ht="15" hidden="false" customHeight="false" outlineLevel="0" collapsed="false">
      <c r="A182" s="3" t="s">
        <v>322</v>
      </c>
      <c r="B182" s="10" t="n">
        <v>250</v>
      </c>
      <c r="C182" s="8" t="s">
        <v>323</v>
      </c>
    </row>
    <row r="183" customFormat="false" ht="15" hidden="false" customHeight="false" outlineLevel="0" collapsed="false">
      <c r="A183" s="3" t="s">
        <v>324</v>
      </c>
      <c r="B183" s="12" t="n">
        <v>75</v>
      </c>
      <c r="C183" s="8" t="s">
        <v>325</v>
      </c>
    </row>
    <row r="184" customFormat="false" ht="15" hidden="false" customHeight="false" outlineLevel="0" collapsed="false">
      <c r="A184" s="3" t="s">
        <v>326</v>
      </c>
      <c r="B184" s="15" t="n">
        <v>0.05</v>
      </c>
      <c r="C184" s="8" t="s">
        <v>327</v>
      </c>
    </row>
    <row r="185" customFormat="false" ht="15" hidden="false" customHeight="false" outlineLevel="0" collapsed="false">
      <c r="A185" s="3" t="s">
        <v>328</v>
      </c>
      <c r="B185" s="10" t="n">
        <v>5000</v>
      </c>
      <c r="C185" s="8" t="s">
        <v>329</v>
      </c>
    </row>
    <row r="186" customFormat="false" ht="15" hidden="false" customHeight="false" outlineLevel="0" collapsed="false">
      <c r="A186" s="3" t="s">
        <v>330</v>
      </c>
      <c r="B186" s="15" t="n">
        <v>0.5</v>
      </c>
      <c r="C186" s="8" t="s">
        <v>331</v>
      </c>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5" min="2" style="1" width="11"/>
    <col collapsed="false" customWidth="true" hidden="false" outlineLevel="0" max="28" min="26" style="1" width="13"/>
  </cols>
  <sheetData>
    <row r="1" customFormat="false" ht="17.35" hidden="false" customHeight="false" outlineLevel="0" collapsed="false">
      <c r="A1" s="2" t="s">
        <v>332</v>
      </c>
      <c r="B1" s="3"/>
      <c r="C1" s="3"/>
      <c r="D1" s="3"/>
      <c r="E1" s="3"/>
      <c r="F1" s="3"/>
      <c r="G1" s="3"/>
      <c r="H1" s="3"/>
      <c r="I1" s="3"/>
      <c r="J1" s="3"/>
      <c r="K1" s="3"/>
      <c r="L1" s="3"/>
      <c r="M1" s="3"/>
      <c r="N1" s="3"/>
      <c r="O1" s="3"/>
      <c r="P1" s="3"/>
      <c r="Q1" s="3"/>
      <c r="R1" s="3"/>
      <c r="S1" s="3"/>
      <c r="T1" s="3"/>
      <c r="U1" s="3"/>
      <c r="V1" s="3"/>
      <c r="W1" s="3"/>
      <c r="X1" s="3"/>
      <c r="Y1" s="3"/>
      <c r="Z1" s="3"/>
      <c r="AA1" s="3"/>
      <c r="AB1" s="3"/>
    </row>
    <row r="2" customFormat="false" ht="15" hidden="false" customHeight="false" outlineLevel="0" collapsed="false">
      <c r="A2" s="4" t="s">
        <v>333</v>
      </c>
      <c r="B2" s="3"/>
      <c r="C2" s="3"/>
      <c r="D2" s="3"/>
      <c r="E2" s="3"/>
      <c r="F2" s="3"/>
      <c r="G2" s="3"/>
      <c r="H2" s="3"/>
      <c r="I2" s="3"/>
      <c r="J2" s="3"/>
      <c r="K2" s="3"/>
      <c r="L2" s="3"/>
      <c r="M2" s="3"/>
      <c r="N2" s="3"/>
      <c r="O2" s="3"/>
      <c r="P2" s="3"/>
      <c r="Q2" s="3"/>
      <c r="R2" s="3"/>
      <c r="S2" s="3"/>
      <c r="T2" s="3"/>
      <c r="U2" s="3"/>
      <c r="V2" s="3"/>
      <c r="W2" s="3"/>
      <c r="X2" s="3"/>
      <c r="Y2" s="3"/>
      <c r="Z2" s="3"/>
      <c r="AA2" s="3"/>
      <c r="AB2" s="3"/>
    </row>
    <row r="3" customFormat="false" ht="15" hidden="false" customHeight="fals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row>
    <row r="4" customFormat="false" ht="15" hidden="false" customHeight="false" outlineLevel="0" collapsed="false">
      <c r="A4" s="18" t="s">
        <v>334</v>
      </c>
      <c r="B4" s="19" t="n">
        <v>1</v>
      </c>
      <c r="C4" s="19" t="n">
        <v>2</v>
      </c>
      <c r="D4" s="19" t="n">
        <v>3</v>
      </c>
      <c r="E4" s="19" t="n">
        <v>4</v>
      </c>
      <c r="F4" s="19" t="n">
        <v>5</v>
      </c>
      <c r="G4" s="19" t="n">
        <v>6</v>
      </c>
      <c r="H4" s="19" t="n">
        <v>7</v>
      </c>
      <c r="I4" s="19" t="n">
        <v>8</v>
      </c>
      <c r="J4" s="19" t="n">
        <v>9</v>
      </c>
      <c r="K4" s="19" t="n">
        <v>10</v>
      </c>
      <c r="L4" s="19" t="n">
        <v>11</v>
      </c>
      <c r="M4" s="19" t="n">
        <v>12</v>
      </c>
      <c r="N4" s="19" t="n">
        <v>13</v>
      </c>
      <c r="O4" s="19" t="n">
        <v>14</v>
      </c>
      <c r="P4" s="19" t="n">
        <v>15</v>
      </c>
      <c r="Q4" s="19" t="n">
        <v>16</v>
      </c>
      <c r="R4" s="19" t="n">
        <v>17</v>
      </c>
      <c r="S4" s="19" t="n">
        <v>18</v>
      </c>
      <c r="T4" s="19" t="n">
        <v>19</v>
      </c>
      <c r="U4" s="19" t="n">
        <v>20</v>
      </c>
      <c r="V4" s="19" t="n">
        <v>21</v>
      </c>
      <c r="W4" s="19" t="n">
        <v>22</v>
      </c>
      <c r="X4" s="19" t="n">
        <v>23</v>
      </c>
      <c r="Y4" s="19" t="n">
        <v>24</v>
      </c>
      <c r="Z4" s="18" t="s">
        <v>335</v>
      </c>
      <c r="AA4" s="18" t="s">
        <v>336</v>
      </c>
      <c r="AB4" s="18" t="s">
        <v>337</v>
      </c>
    </row>
    <row r="5" customFormat="false" ht="15" hidden="false" customHeight="false" outlineLevel="0" collapsed="false">
      <c r="A5" s="5" t="s">
        <v>338</v>
      </c>
      <c r="B5" s="6"/>
      <c r="C5" s="6"/>
      <c r="D5" s="6"/>
      <c r="E5" s="6"/>
      <c r="F5" s="6"/>
      <c r="G5" s="6"/>
      <c r="H5" s="6"/>
      <c r="I5" s="6"/>
      <c r="J5" s="6"/>
      <c r="K5" s="6"/>
      <c r="L5" s="6"/>
      <c r="M5" s="6"/>
      <c r="N5" s="6"/>
      <c r="O5" s="6"/>
      <c r="P5" s="6"/>
      <c r="Q5" s="6"/>
      <c r="R5" s="6"/>
      <c r="S5" s="6"/>
      <c r="T5" s="6"/>
      <c r="U5" s="6"/>
      <c r="V5" s="6"/>
      <c r="W5" s="6"/>
      <c r="X5" s="6"/>
      <c r="Y5" s="6"/>
      <c r="Z5" s="6"/>
      <c r="AA5" s="6"/>
      <c r="AB5" s="6"/>
    </row>
    <row r="6" customFormat="false" ht="15" hidden="false" customHeight="false" outlineLevel="0" collapsed="false">
      <c r="A6" s="20" t="s">
        <v>339</v>
      </c>
      <c r="B6" s="21" t="n">
        <f aca="false">MIN(Assumptions!$B$13,Assumptions!$B$8+(Assumptions!$B$13-Assumptions!$B$8)*(1-1)/5)</f>
        <v>900</v>
      </c>
      <c r="C6" s="21" t="n">
        <f aca="false">MIN(Assumptions!$B$13,Assumptions!$B$8+(Assumptions!$B$13-Assumptions!$B$8)*(2-1)/5)</f>
        <v>900</v>
      </c>
      <c r="D6" s="21" t="n">
        <f aca="false">MIN(Assumptions!$B$13,Assumptions!$B$8+(Assumptions!$B$13-Assumptions!$B$8)*(3-1)/5)</f>
        <v>900</v>
      </c>
      <c r="E6" s="21" t="n">
        <f aca="false">MIN(Assumptions!$B$13,Assumptions!$B$8+(Assumptions!$B$13-Assumptions!$B$8)*(4-1)/5)</f>
        <v>900</v>
      </c>
      <c r="F6" s="21" t="n">
        <f aca="false">MIN(Assumptions!$B$13,Assumptions!$B$8+(Assumptions!$B$13-Assumptions!$B$8)*(5-1)/5)</f>
        <v>900</v>
      </c>
      <c r="G6" s="21" t="n">
        <f aca="false">MIN(Assumptions!$B$13,Assumptions!$B$8+(Assumptions!$B$13-Assumptions!$B$8)*(6-1)/5)</f>
        <v>900</v>
      </c>
      <c r="H6" s="21" t="n">
        <f aca="false">MIN(Assumptions!$B$13,Assumptions!$B$8+(Assumptions!$B$13-Assumptions!$B$8)*(7-1)/5)</f>
        <v>900</v>
      </c>
      <c r="I6" s="21" t="n">
        <f aca="false">MIN(Assumptions!$B$13,Assumptions!$B$8+(Assumptions!$B$13-Assumptions!$B$8)*(8-1)/5)</f>
        <v>900</v>
      </c>
      <c r="J6" s="21" t="n">
        <f aca="false">MIN(Assumptions!$B$13,Assumptions!$B$8+(Assumptions!$B$13-Assumptions!$B$8)*(9-1)/5)</f>
        <v>900</v>
      </c>
      <c r="K6" s="21" t="n">
        <f aca="false">MIN(Assumptions!$B$13,Assumptions!$B$8+(Assumptions!$B$13-Assumptions!$B$8)*(10-1)/5)</f>
        <v>900</v>
      </c>
      <c r="L6" s="21" t="n">
        <f aca="false">MIN(Assumptions!$B$13,Assumptions!$B$8+(Assumptions!$B$13-Assumptions!$B$8)*(11-1)/5)</f>
        <v>900</v>
      </c>
      <c r="M6" s="21" t="n">
        <f aca="false">MIN(Assumptions!$B$13,Assumptions!$B$8+(Assumptions!$B$13-Assumptions!$B$8)*(12-1)/5)</f>
        <v>900</v>
      </c>
      <c r="N6" s="21" t="n">
        <f aca="false">MIN(Assumptions!$B$13,Assumptions!$B$8+(Assumptions!$B$13-Assumptions!$B$8)*(13-1)/5)</f>
        <v>900</v>
      </c>
      <c r="O6" s="21" t="n">
        <f aca="false">MIN(Assumptions!$B$13,Assumptions!$B$8+(Assumptions!$B$13-Assumptions!$B$8)*(14-1)/5)</f>
        <v>900</v>
      </c>
      <c r="P6" s="21" t="n">
        <f aca="false">MIN(Assumptions!$B$13,Assumptions!$B$8+(Assumptions!$B$13-Assumptions!$B$8)*(15-1)/5)</f>
        <v>900</v>
      </c>
      <c r="Q6" s="21" t="n">
        <f aca="false">MIN(Assumptions!$B$13,Assumptions!$B$8+(Assumptions!$B$13-Assumptions!$B$8)*(16-1)/5)</f>
        <v>900</v>
      </c>
      <c r="R6" s="21" t="n">
        <f aca="false">MIN(Assumptions!$B$13,Assumptions!$B$8+(Assumptions!$B$13-Assumptions!$B$8)*(17-1)/5)</f>
        <v>900</v>
      </c>
      <c r="S6" s="21" t="n">
        <f aca="false">MIN(Assumptions!$B$13,Assumptions!$B$8+(Assumptions!$B$13-Assumptions!$B$8)*(18-1)/5)</f>
        <v>900</v>
      </c>
      <c r="T6" s="21" t="n">
        <f aca="false">MIN(Assumptions!$B$13,Assumptions!$B$8+(Assumptions!$B$13-Assumptions!$B$8)*(19-1)/5)</f>
        <v>900</v>
      </c>
      <c r="U6" s="21" t="n">
        <f aca="false">MIN(Assumptions!$B$13,Assumptions!$B$8+(Assumptions!$B$13-Assumptions!$B$8)*(20-1)/5)</f>
        <v>900</v>
      </c>
      <c r="V6" s="21" t="n">
        <f aca="false">MIN(Assumptions!$B$13,Assumptions!$B$8+(Assumptions!$B$13-Assumptions!$B$8)*(21-1)/5)</f>
        <v>900</v>
      </c>
      <c r="W6" s="21" t="n">
        <f aca="false">MIN(Assumptions!$B$13,Assumptions!$B$8+(Assumptions!$B$13-Assumptions!$B$8)*(22-1)/5)</f>
        <v>900</v>
      </c>
      <c r="X6" s="21" t="n">
        <f aca="false">MIN(Assumptions!$B$13,Assumptions!$B$8+(Assumptions!$B$13-Assumptions!$B$8)*(23-1)/5)</f>
        <v>900</v>
      </c>
      <c r="Y6" s="21" t="n">
        <f aca="false">MIN(Assumptions!$B$13,Assumptions!$B$8+(Assumptions!$B$13-Assumptions!$B$8)*(24-1)/5)</f>
        <v>900</v>
      </c>
      <c r="Z6" s="21" t="n">
        <f aca="false">SUM(B6:M6)</f>
        <v>10800</v>
      </c>
      <c r="AA6" s="21" t="n">
        <f aca="false">SUM(N6:Y6)</f>
        <v>10800</v>
      </c>
      <c r="AB6" s="21" t="n">
        <f aca="false">SUM(B6:Y6)</f>
        <v>21600</v>
      </c>
    </row>
    <row r="7" customFormat="false" ht="15" hidden="false" customHeight="false" outlineLevel="0" collapsed="false">
      <c r="A7" s="20" t="s">
        <v>340</v>
      </c>
      <c r="B7" s="21" t="n">
        <f aca="false">IF(1&lt;Assumptions!$B$14,0,MIN(Assumptions!$B$16,Assumptions!$B$15+(Assumptions!$B$16-Assumptions!$B$15)*(1-Assumptions!$B$14)/3))</f>
        <v>900</v>
      </c>
      <c r="C7" s="21" t="n">
        <f aca="false">IF(2&lt;Assumptions!$B$14,0,MIN(Assumptions!$B$16,Assumptions!$B$15+(Assumptions!$B$16-Assumptions!$B$15)*(2-Assumptions!$B$14)/3))</f>
        <v>900</v>
      </c>
      <c r="D7" s="21" t="n">
        <f aca="false">IF(3&lt;Assumptions!$B$14,0,MIN(Assumptions!$B$16,Assumptions!$B$15+(Assumptions!$B$16-Assumptions!$B$15)*(3-Assumptions!$B$14)/3))</f>
        <v>900</v>
      </c>
      <c r="E7" s="21" t="n">
        <f aca="false">IF(4&lt;Assumptions!$B$14,0,MIN(Assumptions!$B$16,Assumptions!$B$15+(Assumptions!$B$16-Assumptions!$B$15)*(4-Assumptions!$B$14)/3))</f>
        <v>900</v>
      </c>
      <c r="F7" s="21" t="n">
        <f aca="false">IF(5&lt;Assumptions!$B$14,0,MIN(Assumptions!$B$16,Assumptions!$B$15+(Assumptions!$B$16-Assumptions!$B$15)*(5-Assumptions!$B$14)/3))</f>
        <v>900</v>
      </c>
      <c r="G7" s="21" t="n">
        <f aca="false">IF(6&lt;Assumptions!$B$14,0,MIN(Assumptions!$B$16,Assumptions!$B$15+(Assumptions!$B$16-Assumptions!$B$15)*(6-Assumptions!$B$14)/3))</f>
        <v>900</v>
      </c>
      <c r="H7" s="21" t="n">
        <f aca="false">IF(7&lt;Assumptions!$B$14,0,MIN(Assumptions!$B$16,Assumptions!$B$15+(Assumptions!$B$16-Assumptions!$B$15)*(7-Assumptions!$B$14)/3))</f>
        <v>900</v>
      </c>
      <c r="I7" s="21" t="n">
        <f aca="false">IF(8&lt;Assumptions!$B$14,0,MIN(Assumptions!$B$16,Assumptions!$B$15+(Assumptions!$B$16-Assumptions!$B$15)*(8-Assumptions!$B$14)/3))</f>
        <v>900</v>
      </c>
      <c r="J7" s="21" t="n">
        <f aca="false">IF(9&lt;Assumptions!$B$14,0,MIN(Assumptions!$B$16,Assumptions!$B$15+(Assumptions!$B$16-Assumptions!$B$15)*(9-Assumptions!$B$14)/3))</f>
        <v>900</v>
      </c>
      <c r="K7" s="21" t="n">
        <f aca="false">IF(10&lt;Assumptions!$B$14,0,MIN(Assumptions!$B$16,Assumptions!$B$15+(Assumptions!$B$16-Assumptions!$B$15)*(10-Assumptions!$B$14)/3))</f>
        <v>900</v>
      </c>
      <c r="L7" s="21" t="n">
        <f aca="false">IF(11&lt;Assumptions!$B$14,0,MIN(Assumptions!$B$16,Assumptions!$B$15+(Assumptions!$B$16-Assumptions!$B$15)*(11-Assumptions!$B$14)/3))</f>
        <v>900</v>
      </c>
      <c r="M7" s="21" t="n">
        <f aca="false">IF(12&lt;Assumptions!$B$14,0,MIN(Assumptions!$B$16,Assumptions!$B$15+(Assumptions!$B$16-Assumptions!$B$15)*(12-Assumptions!$B$14)/3))</f>
        <v>900</v>
      </c>
      <c r="N7" s="21" t="n">
        <f aca="false">IF(13&lt;Assumptions!$B$14,0,MIN(Assumptions!$B$16,Assumptions!$B$15+(Assumptions!$B$16-Assumptions!$B$15)*(13-Assumptions!$B$14)/3))</f>
        <v>900</v>
      </c>
      <c r="O7" s="21" t="n">
        <f aca="false">IF(14&lt;Assumptions!$B$14,0,MIN(Assumptions!$B$16,Assumptions!$B$15+(Assumptions!$B$16-Assumptions!$B$15)*(14-Assumptions!$B$14)/3))</f>
        <v>900</v>
      </c>
      <c r="P7" s="21" t="n">
        <f aca="false">IF(15&lt;Assumptions!$B$14,0,MIN(Assumptions!$B$16,Assumptions!$B$15+(Assumptions!$B$16-Assumptions!$B$15)*(15-Assumptions!$B$14)/3))</f>
        <v>900</v>
      </c>
      <c r="Q7" s="21" t="n">
        <f aca="false">IF(16&lt;Assumptions!$B$14,0,MIN(Assumptions!$B$16,Assumptions!$B$15+(Assumptions!$B$16-Assumptions!$B$15)*(16-Assumptions!$B$14)/3))</f>
        <v>900</v>
      </c>
      <c r="R7" s="21" t="n">
        <f aca="false">IF(17&lt;Assumptions!$B$14,0,MIN(Assumptions!$B$16,Assumptions!$B$15+(Assumptions!$B$16-Assumptions!$B$15)*(17-Assumptions!$B$14)/3))</f>
        <v>900</v>
      </c>
      <c r="S7" s="21" t="n">
        <f aca="false">IF(18&lt;Assumptions!$B$14,0,MIN(Assumptions!$B$16,Assumptions!$B$15+(Assumptions!$B$16-Assumptions!$B$15)*(18-Assumptions!$B$14)/3))</f>
        <v>900</v>
      </c>
      <c r="T7" s="21" t="n">
        <f aca="false">IF(19&lt;Assumptions!$B$14,0,MIN(Assumptions!$B$16,Assumptions!$B$15+(Assumptions!$B$16-Assumptions!$B$15)*(19-Assumptions!$B$14)/3))</f>
        <v>900</v>
      </c>
      <c r="U7" s="21" t="n">
        <f aca="false">IF(20&lt;Assumptions!$B$14,0,MIN(Assumptions!$B$16,Assumptions!$B$15+(Assumptions!$B$16-Assumptions!$B$15)*(20-Assumptions!$B$14)/3))</f>
        <v>900</v>
      </c>
      <c r="V7" s="21" t="n">
        <f aca="false">IF(21&lt;Assumptions!$B$14,0,MIN(Assumptions!$B$16,Assumptions!$B$15+(Assumptions!$B$16-Assumptions!$B$15)*(21-Assumptions!$B$14)/3))</f>
        <v>900</v>
      </c>
      <c r="W7" s="21" t="n">
        <f aca="false">IF(22&lt;Assumptions!$B$14,0,MIN(Assumptions!$B$16,Assumptions!$B$15+(Assumptions!$B$16-Assumptions!$B$15)*(22-Assumptions!$B$14)/3))</f>
        <v>900</v>
      </c>
      <c r="X7" s="21" t="n">
        <f aca="false">IF(23&lt;Assumptions!$B$14,0,MIN(Assumptions!$B$16,Assumptions!$B$15+(Assumptions!$B$16-Assumptions!$B$15)*(23-Assumptions!$B$14)/3))</f>
        <v>900</v>
      </c>
      <c r="Y7" s="21" t="n">
        <f aca="false">IF(24&lt;Assumptions!$B$14,0,MIN(Assumptions!$B$16,Assumptions!$B$15+(Assumptions!$B$16-Assumptions!$B$15)*(24-Assumptions!$B$14)/3))</f>
        <v>900</v>
      </c>
      <c r="Z7" s="21" t="n">
        <f aca="false">SUM(B7:M7)</f>
        <v>10800</v>
      </c>
      <c r="AA7" s="21" t="n">
        <f aca="false">SUM(N7:Y7)</f>
        <v>10800</v>
      </c>
      <c r="AB7" s="21" t="n">
        <f aca="false">SUM(B7:Y7)</f>
        <v>21600</v>
      </c>
    </row>
    <row r="8" customFormat="false" ht="15" hidden="false" customHeight="false" outlineLevel="0" collapsed="false">
      <c r="A8" s="18" t="s">
        <v>341</v>
      </c>
      <c r="B8" s="22" t="n">
        <f aca="false">B6+B7</f>
        <v>1800</v>
      </c>
      <c r="C8" s="22" t="n">
        <f aca="false">C6+C7</f>
        <v>1800</v>
      </c>
      <c r="D8" s="22" t="n">
        <f aca="false">D6+D7</f>
        <v>1800</v>
      </c>
      <c r="E8" s="22" t="n">
        <f aca="false">E6+E7</f>
        <v>1800</v>
      </c>
      <c r="F8" s="22" t="n">
        <f aca="false">F6+F7</f>
        <v>1800</v>
      </c>
      <c r="G8" s="22" t="n">
        <f aca="false">G6+G7</f>
        <v>1800</v>
      </c>
      <c r="H8" s="22" t="n">
        <f aca="false">H6+H7</f>
        <v>1800</v>
      </c>
      <c r="I8" s="22" t="n">
        <f aca="false">I6+I7</f>
        <v>1800</v>
      </c>
      <c r="J8" s="22" t="n">
        <f aca="false">J6+J7</f>
        <v>1800</v>
      </c>
      <c r="K8" s="22" t="n">
        <f aca="false">K6+K7</f>
        <v>1800</v>
      </c>
      <c r="L8" s="22" t="n">
        <f aca="false">L6+L7</f>
        <v>1800</v>
      </c>
      <c r="M8" s="22" t="n">
        <f aca="false">M6+M7</f>
        <v>1800</v>
      </c>
      <c r="N8" s="22" t="n">
        <f aca="false">N6+N7</f>
        <v>1800</v>
      </c>
      <c r="O8" s="22" t="n">
        <f aca="false">O6+O7</f>
        <v>1800</v>
      </c>
      <c r="P8" s="22" t="n">
        <f aca="false">P6+P7</f>
        <v>1800</v>
      </c>
      <c r="Q8" s="22" t="n">
        <f aca="false">Q6+Q7</f>
        <v>1800</v>
      </c>
      <c r="R8" s="22" t="n">
        <f aca="false">R6+R7</f>
        <v>1800</v>
      </c>
      <c r="S8" s="22" t="n">
        <f aca="false">S6+S7</f>
        <v>1800</v>
      </c>
      <c r="T8" s="22" t="n">
        <f aca="false">T6+T7</f>
        <v>1800</v>
      </c>
      <c r="U8" s="22" t="n">
        <f aca="false">U6+U7</f>
        <v>1800</v>
      </c>
      <c r="V8" s="22" t="n">
        <f aca="false">V6+V7</f>
        <v>1800</v>
      </c>
      <c r="W8" s="22" t="n">
        <f aca="false">W6+W7</f>
        <v>1800</v>
      </c>
      <c r="X8" s="22" t="n">
        <f aca="false">X6+X7</f>
        <v>1800</v>
      </c>
      <c r="Y8" s="22" t="n">
        <f aca="false">Y6+Y7</f>
        <v>1800</v>
      </c>
      <c r="Z8" s="22" t="n">
        <f aca="false">SUM(B8:M8)</f>
        <v>21600</v>
      </c>
      <c r="AA8" s="22" t="n">
        <f aca="false">SUM(N8:Y8)</f>
        <v>21600</v>
      </c>
      <c r="AB8" s="22" t="n">
        <f aca="false">SUM(B8:Y8)</f>
        <v>43200</v>
      </c>
    </row>
    <row r="9" customFormat="false" ht="15" hidden="false" customHeight="false" outlineLevel="0" collapsed="false">
      <c r="A9" s="5" t="s">
        <v>342</v>
      </c>
      <c r="B9" s="6"/>
      <c r="C9" s="6"/>
      <c r="D9" s="6"/>
      <c r="E9" s="6"/>
      <c r="F9" s="6"/>
      <c r="G9" s="6"/>
      <c r="H9" s="6"/>
      <c r="I9" s="6"/>
      <c r="J9" s="6"/>
      <c r="K9" s="6"/>
      <c r="L9" s="6"/>
      <c r="M9" s="6"/>
      <c r="N9" s="6"/>
      <c r="O9" s="6"/>
      <c r="P9" s="6"/>
      <c r="Q9" s="6"/>
      <c r="R9" s="6"/>
      <c r="S9" s="6"/>
      <c r="T9" s="6"/>
      <c r="U9" s="6"/>
      <c r="V9" s="6"/>
      <c r="W9" s="6"/>
      <c r="X9" s="6"/>
      <c r="Y9" s="6"/>
      <c r="Z9" s="6"/>
      <c r="AA9" s="6"/>
      <c r="AB9" s="6"/>
    </row>
    <row r="10" customFormat="false" ht="15" hidden="false" customHeight="false" outlineLevel="0" collapsed="false">
      <c r="A10" s="20" t="s">
        <v>343</v>
      </c>
      <c r="B10" s="21" t="n">
        <f aca="false">Assumptions!$B$64*IF(1&gt;=Assumptions!$B$14,Assumptions!$B$75,1)/Assumptions!$B$65</f>
        <v>24.4067796610169</v>
      </c>
      <c r="C10" s="21" t="n">
        <f aca="false">Assumptions!$B$64*IF(2&gt;=Assumptions!$B$14,Assumptions!$B$75,1)/Assumptions!$B$65</f>
        <v>24.4067796610169</v>
      </c>
      <c r="D10" s="21" t="n">
        <f aca="false">Assumptions!$B$64*IF(3&gt;=Assumptions!$B$14,Assumptions!$B$75,1)/Assumptions!$B$65</f>
        <v>24.4067796610169</v>
      </c>
      <c r="E10" s="21" t="n">
        <f aca="false">Assumptions!$B$64*IF(4&gt;=Assumptions!$B$14,Assumptions!$B$75,1)/Assumptions!$B$65</f>
        <v>24.4067796610169</v>
      </c>
      <c r="F10" s="21" t="n">
        <f aca="false">Assumptions!$B$64*IF(5&gt;=Assumptions!$B$14,Assumptions!$B$75,1)/Assumptions!$B$65</f>
        <v>24.4067796610169</v>
      </c>
      <c r="G10" s="21" t="n">
        <f aca="false">Assumptions!$B$64*IF(6&gt;=Assumptions!$B$14,Assumptions!$B$75,1)/Assumptions!$B$65</f>
        <v>24.4067796610169</v>
      </c>
      <c r="H10" s="21" t="n">
        <f aca="false">Assumptions!$B$64*IF(7&gt;=Assumptions!$B$14,Assumptions!$B$75,1)/Assumptions!$B$65</f>
        <v>24.4067796610169</v>
      </c>
      <c r="I10" s="21" t="n">
        <f aca="false">Assumptions!$B$64*IF(8&gt;=Assumptions!$B$14,Assumptions!$B$75,1)/Assumptions!$B$65</f>
        <v>24.4067796610169</v>
      </c>
      <c r="J10" s="21" t="n">
        <f aca="false">Assumptions!$B$64*IF(9&gt;=Assumptions!$B$14,Assumptions!$B$75,1)/Assumptions!$B$65</f>
        <v>24.4067796610169</v>
      </c>
      <c r="K10" s="21" t="n">
        <f aca="false">Assumptions!$B$64*IF(10&gt;=Assumptions!$B$14,Assumptions!$B$75,1)/Assumptions!$B$65</f>
        <v>24.4067796610169</v>
      </c>
      <c r="L10" s="21" t="n">
        <f aca="false">Assumptions!$B$64*IF(11&gt;=Assumptions!$B$14,Assumptions!$B$75,1)/Assumptions!$B$65</f>
        <v>24.4067796610169</v>
      </c>
      <c r="M10" s="21" t="n">
        <f aca="false">Assumptions!$B$64*IF(12&gt;=Assumptions!$B$14,Assumptions!$B$75,1)/Assumptions!$B$65</f>
        <v>24.4067796610169</v>
      </c>
      <c r="N10" s="21" t="n">
        <f aca="false">Assumptions!$B$64*IF(13&gt;=Assumptions!$B$14,Assumptions!$B$75,1)/Assumptions!$B$65</f>
        <v>24.4067796610169</v>
      </c>
      <c r="O10" s="21" t="n">
        <f aca="false">Assumptions!$B$64*IF(14&gt;=Assumptions!$B$14,Assumptions!$B$75,1)/Assumptions!$B$65</f>
        <v>24.4067796610169</v>
      </c>
      <c r="P10" s="21" t="n">
        <f aca="false">Assumptions!$B$64*IF(15&gt;=Assumptions!$B$14,Assumptions!$B$75,1)/Assumptions!$B$65</f>
        <v>24.4067796610169</v>
      </c>
      <c r="Q10" s="21" t="n">
        <f aca="false">Assumptions!$B$64*IF(16&gt;=Assumptions!$B$14,Assumptions!$B$75,1)/Assumptions!$B$65</f>
        <v>24.4067796610169</v>
      </c>
      <c r="R10" s="21" t="n">
        <f aca="false">Assumptions!$B$64*IF(17&gt;=Assumptions!$B$14,Assumptions!$B$75,1)/Assumptions!$B$65</f>
        <v>24.4067796610169</v>
      </c>
      <c r="S10" s="21" t="n">
        <f aca="false">Assumptions!$B$64*IF(18&gt;=Assumptions!$B$14,Assumptions!$B$75,1)/Assumptions!$B$65</f>
        <v>24.4067796610169</v>
      </c>
      <c r="T10" s="21" t="n">
        <f aca="false">Assumptions!$B$64*IF(19&gt;=Assumptions!$B$14,Assumptions!$B$75,1)/Assumptions!$B$65</f>
        <v>24.4067796610169</v>
      </c>
      <c r="U10" s="21" t="n">
        <f aca="false">Assumptions!$B$64*IF(20&gt;=Assumptions!$B$14,Assumptions!$B$75,1)/Assumptions!$B$65</f>
        <v>24.4067796610169</v>
      </c>
      <c r="V10" s="21" t="n">
        <f aca="false">Assumptions!$B$64*IF(21&gt;=Assumptions!$B$14,Assumptions!$B$75,1)/Assumptions!$B$65</f>
        <v>24.4067796610169</v>
      </c>
      <c r="W10" s="21" t="n">
        <f aca="false">Assumptions!$B$64*IF(22&gt;=Assumptions!$B$14,Assumptions!$B$75,1)/Assumptions!$B$65</f>
        <v>24.4067796610169</v>
      </c>
      <c r="X10" s="21" t="n">
        <f aca="false">Assumptions!$B$64*IF(23&gt;=Assumptions!$B$14,Assumptions!$B$75,1)/Assumptions!$B$65</f>
        <v>24.4067796610169</v>
      </c>
      <c r="Y10" s="21" t="n">
        <f aca="false">Assumptions!$B$64*IF(24&gt;=Assumptions!$B$14,Assumptions!$B$75,1)/Assumptions!$B$65</f>
        <v>24.4067796610169</v>
      </c>
      <c r="Z10" s="21" t="n">
        <f aca="false">SUM(B10:M10)</f>
        <v>292.881355932203</v>
      </c>
      <c r="AA10" s="21" t="n">
        <f aca="false">SUM(N10:Y10)</f>
        <v>292.881355932203</v>
      </c>
      <c r="AB10" s="21" t="n">
        <f aca="false">SUM(B10:Y10)</f>
        <v>585.762711864407</v>
      </c>
    </row>
    <row r="11" customFormat="false" ht="15" hidden="false" customHeight="false" outlineLevel="0" collapsed="false">
      <c r="A11" s="20" t="s">
        <v>344</v>
      </c>
      <c r="B11" s="21" t="n">
        <f aca="false">IF(1&gt;=2,Assumptions!$B$67*IF(1&gt;=Assumptions!$B$14,Assumptions!$B$75,1)/Assumptions!$B$68,0)</f>
        <v>0</v>
      </c>
      <c r="C11" s="21" t="n">
        <f aca="false">IF(2&gt;=2,Assumptions!$B$67*IF(2&gt;=Assumptions!$B$14,Assumptions!$B$75,1)/Assumptions!$B$68,0)</f>
        <v>17.4545454545455</v>
      </c>
      <c r="D11" s="21" t="n">
        <f aca="false">IF(3&gt;=2,Assumptions!$B$67*IF(3&gt;=Assumptions!$B$14,Assumptions!$B$75,1)/Assumptions!$B$68,0)</f>
        <v>17.4545454545455</v>
      </c>
      <c r="E11" s="21" t="n">
        <f aca="false">IF(4&gt;=2,Assumptions!$B$67*IF(4&gt;=Assumptions!$B$14,Assumptions!$B$75,1)/Assumptions!$B$68,0)</f>
        <v>17.4545454545455</v>
      </c>
      <c r="F11" s="21" t="n">
        <f aca="false">IF(5&gt;=2,Assumptions!$B$67*IF(5&gt;=Assumptions!$B$14,Assumptions!$B$75,1)/Assumptions!$B$68,0)</f>
        <v>17.4545454545455</v>
      </c>
      <c r="G11" s="21" t="n">
        <f aca="false">IF(6&gt;=2,Assumptions!$B$67*IF(6&gt;=Assumptions!$B$14,Assumptions!$B$75,1)/Assumptions!$B$68,0)</f>
        <v>17.4545454545455</v>
      </c>
      <c r="H11" s="21" t="n">
        <f aca="false">IF(7&gt;=2,Assumptions!$B$67*IF(7&gt;=Assumptions!$B$14,Assumptions!$B$75,1)/Assumptions!$B$68,0)</f>
        <v>17.4545454545455</v>
      </c>
      <c r="I11" s="21" t="n">
        <f aca="false">IF(8&gt;=2,Assumptions!$B$67*IF(8&gt;=Assumptions!$B$14,Assumptions!$B$75,1)/Assumptions!$B$68,0)</f>
        <v>17.4545454545455</v>
      </c>
      <c r="J11" s="21" t="n">
        <f aca="false">IF(9&gt;=2,Assumptions!$B$67*IF(9&gt;=Assumptions!$B$14,Assumptions!$B$75,1)/Assumptions!$B$68,0)</f>
        <v>17.4545454545455</v>
      </c>
      <c r="K11" s="21" t="n">
        <f aca="false">IF(10&gt;=2,Assumptions!$B$67*IF(10&gt;=Assumptions!$B$14,Assumptions!$B$75,1)/Assumptions!$B$68,0)</f>
        <v>17.4545454545455</v>
      </c>
      <c r="L11" s="21" t="n">
        <f aca="false">IF(11&gt;=2,Assumptions!$B$67*IF(11&gt;=Assumptions!$B$14,Assumptions!$B$75,1)/Assumptions!$B$68,0)</f>
        <v>17.4545454545455</v>
      </c>
      <c r="M11" s="21" t="n">
        <f aca="false">IF(12&gt;=2,Assumptions!$B$67*IF(12&gt;=Assumptions!$B$14,Assumptions!$B$75,1)/Assumptions!$B$68,0)</f>
        <v>17.4545454545455</v>
      </c>
      <c r="N11" s="21" t="n">
        <f aca="false">IF(13&gt;=2,Assumptions!$B$67*IF(13&gt;=Assumptions!$B$14,Assumptions!$B$75,1)/Assumptions!$B$68,0)</f>
        <v>17.4545454545455</v>
      </c>
      <c r="O11" s="21" t="n">
        <f aca="false">IF(14&gt;=2,Assumptions!$B$67*IF(14&gt;=Assumptions!$B$14,Assumptions!$B$75,1)/Assumptions!$B$68,0)</f>
        <v>17.4545454545455</v>
      </c>
      <c r="P11" s="21" t="n">
        <f aca="false">IF(15&gt;=2,Assumptions!$B$67*IF(15&gt;=Assumptions!$B$14,Assumptions!$B$75,1)/Assumptions!$B$68,0)</f>
        <v>17.4545454545455</v>
      </c>
      <c r="Q11" s="21" t="n">
        <f aca="false">IF(16&gt;=2,Assumptions!$B$67*IF(16&gt;=Assumptions!$B$14,Assumptions!$B$75,1)/Assumptions!$B$68,0)</f>
        <v>17.4545454545455</v>
      </c>
      <c r="R11" s="21" t="n">
        <f aca="false">IF(17&gt;=2,Assumptions!$B$67*IF(17&gt;=Assumptions!$B$14,Assumptions!$B$75,1)/Assumptions!$B$68,0)</f>
        <v>17.4545454545455</v>
      </c>
      <c r="S11" s="21" t="n">
        <f aca="false">IF(18&gt;=2,Assumptions!$B$67*IF(18&gt;=Assumptions!$B$14,Assumptions!$B$75,1)/Assumptions!$B$68,0)</f>
        <v>17.4545454545455</v>
      </c>
      <c r="T11" s="21" t="n">
        <f aca="false">IF(19&gt;=2,Assumptions!$B$67*IF(19&gt;=Assumptions!$B$14,Assumptions!$B$75,1)/Assumptions!$B$68,0)</f>
        <v>17.4545454545455</v>
      </c>
      <c r="U11" s="21" t="n">
        <f aca="false">IF(20&gt;=2,Assumptions!$B$67*IF(20&gt;=Assumptions!$B$14,Assumptions!$B$75,1)/Assumptions!$B$68,0)</f>
        <v>17.4545454545455</v>
      </c>
      <c r="V11" s="21" t="n">
        <f aca="false">IF(21&gt;=2,Assumptions!$B$67*IF(21&gt;=Assumptions!$B$14,Assumptions!$B$75,1)/Assumptions!$B$68,0)</f>
        <v>17.4545454545455</v>
      </c>
      <c r="W11" s="21" t="n">
        <f aca="false">IF(22&gt;=2,Assumptions!$B$67*IF(22&gt;=Assumptions!$B$14,Assumptions!$B$75,1)/Assumptions!$B$68,0)</f>
        <v>17.4545454545455</v>
      </c>
      <c r="X11" s="21" t="n">
        <f aca="false">IF(23&gt;=2,Assumptions!$B$67*IF(23&gt;=Assumptions!$B$14,Assumptions!$B$75,1)/Assumptions!$B$68,0)</f>
        <v>17.4545454545455</v>
      </c>
      <c r="Y11" s="21" t="n">
        <f aca="false">IF(24&gt;=2,Assumptions!$B$67*IF(24&gt;=Assumptions!$B$14,Assumptions!$B$75,1)/Assumptions!$B$68,0)</f>
        <v>17.4545454545455</v>
      </c>
      <c r="Z11" s="21" t="n">
        <f aca="false">SUM(B11:M11)</f>
        <v>192</v>
      </c>
      <c r="AA11" s="21" t="n">
        <f aca="false">SUM(N11:Y11)</f>
        <v>209.454545454545</v>
      </c>
      <c r="AB11" s="21" t="n">
        <f aca="false">SUM(B11:Y11)</f>
        <v>401.454545454545</v>
      </c>
    </row>
    <row r="12" customFormat="false" ht="15" hidden="false" customHeight="false" outlineLevel="0" collapsed="false">
      <c r="A12" s="20" t="s">
        <v>345</v>
      </c>
      <c r="B12" s="21" t="n">
        <f aca="false">Assumptions!$B$70*(1+Assumptions!$B$71)^(1-1)</f>
        <v>6</v>
      </c>
      <c r="C12" s="21" t="n">
        <f aca="false">Assumptions!$B$70*(1+Assumptions!$B$71)^(2-1)</f>
        <v>6.36</v>
      </c>
      <c r="D12" s="21" t="n">
        <f aca="false">Assumptions!$B$70*(1+Assumptions!$B$71)^(3-1)</f>
        <v>6.7416</v>
      </c>
      <c r="E12" s="21" t="n">
        <f aca="false">Assumptions!$B$70*(1+Assumptions!$B$71)^(4-1)</f>
        <v>7.146096</v>
      </c>
      <c r="F12" s="21" t="n">
        <f aca="false">Assumptions!$B$70*(1+Assumptions!$B$71)^(5-1)</f>
        <v>7.57486176</v>
      </c>
      <c r="G12" s="21" t="n">
        <f aca="false">Assumptions!$B$70*(1+Assumptions!$B$71)^(6-1)</f>
        <v>8.0293534656</v>
      </c>
      <c r="H12" s="21" t="n">
        <f aca="false">Assumptions!$B$70*(1+Assumptions!$B$71)^(7-1)</f>
        <v>8.511114673536</v>
      </c>
      <c r="I12" s="21" t="n">
        <f aca="false">Assumptions!$B$70*(1+Assumptions!$B$71)^(8-1)</f>
        <v>9.02178155394816</v>
      </c>
      <c r="J12" s="21" t="n">
        <f aca="false">Assumptions!$B$70*(1+Assumptions!$B$71)^(9-1)</f>
        <v>9.56308844718505</v>
      </c>
      <c r="K12" s="21" t="n">
        <f aca="false">Assumptions!$B$70*(1+Assumptions!$B$71)^(10-1)</f>
        <v>10.1368737540162</v>
      </c>
      <c r="L12" s="21" t="n">
        <f aca="false">Assumptions!$B$70*(1+Assumptions!$B$71)^(11-1)</f>
        <v>10.7450861792571</v>
      </c>
      <c r="M12" s="21" t="n">
        <f aca="false">Assumptions!$B$70*(1+Assumptions!$B$71)^(12-1)</f>
        <v>11.3897913500126</v>
      </c>
      <c r="N12" s="21" t="n">
        <f aca="false">Assumptions!$B$70*(1+Assumptions!$B$71)^(13-1)</f>
        <v>12.0731788310133</v>
      </c>
      <c r="O12" s="21" t="n">
        <f aca="false">Assumptions!$B$70*(1+Assumptions!$B$71)^(14-1)</f>
        <v>12.7975695608741</v>
      </c>
      <c r="P12" s="21" t="n">
        <f aca="false">Assumptions!$B$70*(1+Assumptions!$B$71)^(15-1)</f>
        <v>13.5654237345266</v>
      </c>
      <c r="Q12" s="21" t="n">
        <f aca="false">Assumptions!$B$70*(1+Assumptions!$B$71)^(16-1)</f>
        <v>14.3793491585982</v>
      </c>
      <c r="R12" s="21" t="n">
        <f aca="false">Assumptions!$B$70*(1+Assumptions!$B$71)^(17-1)</f>
        <v>15.242110108114</v>
      </c>
      <c r="S12" s="21" t="n">
        <f aca="false">Assumptions!$B$70*(1+Assumptions!$B$71)^(18-1)</f>
        <v>16.1566367146009</v>
      </c>
      <c r="T12" s="21" t="n">
        <f aca="false">Assumptions!$B$70*(1+Assumptions!$B$71)^(19-1)</f>
        <v>17.1260349174769</v>
      </c>
      <c r="U12" s="21" t="n">
        <f aca="false">Assumptions!$B$70*(1+Assumptions!$B$71)^(20-1)</f>
        <v>18.1535970125256</v>
      </c>
      <c r="V12" s="21" t="n">
        <f aca="false">Assumptions!$B$70*(1+Assumptions!$B$71)^(21-1)</f>
        <v>19.2428128332771</v>
      </c>
      <c r="W12" s="21" t="n">
        <f aca="false">Assumptions!$B$70*(1+Assumptions!$B$71)^(22-1)</f>
        <v>20.3973816032737</v>
      </c>
      <c r="X12" s="21" t="n">
        <f aca="false">Assumptions!$B$70*(1+Assumptions!$B$71)^(23-1)</f>
        <v>21.6212244994701</v>
      </c>
      <c r="Y12" s="21" t="n">
        <f aca="false">Assumptions!$B$70*(1+Assumptions!$B$71)^(24-1)</f>
        <v>22.9184979694384</v>
      </c>
      <c r="Z12" s="21" t="n">
        <f aca="false">SUM(B12:M12)</f>
        <v>101.219647183555</v>
      </c>
      <c r="AA12" s="21" t="n">
        <f aca="false">SUM(N12:Y12)</f>
        <v>203.673816943189</v>
      </c>
      <c r="AB12" s="21" t="n">
        <f aca="false">SUM(B12:Y12)</f>
        <v>304.893464126744</v>
      </c>
    </row>
    <row r="13" customFormat="false" ht="15" hidden="false" customHeight="false" outlineLevel="0" collapsed="false">
      <c r="A13" s="18" t="s">
        <v>346</v>
      </c>
      <c r="B13" s="22" t="n">
        <f aca="false">B10+B11+B12</f>
        <v>30.4067796610169</v>
      </c>
      <c r="C13" s="22" t="n">
        <f aca="false">C10+C11+C12</f>
        <v>48.2213251155624</v>
      </c>
      <c r="D13" s="22" t="n">
        <f aca="false">D10+D11+D12</f>
        <v>48.6029251155624</v>
      </c>
      <c r="E13" s="22" t="n">
        <f aca="false">E10+E11+E12</f>
        <v>49.0074211155624</v>
      </c>
      <c r="F13" s="22" t="n">
        <f aca="false">F10+F11+F12</f>
        <v>49.4361868755624</v>
      </c>
      <c r="G13" s="22" t="n">
        <f aca="false">G10+G11+G12</f>
        <v>49.8906785811624</v>
      </c>
      <c r="H13" s="22" t="n">
        <f aca="false">H10+H11+H12</f>
        <v>50.3724397890984</v>
      </c>
      <c r="I13" s="22" t="n">
        <f aca="false">I10+I11+I12</f>
        <v>50.8831066695106</v>
      </c>
      <c r="J13" s="22" t="n">
        <f aca="false">J10+J11+J12</f>
        <v>51.4244135627475</v>
      </c>
      <c r="K13" s="22" t="n">
        <f aca="false">K10+K11+K12</f>
        <v>51.9981988695786</v>
      </c>
      <c r="L13" s="22" t="n">
        <f aca="false">L10+L11+L12</f>
        <v>52.6064112948195</v>
      </c>
      <c r="M13" s="22" t="n">
        <f aca="false">M10+M11+M12</f>
        <v>53.251116465575</v>
      </c>
      <c r="N13" s="22" t="n">
        <f aca="false">N10+N11+N12</f>
        <v>53.9345039465757</v>
      </c>
      <c r="O13" s="22" t="n">
        <f aca="false">O10+O11+O12</f>
        <v>54.6588946764365</v>
      </c>
      <c r="P13" s="22" t="n">
        <f aca="false">P10+P11+P12</f>
        <v>55.426748850089</v>
      </c>
      <c r="Q13" s="22" t="n">
        <f aca="false">Q10+Q11+Q12</f>
        <v>56.2406742741606</v>
      </c>
      <c r="R13" s="22" t="n">
        <f aca="false">R10+R11+R12</f>
        <v>57.1034352236764</v>
      </c>
      <c r="S13" s="22" t="n">
        <f aca="false">S10+S11+S12</f>
        <v>58.0179618301633</v>
      </c>
      <c r="T13" s="22" t="n">
        <f aca="false">T10+T11+T12</f>
        <v>58.9873600330393</v>
      </c>
      <c r="U13" s="22" t="n">
        <f aca="false">U10+U11+U12</f>
        <v>60.014922128088</v>
      </c>
      <c r="V13" s="22" t="n">
        <f aca="false">V10+V11+V12</f>
        <v>61.1041379488395</v>
      </c>
      <c r="W13" s="22" t="n">
        <f aca="false">W10+W11+W12</f>
        <v>62.2587067188361</v>
      </c>
      <c r="X13" s="22" t="n">
        <f aca="false">X10+X11+X12</f>
        <v>63.4825496150325</v>
      </c>
      <c r="Y13" s="22" t="n">
        <f aca="false">Y10+Y11+Y12</f>
        <v>64.7798230850007</v>
      </c>
      <c r="Z13" s="22" t="n">
        <f aca="false">SUM(B13:M13)</f>
        <v>586.101003115758</v>
      </c>
      <c r="AA13" s="22" t="n">
        <f aca="false">SUM(N13:Y13)</f>
        <v>706.009718329938</v>
      </c>
      <c r="AB13" s="22" t="n">
        <f aca="false">SUM(B13:Y13)</f>
        <v>1292.1107214457</v>
      </c>
    </row>
    <row r="14" customFormat="false" ht="15" hidden="false" customHeight="false" outlineLevel="0" collapsed="false">
      <c r="A14" s="20" t="s">
        <v>347</v>
      </c>
      <c r="B14" s="21" t="n">
        <f aca="false">B10*Assumptions!$B$66+B11*Assumptions!$B$69+B12*Assumptions!$B$72</f>
        <v>16.1033898305085</v>
      </c>
      <c r="C14" s="21" t="n">
        <f aca="false">C10*Assumptions!$B$66+C11*Assumptions!$B$69+C12*Assumptions!$B$72</f>
        <v>21.5737534668721</v>
      </c>
      <c r="D14" s="21" t="n">
        <f aca="false">D10*Assumptions!$B$66+D11*Assumptions!$B$69+D12*Assumptions!$B$72</f>
        <v>21.8217934668721</v>
      </c>
      <c r="E14" s="21" t="n">
        <f aca="false">E10*Assumptions!$B$66+E11*Assumptions!$B$69+E12*Assumptions!$B$72</f>
        <v>22.0847158668721</v>
      </c>
      <c r="F14" s="21" t="n">
        <f aca="false">F10*Assumptions!$B$66+F11*Assumptions!$B$69+F12*Assumptions!$B$72</f>
        <v>22.3634136108721</v>
      </c>
      <c r="G14" s="21" t="n">
        <f aca="false">G10*Assumptions!$B$66+G11*Assumptions!$B$69+G12*Assumptions!$B$72</f>
        <v>22.6588332195121</v>
      </c>
      <c r="H14" s="21" t="n">
        <f aca="false">H10*Assumptions!$B$66+H11*Assumptions!$B$69+H12*Assumptions!$B$72</f>
        <v>22.9719780046705</v>
      </c>
      <c r="I14" s="21" t="n">
        <f aca="false">I10*Assumptions!$B$66+I11*Assumptions!$B$69+I12*Assumptions!$B$72</f>
        <v>23.3039114769384</v>
      </c>
      <c r="J14" s="21" t="n">
        <f aca="false">J10*Assumptions!$B$66+J11*Assumptions!$B$69+J12*Assumptions!$B$72</f>
        <v>23.6557609575424</v>
      </c>
      <c r="K14" s="21" t="n">
        <f aca="false">K10*Assumptions!$B$66+K11*Assumptions!$B$69+K12*Assumptions!$B$72</f>
        <v>24.0287214069826</v>
      </c>
      <c r="L14" s="21" t="n">
        <f aca="false">L10*Assumptions!$B$66+L11*Assumptions!$B$69+L12*Assumptions!$B$72</f>
        <v>24.4240594833892</v>
      </c>
      <c r="M14" s="21" t="n">
        <f aca="false">M10*Assumptions!$B$66+M11*Assumptions!$B$69+M12*Assumptions!$B$72</f>
        <v>24.8431178443803</v>
      </c>
      <c r="N14" s="21" t="n">
        <f aca="false">N10*Assumptions!$B$66+N11*Assumptions!$B$69+N12*Assumptions!$B$72</f>
        <v>25.2873197070308</v>
      </c>
      <c r="O14" s="21" t="n">
        <f aca="false">O10*Assumptions!$B$66+O11*Assumptions!$B$69+O12*Assumptions!$B$72</f>
        <v>25.7581736814403</v>
      </c>
      <c r="P14" s="21" t="n">
        <f aca="false">P10*Assumptions!$B$66+P11*Assumptions!$B$69+P12*Assumptions!$B$72</f>
        <v>26.2572788943144</v>
      </c>
      <c r="Q14" s="21" t="n">
        <f aca="false">Q10*Assumptions!$B$66+Q11*Assumptions!$B$69+Q12*Assumptions!$B$72</f>
        <v>26.7863304199609</v>
      </c>
      <c r="R14" s="21" t="n">
        <f aca="false">R10*Assumptions!$B$66+R11*Assumptions!$B$69+R12*Assumptions!$B$72</f>
        <v>27.3471250371462</v>
      </c>
      <c r="S14" s="21" t="n">
        <f aca="false">S10*Assumptions!$B$66+S11*Assumptions!$B$69+S12*Assumptions!$B$72</f>
        <v>27.9415673313627</v>
      </c>
      <c r="T14" s="21" t="n">
        <f aca="false">T10*Assumptions!$B$66+T11*Assumptions!$B$69+T12*Assumptions!$B$72</f>
        <v>28.5716761632321</v>
      </c>
      <c r="U14" s="21" t="n">
        <f aca="false">U10*Assumptions!$B$66+U11*Assumptions!$B$69+U12*Assumptions!$B$72</f>
        <v>29.2395915250137</v>
      </c>
      <c r="V14" s="21" t="n">
        <f aca="false">V10*Assumptions!$B$66+V11*Assumptions!$B$69+V12*Assumptions!$B$72</f>
        <v>29.9475818085022</v>
      </c>
      <c r="W14" s="21" t="n">
        <f aca="false">W10*Assumptions!$B$66+W11*Assumptions!$B$69+W12*Assumptions!$B$72</f>
        <v>30.698051509</v>
      </c>
      <c r="X14" s="21" t="n">
        <f aca="false">X10*Assumptions!$B$66+X11*Assumptions!$B$69+X12*Assumptions!$B$72</f>
        <v>31.4935493915277</v>
      </c>
      <c r="Y14" s="21" t="n">
        <f aca="false">Y10*Assumptions!$B$66+Y11*Assumptions!$B$69+Y12*Assumptions!$B$72</f>
        <v>32.336777147007</v>
      </c>
      <c r="Z14" s="21" t="n">
        <f aca="false">SUM(B14:M14)</f>
        <v>269.833448635413</v>
      </c>
      <c r="AA14" s="21" t="n">
        <f aca="false">SUM(N14:Y14)</f>
        <v>341.665022615538</v>
      </c>
      <c r="AB14" s="21" t="n">
        <f aca="false">SUM(B14:Y14)</f>
        <v>611.498471250951</v>
      </c>
    </row>
    <row r="15" customFormat="false" ht="15" hidden="false" customHeight="false" outlineLevel="0" collapsed="false">
      <c r="A15" s="18" t="s">
        <v>348</v>
      </c>
      <c r="B15" s="22" t="n">
        <f aca="false">B14*Assumptions!$B$74</f>
        <v>11.2723728813559</v>
      </c>
      <c r="C15" s="22" t="n">
        <f aca="false">C14*Assumptions!$B$74</f>
        <v>15.1016274268105</v>
      </c>
      <c r="D15" s="22" t="n">
        <f aca="false">D14*Assumptions!$B$74</f>
        <v>15.2752554268105</v>
      </c>
      <c r="E15" s="22" t="n">
        <f aca="false">E14*Assumptions!$B$74</f>
        <v>15.4593011068105</v>
      </c>
      <c r="F15" s="22" t="n">
        <f aca="false">F14*Assumptions!$B$74</f>
        <v>15.6543895276105</v>
      </c>
      <c r="G15" s="22" t="n">
        <f aca="false">G14*Assumptions!$B$74</f>
        <v>15.8611832536585</v>
      </c>
      <c r="H15" s="22" t="n">
        <f aca="false">H14*Assumptions!$B$74</f>
        <v>16.0803846032694</v>
      </c>
      <c r="I15" s="22" t="n">
        <f aca="false">I14*Assumptions!$B$74</f>
        <v>16.3127380338569</v>
      </c>
      <c r="J15" s="22" t="n">
        <f aca="false">J14*Assumptions!$B$74</f>
        <v>16.5590326702797</v>
      </c>
      <c r="K15" s="22" t="n">
        <f aca="false">K14*Assumptions!$B$74</f>
        <v>16.8201049848878</v>
      </c>
      <c r="L15" s="22" t="n">
        <f aca="false">L14*Assumptions!$B$74</f>
        <v>17.0968416383725</v>
      </c>
      <c r="M15" s="22" t="n">
        <f aca="false">M14*Assumptions!$B$74</f>
        <v>17.3901824910662</v>
      </c>
      <c r="N15" s="22" t="n">
        <f aca="false">N14*Assumptions!$B$74</f>
        <v>17.7011237949215</v>
      </c>
      <c r="O15" s="22" t="n">
        <f aca="false">O14*Assumptions!$B$74</f>
        <v>18.0307215770082</v>
      </c>
      <c r="P15" s="22" t="n">
        <f aca="false">P14*Assumptions!$B$74</f>
        <v>18.3800952260201</v>
      </c>
      <c r="Q15" s="22" t="n">
        <f aca="false">Q14*Assumptions!$B$74</f>
        <v>18.7504312939726</v>
      </c>
      <c r="R15" s="22" t="n">
        <f aca="false">R14*Assumptions!$B$74</f>
        <v>19.1429875260024</v>
      </c>
      <c r="S15" s="22" t="n">
        <f aca="false">S14*Assumptions!$B$74</f>
        <v>19.5590971319539</v>
      </c>
      <c r="T15" s="22" t="n">
        <f aca="false">T14*Assumptions!$B$74</f>
        <v>20.0001733142625</v>
      </c>
      <c r="U15" s="22" t="n">
        <f aca="false">U14*Assumptions!$B$74</f>
        <v>20.4677140675096</v>
      </c>
      <c r="V15" s="22" t="n">
        <f aca="false">V14*Assumptions!$B$74</f>
        <v>20.9633072659516</v>
      </c>
      <c r="W15" s="22" t="n">
        <f aca="false">W14*Assumptions!$B$74</f>
        <v>21.4886360563</v>
      </c>
      <c r="X15" s="22" t="n">
        <f aca="false">X14*Assumptions!$B$74</f>
        <v>22.0454845740694</v>
      </c>
      <c r="Y15" s="22" t="n">
        <f aca="false">Y14*Assumptions!$B$74</f>
        <v>22.6357440029049</v>
      </c>
      <c r="Z15" s="22" t="n">
        <f aca="false">SUM(B15:M15)</f>
        <v>188.883414044789</v>
      </c>
      <c r="AA15" s="22" t="n">
        <f aca="false">SUM(N15:Y15)</f>
        <v>239.165515830877</v>
      </c>
      <c r="AB15" s="22" t="n">
        <f aca="false">SUM(B15:Y15)</f>
        <v>428.048929875665</v>
      </c>
    </row>
    <row r="16" customFormat="false" ht="15" hidden="false" customHeight="false" outlineLevel="0" collapsed="false">
      <c r="A16" s="20" t="s">
        <v>349</v>
      </c>
      <c r="B16" s="21" t="n">
        <f aca="false">B15*Assumptions!$B$17</f>
        <v>1127.23728813559</v>
      </c>
      <c r="C16" s="21" t="n">
        <f aca="false">C15*Assumptions!$B$17</f>
        <v>1510.16274268105</v>
      </c>
      <c r="D16" s="21" t="n">
        <f aca="false">D15*Assumptions!$B$17</f>
        <v>1527.52554268105</v>
      </c>
      <c r="E16" s="21" t="n">
        <f aca="false">E15*Assumptions!$B$17</f>
        <v>1545.93011068105</v>
      </c>
      <c r="F16" s="21" t="n">
        <f aca="false">F15*Assumptions!$B$17</f>
        <v>1565.43895276105</v>
      </c>
      <c r="G16" s="21" t="n">
        <f aca="false">G15*Assumptions!$B$17</f>
        <v>1586.11832536585</v>
      </c>
      <c r="H16" s="21" t="n">
        <f aca="false">H15*Assumptions!$B$17</f>
        <v>1608.03846032694</v>
      </c>
      <c r="I16" s="21" t="n">
        <f aca="false">I15*Assumptions!$B$17</f>
        <v>1631.27380338569</v>
      </c>
      <c r="J16" s="21" t="n">
        <f aca="false">J15*Assumptions!$B$17</f>
        <v>1655.90326702797</v>
      </c>
      <c r="K16" s="21" t="n">
        <f aca="false">K15*Assumptions!$B$17</f>
        <v>1682.01049848878</v>
      </c>
      <c r="L16" s="21" t="n">
        <f aca="false">L15*Assumptions!$B$17</f>
        <v>1709.68416383725</v>
      </c>
      <c r="M16" s="21" t="n">
        <f aca="false">M15*Assumptions!$B$17</f>
        <v>1739.01824910662</v>
      </c>
      <c r="N16" s="21" t="n">
        <f aca="false">N15*Assumptions!$B$17</f>
        <v>1770.11237949215</v>
      </c>
      <c r="O16" s="21" t="n">
        <f aca="false">O15*Assumptions!$B$17</f>
        <v>1803.07215770082</v>
      </c>
      <c r="P16" s="21" t="n">
        <f aca="false">P15*Assumptions!$B$17</f>
        <v>1838.00952260201</v>
      </c>
      <c r="Q16" s="21" t="n">
        <f aca="false">Q15*Assumptions!$B$17</f>
        <v>1875.04312939726</v>
      </c>
      <c r="R16" s="21" t="n">
        <f aca="false">R15*Assumptions!$B$17</f>
        <v>1914.29875260024</v>
      </c>
      <c r="S16" s="21" t="n">
        <f aca="false">S15*Assumptions!$B$17</f>
        <v>1955.90971319539</v>
      </c>
      <c r="T16" s="21" t="n">
        <f aca="false">T15*Assumptions!$B$17</f>
        <v>2000.01733142625</v>
      </c>
      <c r="U16" s="21" t="n">
        <f aca="false">U15*Assumptions!$B$17</f>
        <v>2046.77140675096</v>
      </c>
      <c r="V16" s="21" t="n">
        <f aca="false">V15*Assumptions!$B$17</f>
        <v>2096.33072659516</v>
      </c>
      <c r="W16" s="21" t="n">
        <f aca="false">W15*Assumptions!$B$17</f>
        <v>2148.86360563</v>
      </c>
      <c r="X16" s="21" t="n">
        <f aca="false">X15*Assumptions!$B$17</f>
        <v>2204.54845740694</v>
      </c>
      <c r="Y16" s="21" t="n">
        <f aca="false">Y15*Assumptions!$B$17</f>
        <v>2263.57440029049</v>
      </c>
      <c r="Z16" s="21" t="n">
        <f aca="false">SUM(B16:M16)</f>
        <v>18888.3414044789</v>
      </c>
      <c r="AA16" s="21" t="n">
        <f aca="false">SUM(N16:Y16)</f>
        <v>23916.5515830877</v>
      </c>
      <c r="AB16" s="21" t="n">
        <f aca="false">SUM(B16:Y16)</f>
        <v>42804.8929875665</v>
      </c>
    </row>
    <row r="17" customFormat="false" ht="15" hidden="false" customHeight="false" outlineLevel="0" collapsed="false">
      <c r="A17" s="18" t="s">
        <v>350</v>
      </c>
      <c r="B17" s="22" t="n">
        <f aca="false">MIN(B16+0,B8)</f>
        <v>1127.23728813559</v>
      </c>
      <c r="C17" s="22" t="n">
        <f aca="false">MIN(C16+B18,C8)</f>
        <v>1510.16274268105</v>
      </c>
      <c r="D17" s="22" t="n">
        <f aca="false">MIN(D16+C18,D8)</f>
        <v>1527.52554268105</v>
      </c>
      <c r="E17" s="22" t="n">
        <f aca="false">MIN(E16+D18,E8)</f>
        <v>1545.93011068105</v>
      </c>
      <c r="F17" s="22" t="n">
        <f aca="false">MIN(F16+E18,F8)</f>
        <v>1565.43895276105</v>
      </c>
      <c r="G17" s="22" t="n">
        <f aca="false">MIN(G16+F18,G8)</f>
        <v>1586.11832536585</v>
      </c>
      <c r="H17" s="22" t="n">
        <f aca="false">MIN(H16+G18,H8)</f>
        <v>1608.03846032694</v>
      </c>
      <c r="I17" s="22" t="n">
        <f aca="false">MIN(I16+H18,I8)</f>
        <v>1631.27380338569</v>
      </c>
      <c r="J17" s="22" t="n">
        <f aca="false">MIN(J16+I18,J8)</f>
        <v>1655.90326702797</v>
      </c>
      <c r="K17" s="22" t="n">
        <f aca="false">MIN(K16+J18,K8)</f>
        <v>1682.01049848878</v>
      </c>
      <c r="L17" s="22" t="n">
        <f aca="false">MIN(L16+K18,L8)</f>
        <v>1709.68416383725</v>
      </c>
      <c r="M17" s="22" t="n">
        <f aca="false">MIN(M16+L18,M8)</f>
        <v>1739.01824910662</v>
      </c>
      <c r="N17" s="22" t="n">
        <f aca="false">MIN(N16+M18,N8)</f>
        <v>1770.11237949215</v>
      </c>
      <c r="O17" s="22" t="n">
        <f aca="false">MIN(O16+N18,O8)</f>
        <v>1800</v>
      </c>
      <c r="P17" s="22" t="n">
        <f aca="false">MIN(P16+O18,P8)</f>
        <v>1800</v>
      </c>
      <c r="Q17" s="22" t="n">
        <f aca="false">MIN(Q16+P18,Q8)</f>
        <v>1800</v>
      </c>
      <c r="R17" s="22" t="n">
        <f aca="false">MIN(R16+Q18,R8)</f>
        <v>1800</v>
      </c>
      <c r="S17" s="22" t="n">
        <f aca="false">MIN(S16+R18,S8)</f>
        <v>1800</v>
      </c>
      <c r="T17" s="22" t="n">
        <f aca="false">MIN(T16+S18,T8)</f>
        <v>1800</v>
      </c>
      <c r="U17" s="22" t="n">
        <f aca="false">MIN(U16+T18,U8)</f>
        <v>1800</v>
      </c>
      <c r="V17" s="22" t="n">
        <f aca="false">MIN(V16+U18,V8)</f>
        <v>1800</v>
      </c>
      <c r="W17" s="22" t="n">
        <f aca="false">MIN(W16+V18,W8)</f>
        <v>1800</v>
      </c>
      <c r="X17" s="22" t="n">
        <f aca="false">MIN(X16+W18,X8)</f>
        <v>1800</v>
      </c>
      <c r="Y17" s="22" t="n">
        <f aca="false">MIN(Y16+X18,Y8)</f>
        <v>1800</v>
      </c>
      <c r="Z17" s="22" t="n">
        <f aca="false">SUM(B17:M17)</f>
        <v>18888.3414044789</v>
      </c>
      <c r="AA17" s="22" t="n">
        <f aca="false">SUM(N17:Y17)</f>
        <v>21570.1123794922</v>
      </c>
      <c r="AB17" s="22" t="n">
        <f aca="false">SUM(B17:Y17)</f>
        <v>40458.453783971</v>
      </c>
    </row>
    <row r="18" customFormat="false" ht="15" hidden="false" customHeight="false" outlineLevel="0" collapsed="false">
      <c r="A18" s="20" t="s">
        <v>351</v>
      </c>
      <c r="B18" s="21" t="n">
        <f aca="false">MIN(B8*Assumptions!$B$18,MAX(0,B16+0-B17))</f>
        <v>0</v>
      </c>
      <c r="C18" s="21" t="n">
        <f aca="false">MIN(C8*Assumptions!$B$18,MAX(0,C16+B18-C17))</f>
        <v>0</v>
      </c>
      <c r="D18" s="21" t="n">
        <f aca="false">MIN(D8*Assumptions!$B$18,MAX(0,D16+C18-D17))</f>
        <v>0</v>
      </c>
      <c r="E18" s="21" t="n">
        <f aca="false">MIN(E8*Assumptions!$B$18,MAX(0,E16+D18-E17))</f>
        <v>0</v>
      </c>
      <c r="F18" s="21" t="n">
        <f aca="false">MIN(F8*Assumptions!$B$18,MAX(0,F16+E18-F17))</f>
        <v>0</v>
      </c>
      <c r="G18" s="21" t="n">
        <f aca="false">MIN(G8*Assumptions!$B$18,MAX(0,G16+F18-G17))</f>
        <v>0</v>
      </c>
      <c r="H18" s="21" t="n">
        <f aca="false">MIN(H8*Assumptions!$B$18,MAX(0,H16+G18-H17))</f>
        <v>0</v>
      </c>
      <c r="I18" s="21" t="n">
        <f aca="false">MIN(I8*Assumptions!$B$18,MAX(0,I16+H18-I17))</f>
        <v>0</v>
      </c>
      <c r="J18" s="21" t="n">
        <f aca="false">MIN(J8*Assumptions!$B$18,MAX(0,J16+I18-J17))</f>
        <v>0</v>
      </c>
      <c r="K18" s="21" t="n">
        <f aca="false">MIN(K8*Assumptions!$B$18,MAX(0,K16+J18-K17))</f>
        <v>0</v>
      </c>
      <c r="L18" s="21" t="n">
        <f aca="false">MIN(L8*Assumptions!$B$18,MAX(0,L16+K18-L17))</f>
        <v>0</v>
      </c>
      <c r="M18" s="21" t="n">
        <f aca="false">MIN(M8*Assumptions!$B$18,MAX(0,M16+L18-M17))</f>
        <v>0</v>
      </c>
      <c r="N18" s="21" t="n">
        <f aca="false">MIN(N8*Assumptions!$B$18,MAX(0,N16+M18-N17))</f>
        <v>0</v>
      </c>
      <c r="O18" s="21" t="n">
        <f aca="false">MIN(O8*Assumptions!$B$18,MAX(0,O16+N18-O17))</f>
        <v>3.07215770081939</v>
      </c>
      <c r="P18" s="21" t="n">
        <f aca="false">MIN(P8*Assumptions!$B$18,MAX(0,P16+O18-P17))</f>
        <v>41.0816803028254</v>
      </c>
      <c r="Q18" s="21" t="n">
        <f aca="false">MIN(Q8*Assumptions!$B$18,MAX(0,Q16+P18-Q17))</f>
        <v>116.124809700088</v>
      </c>
      <c r="R18" s="21" t="n">
        <f aca="false">MIN(R8*Assumptions!$B$18,MAX(0,R16+Q18-R17))</f>
        <v>230.423562300325</v>
      </c>
      <c r="S18" s="21" t="n">
        <f aca="false">MIN(S8*Assumptions!$B$18,MAX(0,S16+R18-S17))</f>
        <v>386.333275495712</v>
      </c>
      <c r="T18" s="21" t="n">
        <f aca="false">MIN(T8*Assumptions!$B$18,MAX(0,T16+S18-T17))</f>
        <v>586.350606921961</v>
      </c>
      <c r="U18" s="21" t="n">
        <f aca="false">MIN(U8*Assumptions!$B$18,MAX(0,U16+T18-U17))</f>
        <v>833.122013672921</v>
      </c>
      <c r="V18" s="21" t="n">
        <f aca="false">MIN(V8*Assumptions!$B$18,MAX(0,V16+U18-V17))</f>
        <v>1129.45274026808</v>
      </c>
      <c r="W18" s="21" t="n">
        <f aca="false">MIN(W8*Assumptions!$B$18,MAX(0,W16+V18-W17))</f>
        <v>1478.31634589808</v>
      </c>
      <c r="X18" s="21" t="n">
        <f aca="false">MIN(X8*Assumptions!$B$18,MAX(0,X16+W18-X17))</f>
        <v>1800</v>
      </c>
      <c r="Y18" s="21" t="n">
        <f aca="false">MIN(Y8*Assumptions!$B$18,MAX(0,Y16+X18-Y17))</f>
        <v>1800</v>
      </c>
      <c r="Z18" s="3"/>
      <c r="AA18" s="3"/>
      <c r="AB18" s="3"/>
    </row>
    <row r="19" customFormat="false" ht="15" hidden="false" customHeight="false" outlineLevel="0" collapsed="false">
      <c r="A19" s="20" t="s">
        <v>352</v>
      </c>
      <c r="B19" s="23" t="n">
        <f aca="false">IF(B8=0,0,B17/B8)</f>
        <v>0.626242937853107</v>
      </c>
      <c r="C19" s="23" t="n">
        <f aca="false">IF(C8=0,0,C17/C8)</f>
        <v>0.838979301489471</v>
      </c>
      <c r="D19" s="23" t="n">
        <f aca="false">IF(D8=0,0,D17/D8)</f>
        <v>0.848625301489471</v>
      </c>
      <c r="E19" s="23" t="n">
        <f aca="false">IF(E8=0,0,E17/E8)</f>
        <v>0.858850061489471</v>
      </c>
      <c r="F19" s="23" t="n">
        <f aca="false">IF(F8=0,0,F17/F8)</f>
        <v>0.869688307089471</v>
      </c>
      <c r="G19" s="23" t="n">
        <f aca="false">IF(G8=0,0,G17/G8)</f>
        <v>0.881176847425471</v>
      </c>
      <c r="H19" s="23" t="n">
        <f aca="false">IF(H8=0,0,H17/H8)</f>
        <v>0.893354700181631</v>
      </c>
      <c r="I19" s="23" t="n">
        <f aca="false">IF(I8=0,0,I17/I8)</f>
        <v>0.90626322410316</v>
      </c>
      <c r="J19" s="23" t="n">
        <f aca="false">IF(J8=0,0,J17/J8)</f>
        <v>0.919946259459982</v>
      </c>
      <c r="K19" s="23" t="n">
        <f aca="false">IF(K8=0,0,K17/K8)</f>
        <v>0.934450276938213</v>
      </c>
      <c r="L19" s="23" t="n">
        <f aca="false">IF(L8=0,0,L17/L8)</f>
        <v>0.949824535465137</v>
      </c>
      <c r="M19" s="23" t="n">
        <f aca="false">IF(M8=0,0,M17/M8)</f>
        <v>0.966121249503677</v>
      </c>
      <c r="N19" s="23" t="n">
        <f aca="false">IF(N8=0,0,N17/N8)</f>
        <v>0.98339576638453</v>
      </c>
      <c r="O19" s="23" t="n">
        <f aca="false">IF(O8=0,0,O17/O8)</f>
        <v>1</v>
      </c>
      <c r="P19" s="23" t="n">
        <f aca="false">IF(P8=0,0,P17/P8)</f>
        <v>1</v>
      </c>
      <c r="Q19" s="23" t="n">
        <f aca="false">IF(Q8=0,0,Q17/Q8)</f>
        <v>1</v>
      </c>
      <c r="R19" s="23" t="n">
        <f aca="false">IF(R8=0,0,R17/R8)</f>
        <v>1</v>
      </c>
      <c r="S19" s="23" t="n">
        <f aca="false">IF(S8=0,0,S17/S8)</f>
        <v>1</v>
      </c>
      <c r="T19" s="23" t="n">
        <f aca="false">IF(T8=0,0,T17/T8)</f>
        <v>1</v>
      </c>
      <c r="U19" s="23" t="n">
        <f aca="false">IF(U8=0,0,U17/U8)</f>
        <v>1</v>
      </c>
      <c r="V19" s="23" t="n">
        <f aca="false">IF(V8=0,0,V17/V8)</f>
        <v>1</v>
      </c>
      <c r="W19" s="23" t="n">
        <f aca="false">IF(W8=0,0,W17/W8)</f>
        <v>1</v>
      </c>
      <c r="X19" s="23" t="n">
        <f aca="false">IF(X8=0,0,X17/X8)</f>
        <v>1</v>
      </c>
      <c r="Y19" s="23" t="n">
        <f aca="false">IF(Y8=0,0,Y17/Y8)</f>
        <v>1</v>
      </c>
      <c r="Z19" s="3"/>
      <c r="AA19" s="3"/>
      <c r="AB19" s="3"/>
    </row>
    <row r="20" customFormat="false" ht="15" hidden="false" customHeight="false" outlineLevel="0" collapsed="false">
      <c r="A20" s="5" t="s">
        <v>353</v>
      </c>
      <c r="B20" s="6"/>
      <c r="C20" s="6"/>
      <c r="D20" s="6"/>
      <c r="E20" s="6"/>
      <c r="F20" s="6"/>
      <c r="G20" s="6"/>
      <c r="H20" s="6"/>
      <c r="I20" s="6"/>
      <c r="J20" s="6"/>
      <c r="K20" s="6"/>
      <c r="L20" s="6"/>
      <c r="M20" s="6"/>
      <c r="N20" s="6"/>
      <c r="O20" s="6"/>
      <c r="P20" s="6"/>
      <c r="Q20" s="6"/>
      <c r="R20" s="6"/>
      <c r="S20" s="6"/>
      <c r="T20" s="6"/>
      <c r="U20" s="6"/>
      <c r="V20" s="6"/>
      <c r="W20" s="6"/>
      <c r="X20" s="6"/>
      <c r="Y20" s="6"/>
      <c r="Z20" s="6"/>
      <c r="AA20" s="6"/>
      <c r="AB20" s="6"/>
    </row>
    <row r="21" customFormat="false" ht="15" hidden="false" customHeight="false" outlineLevel="0" collapsed="false">
      <c r="A21" s="20" t="s">
        <v>354</v>
      </c>
      <c r="B21" s="16" t="n">
        <f aca="false">B17/Assumptions!$B$11</f>
        <v>26.2148206543161</v>
      </c>
      <c r="C21" s="16" t="n">
        <f aca="false">C17/Assumptions!$B$11</f>
        <v>35.1200637832802</v>
      </c>
      <c r="D21" s="16" t="n">
        <f aca="false">D17/Assumptions!$B$11</f>
        <v>35.5238498297918</v>
      </c>
      <c r="E21" s="16" t="n">
        <f aca="false">E17/Assumptions!$B$11</f>
        <v>35.9518630390941</v>
      </c>
      <c r="F21" s="16" t="n">
        <f aca="false">F17/Assumptions!$B$11</f>
        <v>36.4055570409546</v>
      </c>
      <c r="G21" s="16" t="n">
        <f aca="false">G17/Assumptions!$B$11</f>
        <v>36.8864726829267</v>
      </c>
      <c r="H21" s="16" t="n">
        <f aca="false">H17/Assumptions!$B$11</f>
        <v>37.3962432634171</v>
      </c>
      <c r="I21" s="16" t="n">
        <f aca="false">I17/Assumptions!$B$11</f>
        <v>37.936600078737</v>
      </c>
      <c r="J21" s="16" t="n">
        <f aca="false">J17/Assumptions!$B$11</f>
        <v>38.509378302976</v>
      </c>
      <c r="K21" s="16" t="n">
        <f aca="false">K17/Assumptions!$B$11</f>
        <v>39.1165232206694</v>
      </c>
      <c r="L21" s="16" t="n">
        <f aca="false">L17/Assumptions!$B$11</f>
        <v>39.7600968334243</v>
      </c>
      <c r="M21" s="16" t="n">
        <f aca="false">M17/Assumptions!$B$11</f>
        <v>40.4422848629446</v>
      </c>
      <c r="N21" s="16" t="n">
        <f aca="false">N17/Assumptions!$B$11</f>
        <v>41.1654041742361</v>
      </c>
      <c r="O21" s="16" t="n">
        <f aca="false">O17/Assumptions!$B$11</f>
        <v>41.8604651162791</v>
      </c>
      <c r="P21" s="16" t="n">
        <f aca="false">P17/Assumptions!$B$11</f>
        <v>41.8604651162791</v>
      </c>
      <c r="Q21" s="16" t="n">
        <f aca="false">Q17/Assumptions!$B$11</f>
        <v>41.8604651162791</v>
      </c>
      <c r="R21" s="16" t="n">
        <f aca="false">R17/Assumptions!$B$11</f>
        <v>41.8604651162791</v>
      </c>
      <c r="S21" s="16" t="n">
        <f aca="false">S17/Assumptions!$B$11</f>
        <v>41.8604651162791</v>
      </c>
      <c r="T21" s="16" t="n">
        <f aca="false">T17/Assumptions!$B$11</f>
        <v>41.8604651162791</v>
      </c>
      <c r="U21" s="16" t="n">
        <f aca="false">U17/Assumptions!$B$11</f>
        <v>41.8604651162791</v>
      </c>
      <c r="V21" s="16" t="n">
        <f aca="false">V17/Assumptions!$B$11</f>
        <v>41.8604651162791</v>
      </c>
      <c r="W21" s="16" t="n">
        <f aca="false">W17/Assumptions!$B$11</f>
        <v>41.8604651162791</v>
      </c>
      <c r="X21" s="16" t="n">
        <f aca="false">X17/Assumptions!$B$11</f>
        <v>41.8604651162791</v>
      </c>
      <c r="Y21" s="16" t="n">
        <f aca="false">Y17/Assumptions!$B$11</f>
        <v>41.8604651162791</v>
      </c>
      <c r="Z21" s="3"/>
      <c r="AA21" s="3"/>
      <c r="AB21" s="3"/>
    </row>
    <row r="22" customFormat="false" ht="15" hidden="false" customHeight="false" outlineLevel="0" collapsed="false">
      <c r="A22" s="20" t="s">
        <v>355</v>
      </c>
      <c r="B22" s="17" t="n">
        <f aca="false">B17*Assumptions!$B$5</f>
        <v>56361.8644067797</v>
      </c>
      <c r="C22" s="17" t="n">
        <f aca="false">C17*Assumptions!$B$5</f>
        <v>75508.1371340524</v>
      </c>
      <c r="D22" s="17" t="n">
        <f aca="false">D17*Assumptions!$B$5</f>
        <v>76376.2771340524</v>
      </c>
      <c r="E22" s="17" t="n">
        <f aca="false">E17*Assumptions!$B$5</f>
        <v>77296.5055340524</v>
      </c>
      <c r="F22" s="17" t="n">
        <f aca="false">F17*Assumptions!$B$5</f>
        <v>78271.9476380524</v>
      </c>
      <c r="G22" s="17" t="n">
        <f aca="false">G17*Assumptions!$B$5</f>
        <v>79305.9162682924</v>
      </c>
      <c r="H22" s="17" t="n">
        <f aca="false">H17*Assumptions!$B$5</f>
        <v>80401.9230163468</v>
      </c>
      <c r="I22" s="17" t="n">
        <f aca="false">I17*Assumptions!$B$5</f>
        <v>81563.6901692844</v>
      </c>
      <c r="J22" s="17" t="n">
        <f aca="false">J17*Assumptions!$B$5</f>
        <v>82795.1633513984</v>
      </c>
      <c r="K22" s="17" t="n">
        <f aca="false">K17*Assumptions!$B$5</f>
        <v>84100.5249244392</v>
      </c>
      <c r="L22" s="17" t="n">
        <f aca="false">L17*Assumptions!$B$5</f>
        <v>85484.2081918623</v>
      </c>
      <c r="M22" s="17" t="n">
        <f aca="false">M17*Assumptions!$B$5</f>
        <v>86950.912455331</v>
      </c>
      <c r="N22" s="17" t="n">
        <f aca="false">N17*Assumptions!$B$5</f>
        <v>88505.6189746077</v>
      </c>
      <c r="O22" s="17" t="n">
        <f aca="false">O17*Assumptions!$B$5</f>
        <v>90000</v>
      </c>
      <c r="P22" s="17" t="n">
        <f aca="false">P17*Assumptions!$B$5</f>
        <v>90000</v>
      </c>
      <c r="Q22" s="17" t="n">
        <f aca="false">Q17*Assumptions!$B$5</f>
        <v>90000</v>
      </c>
      <c r="R22" s="17" t="n">
        <f aca="false">R17*Assumptions!$B$5</f>
        <v>90000</v>
      </c>
      <c r="S22" s="17" t="n">
        <f aca="false">S17*Assumptions!$B$5</f>
        <v>90000</v>
      </c>
      <c r="T22" s="17" t="n">
        <f aca="false">T17*Assumptions!$B$5</f>
        <v>90000</v>
      </c>
      <c r="U22" s="17" t="n">
        <f aca="false">U17*Assumptions!$B$5</f>
        <v>90000</v>
      </c>
      <c r="V22" s="17" t="n">
        <f aca="false">V17*Assumptions!$B$5</f>
        <v>90000</v>
      </c>
      <c r="W22" s="17" t="n">
        <f aca="false">W17*Assumptions!$B$5</f>
        <v>90000</v>
      </c>
      <c r="X22" s="17" t="n">
        <f aca="false">X17*Assumptions!$B$5</f>
        <v>90000</v>
      </c>
      <c r="Y22" s="17" t="n">
        <f aca="false">Y17*Assumptions!$B$5</f>
        <v>90000</v>
      </c>
      <c r="Z22" s="17" t="n">
        <f aca="false">SUM(B22:M22)</f>
        <v>944417.070223944</v>
      </c>
      <c r="AA22" s="17" t="n">
        <f aca="false">SUM(N22:Y22)</f>
        <v>1078505.61897461</v>
      </c>
      <c r="AB22" s="17" t="n">
        <f aca="false">SUM(B22:Y22)</f>
        <v>2022922.68919855</v>
      </c>
    </row>
    <row r="23" customFormat="false" ht="15" hidden="false" customHeight="false" outlineLevel="0" collapsed="false">
      <c r="A23" s="18" t="s">
        <v>356</v>
      </c>
      <c r="B23" s="24" t="n">
        <f aca="false">B22</f>
        <v>56361.8644067797</v>
      </c>
      <c r="C23" s="24" t="n">
        <f aca="false">C22</f>
        <v>75508.1371340524</v>
      </c>
      <c r="D23" s="24" t="n">
        <f aca="false">D22</f>
        <v>76376.2771340524</v>
      </c>
      <c r="E23" s="24" t="n">
        <f aca="false">E22</f>
        <v>77296.5055340524</v>
      </c>
      <c r="F23" s="24" t="n">
        <f aca="false">F22</f>
        <v>78271.9476380524</v>
      </c>
      <c r="G23" s="24" t="n">
        <f aca="false">G22</f>
        <v>79305.9162682924</v>
      </c>
      <c r="H23" s="24" t="n">
        <f aca="false">H22</f>
        <v>80401.9230163468</v>
      </c>
      <c r="I23" s="24" t="n">
        <f aca="false">I22</f>
        <v>81563.6901692844</v>
      </c>
      <c r="J23" s="24" t="n">
        <f aca="false">J22</f>
        <v>82795.1633513984</v>
      </c>
      <c r="K23" s="24" t="n">
        <f aca="false">K22</f>
        <v>84100.5249244392</v>
      </c>
      <c r="L23" s="24" t="n">
        <f aca="false">L22</f>
        <v>85484.2081918623</v>
      </c>
      <c r="M23" s="24" t="n">
        <f aca="false">M22</f>
        <v>86950.912455331</v>
      </c>
      <c r="N23" s="24" t="n">
        <f aca="false">N22</f>
        <v>88505.6189746077</v>
      </c>
      <c r="O23" s="24" t="n">
        <f aca="false">O22</f>
        <v>90000</v>
      </c>
      <c r="P23" s="24" t="n">
        <f aca="false">P22</f>
        <v>90000</v>
      </c>
      <c r="Q23" s="24" t="n">
        <f aca="false">Q22</f>
        <v>90000</v>
      </c>
      <c r="R23" s="24" t="n">
        <f aca="false">R22</f>
        <v>90000</v>
      </c>
      <c r="S23" s="24" t="n">
        <f aca="false">S22</f>
        <v>90000</v>
      </c>
      <c r="T23" s="24" t="n">
        <f aca="false">T22</f>
        <v>90000</v>
      </c>
      <c r="U23" s="24" t="n">
        <f aca="false">U22</f>
        <v>90000</v>
      </c>
      <c r="V23" s="24" t="n">
        <f aca="false">V22</f>
        <v>90000</v>
      </c>
      <c r="W23" s="24" t="n">
        <f aca="false">W22</f>
        <v>90000</v>
      </c>
      <c r="X23" s="24" t="n">
        <f aca="false">X22</f>
        <v>90000</v>
      </c>
      <c r="Y23" s="24" t="n">
        <f aca="false">Y22</f>
        <v>90000</v>
      </c>
      <c r="Z23" s="24" t="n">
        <f aca="false">SUM(B23:M23)</f>
        <v>944417.070223944</v>
      </c>
      <c r="AA23" s="24" t="n">
        <f aca="false">SUM(N23:Y23)</f>
        <v>1078505.61897461</v>
      </c>
      <c r="AB23" s="24" t="n">
        <f aca="false">SUM(B23:Y23)</f>
        <v>2022922.68919855</v>
      </c>
    </row>
    <row r="24" customFormat="false" ht="15" hidden="false" customHeight="false" outlineLevel="0" collapsed="false">
      <c r="A24" s="20" t="s">
        <v>357</v>
      </c>
      <c r="B24" s="21" t="n">
        <f aca="false">IF(1&lt;Assumptions!$B$36,0,B17/Assumptions!$B$17*Assumptions!$B$31+IF(1&lt;=Assumptions!$B$36+11,Assumptions!$B$34*Assumptions!$B$35/12,0))</f>
        <v>0</v>
      </c>
      <c r="C24" s="21" t="n">
        <f aca="false">IF(2&lt;Assumptions!$B$36,0,C17/Assumptions!$B$17*Assumptions!$B$31+IF(2&lt;=Assumptions!$B$36+11,Assumptions!$B$34*Assumptions!$B$35/12,0))</f>
        <v>0</v>
      </c>
      <c r="D24" s="21" t="n">
        <f aca="false">IF(3&lt;Assumptions!$B$36,0,D17/Assumptions!$B$17*Assumptions!$B$31+IF(3&lt;=Assumptions!$B$36+11,Assumptions!$B$34*Assumptions!$B$35/12,0))</f>
        <v>11.0401532560863</v>
      </c>
      <c r="E24" s="21" t="n">
        <f aca="false">IF(4&lt;Assumptions!$B$36,0,E17/Assumptions!$B$17*Assumptions!$B$31+IF(4&lt;=Assumptions!$B$36+11,Assumptions!$B$34*Assumptions!$B$35/12,0))</f>
        <v>11.1505806640863</v>
      </c>
      <c r="F24" s="21" t="n">
        <f aca="false">IF(5&lt;Assumptions!$B$36,0,F17/Assumptions!$B$17*Assumptions!$B$31+IF(5&lt;=Assumptions!$B$36+11,Assumptions!$B$34*Assumptions!$B$35/12,0))</f>
        <v>11.2676337165663</v>
      </c>
      <c r="G24" s="21" t="n">
        <f aca="false">IF(6&lt;Assumptions!$B$36,0,G17/Assumptions!$B$17*Assumptions!$B$31+IF(6&lt;=Assumptions!$B$36+11,Assumptions!$B$34*Assumptions!$B$35/12,0))</f>
        <v>11.3917099521951</v>
      </c>
      <c r="H24" s="21" t="n">
        <f aca="false">IF(7&lt;Assumptions!$B$36,0,H17/Assumptions!$B$17*Assumptions!$B$31+IF(7&lt;=Assumptions!$B$36+11,Assumptions!$B$34*Assumptions!$B$35/12,0))</f>
        <v>11.5232307619616</v>
      </c>
      <c r="I24" s="21" t="n">
        <f aca="false">IF(8&lt;Assumptions!$B$36,0,I17/Assumptions!$B$17*Assumptions!$B$31+IF(8&lt;=Assumptions!$B$36+11,Assumptions!$B$34*Assumptions!$B$35/12,0))</f>
        <v>11.6626428203141</v>
      </c>
      <c r="J24" s="21" t="n">
        <f aca="false">IF(9&lt;Assumptions!$B$36,0,J17/Assumptions!$B$17*Assumptions!$B$31+IF(9&lt;=Assumptions!$B$36+11,Assumptions!$B$34*Assumptions!$B$35/12,0))</f>
        <v>11.8104196021678</v>
      </c>
      <c r="K24" s="21" t="n">
        <f aca="false">IF(10&lt;Assumptions!$B$36,0,K17/Assumptions!$B$17*Assumptions!$B$31+IF(10&lt;=Assumptions!$B$36+11,Assumptions!$B$34*Assumptions!$B$35/12,0))</f>
        <v>11.9670629909327</v>
      </c>
      <c r="L24" s="21" t="n">
        <f aca="false">IF(11&lt;Assumptions!$B$36,0,L17/Assumptions!$B$17*Assumptions!$B$31+IF(11&lt;=Assumptions!$B$36+11,Assumptions!$B$34*Assumptions!$B$35/12,0))</f>
        <v>12.1331049830235</v>
      </c>
      <c r="M24" s="21" t="n">
        <f aca="false">IF(12&lt;Assumptions!$B$36,0,M17/Assumptions!$B$17*Assumptions!$B$31+IF(12&lt;=Assumptions!$B$36+11,Assumptions!$B$34*Assumptions!$B$35/12,0))</f>
        <v>12.3091094946397</v>
      </c>
      <c r="N24" s="21" t="n">
        <f aca="false">IF(13&lt;Assumptions!$B$36,0,N17/Assumptions!$B$17*Assumptions!$B$31+IF(13&lt;=Assumptions!$B$36+11,Assumptions!$B$34*Assumptions!$B$35/12,0))</f>
        <v>12.4956742769529</v>
      </c>
      <c r="O24" s="21" t="n">
        <f aca="false">IF(14&lt;Assumptions!$B$36,0,O17/Assumptions!$B$17*Assumptions!$B$31+IF(14&lt;=Assumptions!$B$36+11,Assumptions!$B$34*Assumptions!$B$35/12,0))</f>
        <v>12.675</v>
      </c>
      <c r="P24" s="21" t="n">
        <f aca="false">IF(15&lt;Assumptions!$B$36,0,P17/Assumptions!$B$17*Assumptions!$B$31+IF(15&lt;=Assumptions!$B$36+11,Assumptions!$B$34*Assumptions!$B$35/12,0))</f>
        <v>10.8</v>
      </c>
      <c r="Q24" s="21" t="n">
        <f aca="false">IF(16&lt;Assumptions!$B$36,0,Q17/Assumptions!$B$17*Assumptions!$B$31+IF(16&lt;=Assumptions!$B$36+11,Assumptions!$B$34*Assumptions!$B$35/12,0))</f>
        <v>10.8</v>
      </c>
      <c r="R24" s="21" t="n">
        <f aca="false">IF(17&lt;Assumptions!$B$36,0,R17/Assumptions!$B$17*Assumptions!$B$31+IF(17&lt;=Assumptions!$B$36+11,Assumptions!$B$34*Assumptions!$B$35/12,0))</f>
        <v>10.8</v>
      </c>
      <c r="S24" s="21" t="n">
        <f aca="false">IF(18&lt;Assumptions!$B$36,0,S17/Assumptions!$B$17*Assumptions!$B$31+IF(18&lt;=Assumptions!$B$36+11,Assumptions!$B$34*Assumptions!$B$35/12,0))</f>
        <v>10.8</v>
      </c>
      <c r="T24" s="21" t="n">
        <f aca="false">IF(19&lt;Assumptions!$B$36,0,T17/Assumptions!$B$17*Assumptions!$B$31+IF(19&lt;=Assumptions!$B$36+11,Assumptions!$B$34*Assumptions!$B$35/12,0))</f>
        <v>10.8</v>
      </c>
      <c r="U24" s="21" t="n">
        <f aca="false">IF(20&lt;Assumptions!$B$36,0,U17/Assumptions!$B$17*Assumptions!$B$31+IF(20&lt;=Assumptions!$B$36+11,Assumptions!$B$34*Assumptions!$B$35/12,0))</f>
        <v>10.8</v>
      </c>
      <c r="V24" s="21" t="n">
        <f aca="false">IF(21&lt;Assumptions!$B$36,0,V17/Assumptions!$B$17*Assumptions!$B$31+IF(21&lt;=Assumptions!$B$36+11,Assumptions!$B$34*Assumptions!$B$35/12,0))</f>
        <v>10.8</v>
      </c>
      <c r="W24" s="21" t="n">
        <f aca="false">IF(22&lt;Assumptions!$B$36,0,W17/Assumptions!$B$17*Assumptions!$B$31+IF(22&lt;=Assumptions!$B$36+11,Assumptions!$B$34*Assumptions!$B$35/12,0))</f>
        <v>10.8</v>
      </c>
      <c r="X24" s="21" t="n">
        <f aca="false">IF(23&lt;Assumptions!$B$36,0,X17/Assumptions!$B$17*Assumptions!$B$31+IF(23&lt;=Assumptions!$B$36+11,Assumptions!$B$34*Assumptions!$B$35/12,0))</f>
        <v>10.8</v>
      </c>
      <c r="Y24" s="21" t="n">
        <f aca="false">IF(24&lt;Assumptions!$B$36,0,Y17/Assumptions!$B$17*Assumptions!$B$31+IF(24&lt;=Assumptions!$B$36+11,Assumptions!$B$34*Assumptions!$B$35/12,0))</f>
        <v>10.8</v>
      </c>
      <c r="Z24" s="21" t="n">
        <f aca="false">SUM(B24:M24)</f>
        <v>116.255648241973</v>
      </c>
      <c r="AA24" s="21" t="n">
        <f aca="false">SUM(N24:Y24)</f>
        <v>133.170674276953</v>
      </c>
      <c r="AB24" s="21" t="n">
        <f aca="false">SUM(B24:Y24)</f>
        <v>249.426322518926</v>
      </c>
    </row>
    <row r="25" customFormat="false" ht="15" hidden="false" customHeight="false" outlineLevel="0" collapsed="false">
      <c r="A25" s="20" t="s">
        <v>358</v>
      </c>
      <c r="B25" s="21" t="n">
        <f aca="false">0+B24</f>
        <v>0</v>
      </c>
      <c r="C25" s="21" t="n">
        <f aca="false">B25*(1-0.08/12)+C24</f>
        <v>0</v>
      </c>
      <c r="D25" s="21" t="n">
        <f aca="false">C25*(1-0.08/12)+D24</f>
        <v>11.0401532560863</v>
      </c>
      <c r="E25" s="21" t="n">
        <f aca="false">D25*(1-0.08/12)+E24</f>
        <v>22.1171328984653</v>
      </c>
      <c r="F25" s="21" t="n">
        <f aca="false">E25*(1-0.08/12)+F24</f>
        <v>33.2373190623752</v>
      </c>
      <c r="G25" s="21" t="n">
        <f aca="false">F25*(1-0.08/12)+G24</f>
        <v>44.4074468874878</v>
      </c>
      <c r="H25" s="21" t="n">
        <f aca="false">G25*(1-0.08/12)+H24</f>
        <v>55.6346280035328</v>
      </c>
      <c r="I25" s="21" t="n">
        <f aca="false">H25*(1-0.08/12)+I24</f>
        <v>66.9263733038234</v>
      </c>
      <c r="J25" s="21" t="n">
        <f aca="false">I25*(1-0.08/12)+J24</f>
        <v>78.2906170839657</v>
      </c>
      <c r="K25" s="21" t="n">
        <f aca="false">J25*(1-0.08/12)+K24</f>
        <v>89.7357426276719</v>
      </c>
      <c r="L25" s="21" t="n">
        <f aca="false">K25*(1-0.08/12)+L24</f>
        <v>101.270609326511</v>
      </c>
      <c r="M25" s="21" t="n">
        <f aca="false">L25*(1-0.08/12)+M24</f>
        <v>112.904581425641</v>
      </c>
      <c r="N25" s="21" t="n">
        <f aca="false">M25*(1-0.08/12)+N24</f>
        <v>124.647558493089</v>
      </c>
      <c r="O25" s="21" t="n">
        <f aca="false">N25*(1-0.08/12)+O24</f>
        <v>136.491574769802</v>
      </c>
      <c r="P25" s="21" t="n">
        <f aca="false">O25*(1-0.08/12)+P24</f>
        <v>146.381630938003</v>
      </c>
      <c r="Q25" s="21" t="n">
        <f aca="false">P25*(1-0.08/12)+Q24</f>
        <v>156.205753398417</v>
      </c>
      <c r="R25" s="21" t="n">
        <f aca="false">Q25*(1-0.08/12)+R24</f>
        <v>165.964381709094</v>
      </c>
      <c r="S25" s="21" t="n">
        <f aca="false">R25*(1-0.08/12)+S24</f>
        <v>175.6579524977</v>
      </c>
      <c r="T25" s="21" t="n">
        <f aca="false">S25*(1-0.08/12)+T24</f>
        <v>185.286899481049</v>
      </c>
      <c r="U25" s="21" t="n">
        <f aca="false">T25*(1-0.08/12)+U24</f>
        <v>194.851653484508</v>
      </c>
      <c r="V25" s="21" t="n">
        <f aca="false">U25*(1-0.08/12)+V24</f>
        <v>204.352642461278</v>
      </c>
      <c r="W25" s="21" t="n">
        <f aca="false">V25*(1-0.08/12)+W24</f>
        <v>213.790291511536</v>
      </c>
      <c r="X25" s="21" t="n">
        <f aca="false">W25*(1-0.08/12)+X24</f>
        <v>223.165022901459</v>
      </c>
      <c r="Y25" s="21" t="n">
        <f aca="false">X25*(1-0.08/12)+Y24</f>
        <v>232.477256082116</v>
      </c>
      <c r="Z25" s="3"/>
      <c r="AA25" s="3"/>
      <c r="AB25" s="3"/>
    </row>
    <row r="26" customFormat="false" ht="15" hidden="false" customHeight="false" outlineLevel="0" collapsed="false">
      <c r="A26" s="20" t="s">
        <v>359</v>
      </c>
      <c r="B26" s="17" t="n">
        <f aca="false">B25/12*Assumptions!$B$33*Assumptions!$B$30</f>
        <v>0</v>
      </c>
      <c r="C26" s="17" t="n">
        <f aca="false">C25/12*Assumptions!$B$33*Assumptions!$B$30</f>
        <v>0</v>
      </c>
      <c r="D26" s="17" t="n">
        <f aca="false">D25/12*Assumptions!$B$33*Assumptions!$B$30</f>
        <v>171.812385047843</v>
      </c>
      <c r="E26" s="17" t="n">
        <f aca="false">E25/12*Assumptions!$B$33*Assumptions!$B$30</f>
        <v>344.197880732367</v>
      </c>
      <c r="F26" s="17" t="n">
        <f aca="false">F25/12*Assumptions!$B$33*Assumptions!$B$30</f>
        <v>517.255777908214</v>
      </c>
      <c r="G26" s="17" t="n">
        <f aca="false">G25/12*Assumptions!$B$33*Assumptions!$B$30</f>
        <v>691.090892186528</v>
      </c>
      <c r="H26" s="17" t="n">
        <f aca="false">H25/12*Assumptions!$B$33*Assumptions!$B$30</f>
        <v>865.813898304979</v>
      </c>
      <c r="I26" s="17" t="n">
        <f aca="false">I25/12*Assumptions!$B$33*Assumptions!$B$30</f>
        <v>1041.54168454075</v>
      </c>
      <c r="J26" s="17" t="n">
        <f aca="false">J25/12*Assumptions!$B$33*Assumptions!$B$30</f>
        <v>1218.39772836922</v>
      </c>
      <c r="K26" s="17" t="n">
        <f aca="false">K25/12*Assumptions!$B$33*Assumptions!$B$30</f>
        <v>1396.51249464314</v>
      </c>
      <c r="L26" s="17" t="n">
        <f aca="false">L25/12*Assumptions!$B$33*Assumptions!$B$30</f>
        <v>1576.02385764383</v>
      </c>
      <c r="M26" s="17" t="n">
        <f aca="false">M25/12*Assumptions!$B$33*Assumptions!$B$30</f>
        <v>1757.07754843653</v>
      </c>
      <c r="N26" s="17" t="n">
        <f aca="false">N25/12*Assumptions!$B$33*Assumptions!$B$30</f>
        <v>1939.8276290487</v>
      </c>
      <c r="O26" s="17" t="n">
        <f aca="false">O25/12*Assumptions!$B$33*Assumptions!$B$30</f>
        <v>2124.15013235504</v>
      </c>
      <c r="P26" s="17" t="n">
        <f aca="false">P25/12*Assumptions!$B$33*Assumptions!$B$30</f>
        <v>2278.06413147268</v>
      </c>
      <c r="Q26" s="17" t="n">
        <f aca="false">Q25/12*Assumptions!$B$33*Assumptions!$B$30</f>
        <v>2430.95203726286</v>
      </c>
      <c r="R26" s="17" t="n">
        <f aca="false">R25/12*Assumptions!$B$33*Assumptions!$B$30</f>
        <v>2582.82069034777</v>
      </c>
      <c r="S26" s="17" t="n">
        <f aca="false">S25/12*Assumptions!$B$33*Assumptions!$B$30</f>
        <v>2733.67688574545</v>
      </c>
      <c r="T26" s="17" t="n">
        <f aca="false">T25/12*Assumptions!$B$33*Assumptions!$B$30</f>
        <v>2883.52737317382</v>
      </c>
      <c r="U26" s="17" t="n">
        <f aca="false">U25/12*Assumptions!$B$33*Assumptions!$B$30</f>
        <v>3032.37885735266</v>
      </c>
      <c r="V26" s="17" t="n">
        <f aca="false">V25/12*Assumptions!$B$33*Assumptions!$B$30</f>
        <v>3180.23799830364</v>
      </c>
      <c r="W26" s="17" t="n">
        <f aca="false">W25/12*Assumptions!$B$33*Assumptions!$B$30</f>
        <v>3327.11141164828</v>
      </c>
      <c r="X26" s="17" t="n">
        <f aca="false">X25/12*Assumptions!$B$33*Assumptions!$B$30</f>
        <v>3473.00566890396</v>
      </c>
      <c r="Y26" s="17" t="n">
        <f aca="false">Y25/12*Assumptions!$B$33*Assumptions!$B$30</f>
        <v>3617.92729777794</v>
      </c>
      <c r="Z26" s="17" t="n">
        <f aca="false">SUM(B26:M26)</f>
        <v>9579.7241478134</v>
      </c>
      <c r="AA26" s="17" t="n">
        <f aca="false">SUM(N26:Y26)</f>
        <v>33603.6801133928</v>
      </c>
      <c r="AB26" s="17" t="n">
        <f aca="false">SUM(B26:Y26)</f>
        <v>43183.4042612062</v>
      </c>
    </row>
    <row r="27" customFormat="false" ht="15" hidden="false" customHeight="false" outlineLevel="0" collapsed="false">
      <c r="A27" s="18" t="s">
        <v>360</v>
      </c>
      <c r="B27" s="25" t="n">
        <f aca="false">B23+B26</f>
        <v>56361.8644067797</v>
      </c>
      <c r="C27" s="25" t="n">
        <f aca="false">C23+C26</f>
        <v>75508.1371340524</v>
      </c>
      <c r="D27" s="25" t="n">
        <f aca="false">D23+D26</f>
        <v>76548.0895191002</v>
      </c>
      <c r="E27" s="25" t="n">
        <f aca="false">E23+E26</f>
        <v>77640.7034147847</v>
      </c>
      <c r="F27" s="25" t="n">
        <f aca="false">F23+F26</f>
        <v>78789.2034159606</v>
      </c>
      <c r="G27" s="25" t="n">
        <f aca="false">G23+G26</f>
        <v>79997.0071604789</v>
      </c>
      <c r="H27" s="25" t="n">
        <f aca="false">H23+H26</f>
        <v>81267.7369146518</v>
      </c>
      <c r="I27" s="25" t="n">
        <f aca="false">I23+I26</f>
        <v>82605.2318538252</v>
      </c>
      <c r="J27" s="25" t="n">
        <f aca="false">J23+J26</f>
        <v>84013.5610797676</v>
      </c>
      <c r="K27" s="25" t="n">
        <f aca="false">K23+K26</f>
        <v>85497.0374190823</v>
      </c>
      <c r="L27" s="25" t="n">
        <f aca="false">L23+L26</f>
        <v>87060.2320495062</v>
      </c>
      <c r="M27" s="25" t="n">
        <f aca="false">M23+M26</f>
        <v>88707.9900037675</v>
      </c>
      <c r="N27" s="25" t="n">
        <f aca="false">N23+N26</f>
        <v>90445.4466036564</v>
      </c>
      <c r="O27" s="25" t="n">
        <f aca="false">O23+O26</f>
        <v>92124.1501323551</v>
      </c>
      <c r="P27" s="25" t="n">
        <f aca="false">P23+P26</f>
        <v>92278.0641314727</v>
      </c>
      <c r="Q27" s="25" t="n">
        <f aca="false">Q23+Q26</f>
        <v>92430.9520372629</v>
      </c>
      <c r="R27" s="25" t="n">
        <f aca="false">R23+R26</f>
        <v>92582.8206903478</v>
      </c>
      <c r="S27" s="25" t="n">
        <f aca="false">S23+S26</f>
        <v>92733.6768857455</v>
      </c>
      <c r="T27" s="25" t="n">
        <f aca="false">T23+T26</f>
        <v>92883.5273731738</v>
      </c>
      <c r="U27" s="25" t="n">
        <f aca="false">U23+U26</f>
        <v>93032.3788573527</v>
      </c>
      <c r="V27" s="25" t="n">
        <f aca="false">V23+V26</f>
        <v>93180.2379983036</v>
      </c>
      <c r="W27" s="25" t="n">
        <f aca="false">W23+W26</f>
        <v>93327.1114116483</v>
      </c>
      <c r="X27" s="25" t="n">
        <f aca="false">X23+X26</f>
        <v>93473.005668904</v>
      </c>
      <c r="Y27" s="25" t="n">
        <f aca="false">Y23+Y26</f>
        <v>93617.9272977779</v>
      </c>
      <c r="Z27" s="24" t="n">
        <f aca="false">SUM(B27:M27)</f>
        <v>953996.794371757</v>
      </c>
      <c r="AA27" s="24" t="n">
        <f aca="false">SUM(N27:Y27)</f>
        <v>1112109.299088</v>
      </c>
      <c r="AB27" s="24" t="n">
        <f aca="false">SUM(B27:Y27)</f>
        <v>2066106.09345976</v>
      </c>
    </row>
    <row r="28" customFormat="false" ht="15" hidden="false" customHeight="false" outlineLevel="0" collapsed="false">
      <c r="A28" s="5" t="s">
        <v>361</v>
      </c>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customFormat="false" ht="15" hidden="false" customHeight="false" outlineLevel="0" collapsed="false">
      <c r="A29" s="20" t="s">
        <v>362</v>
      </c>
      <c r="B29" s="21" t="n">
        <f aca="false">1+IF(B7&gt;0,1,0)</f>
        <v>2</v>
      </c>
      <c r="C29" s="21" t="n">
        <f aca="false">1+IF(C7&gt;0,1,0)</f>
        <v>2</v>
      </c>
      <c r="D29" s="21" t="n">
        <f aca="false">1+IF(D7&gt;0,1,0)</f>
        <v>2</v>
      </c>
      <c r="E29" s="21" t="n">
        <f aca="false">1+IF(E7&gt;0,1,0)</f>
        <v>2</v>
      </c>
      <c r="F29" s="21" t="n">
        <f aca="false">1+IF(F7&gt;0,1,0)</f>
        <v>2</v>
      </c>
      <c r="G29" s="21" t="n">
        <f aca="false">1+IF(G7&gt;0,1,0)</f>
        <v>2</v>
      </c>
      <c r="H29" s="21" t="n">
        <f aca="false">1+IF(H7&gt;0,1,0)</f>
        <v>2</v>
      </c>
      <c r="I29" s="21" t="n">
        <f aca="false">1+IF(I7&gt;0,1,0)</f>
        <v>2</v>
      </c>
      <c r="J29" s="21" t="n">
        <f aca="false">1+IF(J7&gt;0,1,0)</f>
        <v>2</v>
      </c>
      <c r="K29" s="21" t="n">
        <f aca="false">1+IF(K7&gt;0,1,0)</f>
        <v>2</v>
      </c>
      <c r="L29" s="21" t="n">
        <f aca="false">1+IF(L7&gt;0,1,0)</f>
        <v>2</v>
      </c>
      <c r="M29" s="21" t="n">
        <f aca="false">1+IF(M7&gt;0,1,0)</f>
        <v>2</v>
      </c>
      <c r="N29" s="21" t="n">
        <f aca="false">1+IF(N7&gt;0,1,0)</f>
        <v>2</v>
      </c>
      <c r="O29" s="21" t="n">
        <f aca="false">1+IF(O7&gt;0,1,0)</f>
        <v>2</v>
      </c>
      <c r="P29" s="21" t="n">
        <f aca="false">1+IF(P7&gt;0,1,0)</f>
        <v>2</v>
      </c>
      <c r="Q29" s="21" t="n">
        <f aca="false">1+IF(Q7&gt;0,1,0)</f>
        <v>2</v>
      </c>
      <c r="R29" s="21" t="n">
        <f aca="false">1+IF(R7&gt;0,1,0)</f>
        <v>2</v>
      </c>
      <c r="S29" s="21" t="n">
        <f aca="false">1+IF(S7&gt;0,1,0)</f>
        <v>2</v>
      </c>
      <c r="T29" s="21" t="n">
        <f aca="false">1+IF(T7&gt;0,1,0)</f>
        <v>2</v>
      </c>
      <c r="U29" s="21" t="n">
        <f aca="false">1+IF(U7&gt;0,1,0)</f>
        <v>2</v>
      </c>
      <c r="V29" s="21" t="n">
        <f aca="false">1+IF(V7&gt;0,1,0)</f>
        <v>2</v>
      </c>
      <c r="W29" s="21" t="n">
        <f aca="false">1+IF(W7&gt;0,1,0)</f>
        <v>2</v>
      </c>
      <c r="X29" s="21" t="n">
        <f aca="false">1+IF(X7&gt;0,1,0)</f>
        <v>2</v>
      </c>
      <c r="Y29" s="21" t="n">
        <f aca="false">1+IF(Y7&gt;0,1,0)</f>
        <v>2</v>
      </c>
      <c r="Z29" s="3"/>
      <c r="AA29" s="3"/>
      <c r="AB29" s="3"/>
    </row>
    <row r="30" customFormat="false" ht="15" hidden="false" customHeight="false" outlineLevel="0" collapsed="false">
      <c r="A30" s="20" t="s">
        <v>363</v>
      </c>
      <c r="B30" s="17" t="n">
        <f aca="false">IF(Assumptions!$B$20=1,B23*Assumptions!$B$21,B29*(Assumptions!$B$26*Assumptions!$B$27*Assumptions!$B$23+Assumptions!$B$27*Assumptions!$B$24+Assumptions!$B$26*Assumptions!$B$28*Assumptions!$B$23*1.5)*(1+Assumptions!$B$25))</f>
        <v>27808.02</v>
      </c>
      <c r="C30" s="17" t="n">
        <f aca="false">IF(Assumptions!$B$20=1,C23*Assumptions!$B$21,C29*(Assumptions!$B$26*Assumptions!$B$27*Assumptions!$B$23+Assumptions!$B$27*Assumptions!$B$24+Assumptions!$B$26*Assumptions!$B$28*Assumptions!$B$23*1.5)*(1+Assumptions!$B$25))</f>
        <v>27808.02</v>
      </c>
      <c r="D30" s="17" t="n">
        <f aca="false">IF(Assumptions!$B$20=1,D23*Assumptions!$B$21,D29*(Assumptions!$B$26*Assumptions!$B$27*Assumptions!$B$23+Assumptions!$B$27*Assumptions!$B$24+Assumptions!$B$26*Assumptions!$B$28*Assumptions!$B$23*1.5)*(1+Assumptions!$B$25))</f>
        <v>27808.02</v>
      </c>
      <c r="E30" s="17" t="n">
        <f aca="false">IF(Assumptions!$B$20=1,E23*Assumptions!$B$21,E29*(Assumptions!$B$26*Assumptions!$B$27*Assumptions!$B$23+Assumptions!$B$27*Assumptions!$B$24+Assumptions!$B$26*Assumptions!$B$28*Assumptions!$B$23*1.5)*(1+Assumptions!$B$25))</f>
        <v>27808.02</v>
      </c>
      <c r="F30" s="17" t="n">
        <f aca="false">IF(Assumptions!$B$20=1,F23*Assumptions!$B$21,F29*(Assumptions!$B$26*Assumptions!$B$27*Assumptions!$B$23+Assumptions!$B$27*Assumptions!$B$24+Assumptions!$B$26*Assumptions!$B$28*Assumptions!$B$23*1.5)*(1+Assumptions!$B$25))</f>
        <v>27808.02</v>
      </c>
      <c r="G30" s="17" t="n">
        <f aca="false">IF(Assumptions!$B$20=1,G23*Assumptions!$B$21,G29*(Assumptions!$B$26*Assumptions!$B$27*Assumptions!$B$23+Assumptions!$B$27*Assumptions!$B$24+Assumptions!$B$26*Assumptions!$B$28*Assumptions!$B$23*1.5)*(1+Assumptions!$B$25))</f>
        <v>27808.02</v>
      </c>
      <c r="H30" s="17" t="n">
        <f aca="false">IF(Assumptions!$B$20=1,H23*Assumptions!$B$21,H29*(Assumptions!$B$26*Assumptions!$B$27*Assumptions!$B$23+Assumptions!$B$27*Assumptions!$B$24+Assumptions!$B$26*Assumptions!$B$28*Assumptions!$B$23*1.5)*(1+Assumptions!$B$25))</f>
        <v>27808.02</v>
      </c>
      <c r="I30" s="17" t="n">
        <f aca="false">IF(Assumptions!$B$20=1,I23*Assumptions!$B$21,I29*(Assumptions!$B$26*Assumptions!$B$27*Assumptions!$B$23+Assumptions!$B$27*Assumptions!$B$24+Assumptions!$B$26*Assumptions!$B$28*Assumptions!$B$23*1.5)*(1+Assumptions!$B$25))</f>
        <v>27808.02</v>
      </c>
      <c r="J30" s="17" t="n">
        <f aca="false">IF(Assumptions!$B$20=1,J23*Assumptions!$B$21,J29*(Assumptions!$B$26*Assumptions!$B$27*Assumptions!$B$23+Assumptions!$B$27*Assumptions!$B$24+Assumptions!$B$26*Assumptions!$B$28*Assumptions!$B$23*1.5)*(1+Assumptions!$B$25))</f>
        <v>27808.02</v>
      </c>
      <c r="K30" s="17" t="n">
        <f aca="false">IF(Assumptions!$B$20=1,K23*Assumptions!$B$21,K29*(Assumptions!$B$26*Assumptions!$B$27*Assumptions!$B$23+Assumptions!$B$27*Assumptions!$B$24+Assumptions!$B$26*Assumptions!$B$28*Assumptions!$B$23*1.5)*(1+Assumptions!$B$25))</f>
        <v>27808.02</v>
      </c>
      <c r="L30" s="17" t="n">
        <f aca="false">IF(Assumptions!$B$20=1,L23*Assumptions!$B$21,L29*(Assumptions!$B$26*Assumptions!$B$27*Assumptions!$B$23+Assumptions!$B$27*Assumptions!$B$24+Assumptions!$B$26*Assumptions!$B$28*Assumptions!$B$23*1.5)*(1+Assumptions!$B$25))</f>
        <v>27808.02</v>
      </c>
      <c r="M30" s="17" t="n">
        <f aca="false">IF(Assumptions!$B$20=1,M23*Assumptions!$B$21,M29*(Assumptions!$B$26*Assumptions!$B$27*Assumptions!$B$23+Assumptions!$B$27*Assumptions!$B$24+Assumptions!$B$26*Assumptions!$B$28*Assumptions!$B$23*1.5)*(1+Assumptions!$B$25))</f>
        <v>27808.02</v>
      </c>
      <c r="N30" s="17" t="n">
        <f aca="false">IF(Assumptions!$B$20=1,N23*Assumptions!$B$21,N29*(Assumptions!$B$26*Assumptions!$B$27*Assumptions!$B$23+Assumptions!$B$27*Assumptions!$B$24+Assumptions!$B$26*Assumptions!$B$28*Assumptions!$B$23*1.5)*(1+Assumptions!$B$25))</f>
        <v>27808.02</v>
      </c>
      <c r="O30" s="17" t="n">
        <f aca="false">IF(Assumptions!$B$20=1,O23*Assumptions!$B$21,O29*(Assumptions!$B$26*Assumptions!$B$27*Assumptions!$B$23+Assumptions!$B$27*Assumptions!$B$24+Assumptions!$B$26*Assumptions!$B$28*Assumptions!$B$23*1.5)*(1+Assumptions!$B$25))</f>
        <v>27808.02</v>
      </c>
      <c r="P30" s="17" t="n">
        <f aca="false">IF(Assumptions!$B$20=1,P23*Assumptions!$B$21,P29*(Assumptions!$B$26*Assumptions!$B$27*Assumptions!$B$23+Assumptions!$B$27*Assumptions!$B$24+Assumptions!$B$26*Assumptions!$B$28*Assumptions!$B$23*1.5)*(1+Assumptions!$B$25))</f>
        <v>27808.02</v>
      </c>
      <c r="Q30" s="17" t="n">
        <f aca="false">IF(Assumptions!$B$20=1,Q23*Assumptions!$B$21,Q29*(Assumptions!$B$26*Assumptions!$B$27*Assumptions!$B$23+Assumptions!$B$27*Assumptions!$B$24+Assumptions!$B$26*Assumptions!$B$28*Assumptions!$B$23*1.5)*(1+Assumptions!$B$25))</f>
        <v>27808.02</v>
      </c>
      <c r="R30" s="17" t="n">
        <f aca="false">IF(Assumptions!$B$20=1,R23*Assumptions!$B$21,R29*(Assumptions!$B$26*Assumptions!$B$27*Assumptions!$B$23+Assumptions!$B$27*Assumptions!$B$24+Assumptions!$B$26*Assumptions!$B$28*Assumptions!$B$23*1.5)*(1+Assumptions!$B$25))</f>
        <v>27808.02</v>
      </c>
      <c r="S30" s="17" t="n">
        <f aca="false">IF(Assumptions!$B$20=1,S23*Assumptions!$B$21,S29*(Assumptions!$B$26*Assumptions!$B$27*Assumptions!$B$23+Assumptions!$B$27*Assumptions!$B$24+Assumptions!$B$26*Assumptions!$B$28*Assumptions!$B$23*1.5)*(1+Assumptions!$B$25))</f>
        <v>27808.02</v>
      </c>
      <c r="T30" s="17" t="n">
        <f aca="false">IF(Assumptions!$B$20=1,T23*Assumptions!$B$21,T29*(Assumptions!$B$26*Assumptions!$B$27*Assumptions!$B$23+Assumptions!$B$27*Assumptions!$B$24+Assumptions!$B$26*Assumptions!$B$28*Assumptions!$B$23*1.5)*(1+Assumptions!$B$25))</f>
        <v>27808.02</v>
      </c>
      <c r="U30" s="17" t="n">
        <f aca="false">IF(Assumptions!$B$20=1,U23*Assumptions!$B$21,U29*(Assumptions!$B$26*Assumptions!$B$27*Assumptions!$B$23+Assumptions!$B$27*Assumptions!$B$24+Assumptions!$B$26*Assumptions!$B$28*Assumptions!$B$23*1.5)*(1+Assumptions!$B$25))</f>
        <v>27808.02</v>
      </c>
      <c r="V30" s="17" t="n">
        <f aca="false">IF(Assumptions!$B$20=1,V23*Assumptions!$B$21,V29*(Assumptions!$B$26*Assumptions!$B$27*Assumptions!$B$23+Assumptions!$B$27*Assumptions!$B$24+Assumptions!$B$26*Assumptions!$B$28*Assumptions!$B$23*1.5)*(1+Assumptions!$B$25))</f>
        <v>27808.02</v>
      </c>
      <c r="W30" s="17" t="n">
        <f aca="false">IF(Assumptions!$B$20=1,W23*Assumptions!$B$21,W29*(Assumptions!$B$26*Assumptions!$B$27*Assumptions!$B$23+Assumptions!$B$27*Assumptions!$B$24+Assumptions!$B$26*Assumptions!$B$28*Assumptions!$B$23*1.5)*(1+Assumptions!$B$25))</f>
        <v>27808.02</v>
      </c>
      <c r="X30" s="17" t="n">
        <f aca="false">IF(Assumptions!$B$20=1,X23*Assumptions!$B$21,X29*(Assumptions!$B$26*Assumptions!$B$27*Assumptions!$B$23+Assumptions!$B$27*Assumptions!$B$24+Assumptions!$B$26*Assumptions!$B$28*Assumptions!$B$23*1.5)*(1+Assumptions!$B$25))</f>
        <v>27808.02</v>
      </c>
      <c r="Y30" s="17" t="n">
        <f aca="false">IF(Assumptions!$B$20=1,Y23*Assumptions!$B$21,Y29*(Assumptions!$B$26*Assumptions!$B$27*Assumptions!$B$23+Assumptions!$B$27*Assumptions!$B$24+Assumptions!$B$26*Assumptions!$B$28*Assumptions!$B$23*1.5)*(1+Assumptions!$B$25))</f>
        <v>27808.02</v>
      </c>
      <c r="Z30" s="17" t="n">
        <f aca="false">SUM(B30:M30)</f>
        <v>333696.24</v>
      </c>
      <c r="AA30" s="17" t="n">
        <f aca="false">SUM(N30:Y30)</f>
        <v>333696.24</v>
      </c>
      <c r="AB30" s="17" t="n">
        <f aca="false">SUM(B30:Y30)</f>
        <v>667392.48</v>
      </c>
    </row>
    <row r="31" customFormat="false" ht="15" hidden="false" customHeight="false" outlineLevel="0" collapsed="false">
      <c r="A31" s="20" t="s">
        <v>364</v>
      </c>
      <c r="B31" s="17" t="n">
        <f aca="false">B23*Assumptions!$B$22</f>
        <v>11272.3728813559</v>
      </c>
      <c r="C31" s="17" t="n">
        <f aca="false">C23*Assumptions!$B$22</f>
        <v>15101.6274268105</v>
      </c>
      <c r="D31" s="17" t="n">
        <f aca="false">D23*Assumptions!$B$22</f>
        <v>15275.2554268105</v>
      </c>
      <c r="E31" s="17" t="n">
        <f aca="false">E23*Assumptions!$B$22</f>
        <v>15459.3011068105</v>
      </c>
      <c r="F31" s="17" t="n">
        <f aca="false">F23*Assumptions!$B$22</f>
        <v>15654.3895276105</v>
      </c>
      <c r="G31" s="17" t="n">
        <f aca="false">G23*Assumptions!$B$22</f>
        <v>15861.1832536585</v>
      </c>
      <c r="H31" s="17" t="n">
        <f aca="false">H23*Assumptions!$B$22</f>
        <v>16080.3846032694</v>
      </c>
      <c r="I31" s="17" t="n">
        <f aca="false">I23*Assumptions!$B$22</f>
        <v>16312.7380338569</v>
      </c>
      <c r="J31" s="17" t="n">
        <f aca="false">J23*Assumptions!$B$22</f>
        <v>16559.0326702797</v>
      </c>
      <c r="K31" s="17" t="n">
        <f aca="false">K23*Assumptions!$B$22</f>
        <v>16820.1049848878</v>
      </c>
      <c r="L31" s="17" t="n">
        <f aca="false">L23*Assumptions!$B$22</f>
        <v>17096.8416383725</v>
      </c>
      <c r="M31" s="17" t="n">
        <f aca="false">M23*Assumptions!$B$22</f>
        <v>17390.1824910662</v>
      </c>
      <c r="N31" s="17" t="n">
        <f aca="false">N23*Assumptions!$B$22</f>
        <v>17701.1237949215</v>
      </c>
      <c r="O31" s="17" t="n">
        <f aca="false">O23*Assumptions!$B$22</f>
        <v>18000</v>
      </c>
      <c r="P31" s="17" t="n">
        <f aca="false">P23*Assumptions!$B$22</f>
        <v>18000</v>
      </c>
      <c r="Q31" s="17" t="n">
        <f aca="false">Q23*Assumptions!$B$22</f>
        <v>18000</v>
      </c>
      <c r="R31" s="17" t="n">
        <f aca="false">R23*Assumptions!$B$22</f>
        <v>18000</v>
      </c>
      <c r="S31" s="17" t="n">
        <f aca="false">S23*Assumptions!$B$22</f>
        <v>18000</v>
      </c>
      <c r="T31" s="17" t="n">
        <f aca="false">T23*Assumptions!$B$22</f>
        <v>18000</v>
      </c>
      <c r="U31" s="17" t="n">
        <f aca="false">U23*Assumptions!$B$22</f>
        <v>18000</v>
      </c>
      <c r="V31" s="17" t="n">
        <f aca="false">V23*Assumptions!$B$22</f>
        <v>18000</v>
      </c>
      <c r="W31" s="17" t="n">
        <f aca="false">W23*Assumptions!$B$22</f>
        <v>18000</v>
      </c>
      <c r="X31" s="17" t="n">
        <f aca="false">X23*Assumptions!$B$22</f>
        <v>18000</v>
      </c>
      <c r="Y31" s="17" t="n">
        <f aca="false">Y23*Assumptions!$B$22</f>
        <v>18000</v>
      </c>
      <c r="Z31" s="17" t="n">
        <f aca="false">SUM(B31:M31)</f>
        <v>188883.414044789</v>
      </c>
      <c r="AA31" s="17" t="n">
        <f aca="false">SUM(N31:Y31)</f>
        <v>215701.123794922</v>
      </c>
      <c r="AB31" s="17" t="n">
        <f aca="false">SUM(B31:Y31)</f>
        <v>404584.53783971</v>
      </c>
    </row>
    <row r="32" customFormat="false" ht="15" hidden="false" customHeight="false" outlineLevel="0" collapsed="false">
      <c r="A32" s="20" t="s">
        <v>365</v>
      </c>
      <c r="B32" s="17" t="n">
        <f aca="false">B25/12*Assumptions!$B$33*Assumptions!$B$37</f>
        <v>0</v>
      </c>
      <c r="C32" s="17" t="n">
        <f aca="false">C25/12*Assumptions!$B$33*Assumptions!$B$37</f>
        <v>0</v>
      </c>
      <c r="D32" s="17" t="n">
        <f aca="false">D25/12*Assumptions!$B$33*Assumptions!$B$37</f>
        <v>48.3006704953775</v>
      </c>
      <c r="E32" s="17" t="n">
        <f aca="false">E25/12*Assumptions!$B$33*Assumptions!$B$37</f>
        <v>96.7624564307858</v>
      </c>
      <c r="F32" s="17" t="n">
        <f aca="false">F25/12*Assumptions!$B$33*Assumptions!$B$37</f>
        <v>145.413270897891</v>
      </c>
      <c r="G32" s="17" t="n">
        <f aca="false">G25/12*Assumptions!$B$33*Assumptions!$B$37</f>
        <v>194.282580132759</v>
      </c>
      <c r="H32" s="17" t="n">
        <f aca="false">H25/12*Assumptions!$B$33*Assumptions!$B$37</f>
        <v>243.401497515456</v>
      </c>
      <c r="I32" s="17" t="n">
        <f aca="false">I25/12*Assumptions!$B$33*Assumptions!$B$37</f>
        <v>292.802883204227</v>
      </c>
      <c r="J32" s="17" t="n">
        <f aca="false">J25/12*Assumptions!$B$33*Assumptions!$B$37</f>
        <v>342.52144974235</v>
      </c>
      <c r="K32" s="17" t="n">
        <f aca="false">K25/12*Assumptions!$B$33*Assumptions!$B$37</f>
        <v>392.593873996065</v>
      </c>
      <c r="L32" s="17" t="n">
        <f aca="false">L25/12*Assumptions!$B$33*Assumptions!$B$37</f>
        <v>443.058915803485</v>
      </c>
      <c r="M32" s="17" t="n">
        <f aca="false">M25/12*Assumptions!$B$33*Assumptions!$B$37</f>
        <v>493.957543737178</v>
      </c>
      <c r="N32" s="17" t="n">
        <f aca="false">N25/12*Assumptions!$B$33*Assumptions!$B$37</f>
        <v>545.333068407265</v>
      </c>
      <c r="O32" s="17" t="n">
        <f aca="false">O25/12*Assumptions!$B$33*Assumptions!$B$37</f>
        <v>597.150639617884</v>
      </c>
      <c r="P32" s="17" t="n">
        <f aca="false">P25/12*Assumptions!$B$33*Assumptions!$B$37</f>
        <v>640.419635353764</v>
      </c>
      <c r="Q32" s="17" t="n">
        <f aca="false">Q25/12*Assumptions!$B$33*Assumptions!$B$37</f>
        <v>683.400171118073</v>
      </c>
      <c r="R32" s="17" t="n">
        <f aca="false">R25/12*Assumptions!$B$33*Assumptions!$B$37</f>
        <v>726.094169977285</v>
      </c>
      <c r="S32" s="17" t="n">
        <f aca="false">S25/12*Assumptions!$B$33*Assumptions!$B$37</f>
        <v>768.503542177437</v>
      </c>
      <c r="T32" s="17" t="n">
        <f aca="false">T25/12*Assumptions!$B$33*Assumptions!$B$37</f>
        <v>810.630185229587</v>
      </c>
      <c r="U32" s="17" t="n">
        <f aca="false">U25/12*Assumptions!$B$33*Assumptions!$B$37</f>
        <v>852.475983994724</v>
      </c>
      <c r="V32" s="17" t="n">
        <f aca="false">V25/12*Assumptions!$B$33*Assumptions!$B$37</f>
        <v>894.042810768092</v>
      </c>
      <c r="W32" s="17" t="n">
        <f aca="false">W25/12*Assumptions!$B$33*Assumptions!$B$37</f>
        <v>935.332525362972</v>
      </c>
      <c r="X32" s="17" t="n">
        <f aca="false">X25/12*Assumptions!$B$33*Assumptions!$B$37</f>
        <v>976.346975193885</v>
      </c>
      <c r="Y32" s="17" t="n">
        <f aca="false">Y25/12*Assumptions!$B$33*Assumptions!$B$37</f>
        <v>1017.08799535926</v>
      </c>
      <c r="Z32" s="17" t="n">
        <f aca="false">SUM(B32:M32)</f>
        <v>2693.09514195557</v>
      </c>
      <c r="AA32" s="17" t="n">
        <f aca="false">SUM(N32:Y32)</f>
        <v>9446.81770256023</v>
      </c>
      <c r="AB32" s="17" t="n">
        <f aca="false">SUM(B32:Y32)</f>
        <v>12139.9128445158</v>
      </c>
    </row>
    <row r="33" customFormat="false" ht="15" hidden="false" customHeight="false" outlineLevel="0" collapsed="false">
      <c r="A33" s="18" t="s">
        <v>366</v>
      </c>
      <c r="B33" s="25" t="n">
        <f aca="false">B30+B31+B32</f>
        <v>39080.3928813559</v>
      </c>
      <c r="C33" s="25" t="n">
        <f aca="false">C30+C31+C32</f>
        <v>42909.6474268105</v>
      </c>
      <c r="D33" s="25" t="n">
        <f aca="false">D30+D31+D32</f>
        <v>43131.5760973059</v>
      </c>
      <c r="E33" s="25" t="n">
        <f aca="false">E30+E31+E32</f>
        <v>43364.0835632413</v>
      </c>
      <c r="F33" s="25" t="n">
        <f aca="false">F30+F31+F32</f>
        <v>43607.8227985084</v>
      </c>
      <c r="G33" s="25" t="n">
        <f aca="false">G30+G31+G32</f>
        <v>43863.4858337912</v>
      </c>
      <c r="H33" s="25" t="n">
        <f aca="false">H30+H31+H32</f>
        <v>44131.8061007848</v>
      </c>
      <c r="I33" s="25" t="n">
        <f aca="false">I30+I31+I32</f>
        <v>44413.5609170611</v>
      </c>
      <c r="J33" s="25" t="n">
        <f aca="false">J30+J31+J32</f>
        <v>44709.574120022</v>
      </c>
      <c r="K33" s="25" t="n">
        <f aca="false">K30+K31+K32</f>
        <v>45020.7188588839</v>
      </c>
      <c r="L33" s="25" t="n">
        <f aca="false">L30+L31+L32</f>
        <v>45347.920554176</v>
      </c>
      <c r="M33" s="25" t="n">
        <f aca="false">M30+M31+M32</f>
        <v>45692.1600348034</v>
      </c>
      <c r="N33" s="25" t="n">
        <f aca="false">N30+N31+N32</f>
        <v>46054.4768633288</v>
      </c>
      <c r="O33" s="25" t="n">
        <f aca="false">O30+O31+O32</f>
        <v>46405.1706396179</v>
      </c>
      <c r="P33" s="25" t="n">
        <f aca="false">P30+P31+P32</f>
        <v>46448.4396353538</v>
      </c>
      <c r="Q33" s="25" t="n">
        <f aca="false">Q30+Q31+Q32</f>
        <v>46491.4201711181</v>
      </c>
      <c r="R33" s="25" t="n">
        <f aca="false">R30+R31+R32</f>
        <v>46534.1141699773</v>
      </c>
      <c r="S33" s="25" t="n">
        <f aca="false">S30+S31+S32</f>
        <v>46576.5235421774</v>
      </c>
      <c r="T33" s="25" t="n">
        <f aca="false">T30+T31+T32</f>
        <v>46618.6501852296</v>
      </c>
      <c r="U33" s="25" t="n">
        <f aca="false">U30+U31+U32</f>
        <v>46660.4959839947</v>
      </c>
      <c r="V33" s="25" t="n">
        <f aca="false">V30+V31+V32</f>
        <v>46702.0628107681</v>
      </c>
      <c r="W33" s="25" t="n">
        <f aca="false">W30+W31+W32</f>
        <v>46743.352525363</v>
      </c>
      <c r="X33" s="25" t="n">
        <f aca="false">X30+X31+X32</f>
        <v>46784.3669751939</v>
      </c>
      <c r="Y33" s="25" t="n">
        <f aca="false">Y30+Y31+Y32</f>
        <v>46825.1079953593</v>
      </c>
      <c r="Z33" s="24" t="n">
        <f aca="false">SUM(B33:M33)</f>
        <v>525272.749186744</v>
      </c>
      <c r="AA33" s="24" t="n">
        <f aca="false">SUM(N33:Y33)</f>
        <v>558844.181497482</v>
      </c>
      <c r="AB33" s="24" t="n">
        <f aca="false">SUM(B33:Y33)</f>
        <v>1084116.93068423</v>
      </c>
    </row>
    <row r="34" customFormat="false" ht="15" hidden="false" customHeight="false" outlineLevel="0" collapsed="false">
      <c r="A34" s="18" t="s">
        <v>367</v>
      </c>
      <c r="B34" s="24" t="n">
        <f aca="false">B27-B33</f>
        <v>17281.4715254237</v>
      </c>
      <c r="C34" s="24" t="n">
        <f aca="false">C27-C33</f>
        <v>32598.4897072419</v>
      </c>
      <c r="D34" s="24" t="n">
        <f aca="false">D27-D33</f>
        <v>33416.5134217944</v>
      </c>
      <c r="E34" s="24" t="n">
        <f aca="false">E27-E33</f>
        <v>34276.6198515435</v>
      </c>
      <c r="F34" s="24" t="n">
        <f aca="false">F27-F33</f>
        <v>35181.3806174522</v>
      </c>
      <c r="G34" s="24" t="n">
        <f aca="false">G27-G33</f>
        <v>36133.5213266877</v>
      </c>
      <c r="H34" s="24" t="n">
        <f aca="false">H27-H33</f>
        <v>37135.9308138669</v>
      </c>
      <c r="I34" s="24" t="n">
        <f aca="false">I27-I33</f>
        <v>38191.6709367641</v>
      </c>
      <c r="J34" s="24" t="n">
        <f aca="false">J27-J33</f>
        <v>39303.9869597456</v>
      </c>
      <c r="K34" s="24" t="n">
        <f aca="false">K27-K33</f>
        <v>40476.3185601984</v>
      </c>
      <c r="L34" s="24" t="n">
        <f aca="false">L27-L33</f>
        <v>41712.3114953302</v>
      </c>
      <c r="M34" s="24" t="n">
        <f aca="false">M27-M33</f>
        <v>43015.8299689641</v>
      </c>
      <c r="N34" s="24" t="n">
        <f aca="false">N27-N33</f>
        <v>44390.9697403276</v>
      </c>
      <c r="O34" s="24" t="n">
        <f aca="false">O27-O33</f>
        <v>45718.9794927372</v>
      </c>
      <c r="P34" s="24" t="n">
        <f aca="false">P27-P33</f>
        <v>45829.6244961189</v>
      </c>
      <c r="Q34" s="24" t="n">
        <f aca="false">Q27-Q33</f>
        <v>45939.5318661448</v>
      </c>
      <c r="R34" s="24" t="n">
        <f aca="false">R27-R33</f>
        <v>46048.7065203705</v>
      </c>
      <c r="S34" s="24" t="n">
        <f aca="false">S27-S33</f>
        <v>46157.153343568</v>
      </c>
      <c r="T34" s="24" t="n">
        <f aca="false">T27-T33</f>
        <v>46264.8771879442</v>
      </c>
      <c r="U34" s="24" t="n">
        <f aca="false">U27-U33</f>
        <v>46371.8828733579</v>
      </c>
      <c r="V34" s="24" t="n">
        <f aca="false">V27-V33</f>
        <v>46478.1751875355</v>
      </c>
      <c r="W34" s="24" t="n">
        <f aca="false">W27-W33</f>
        <v>46583.7588862853</v>
      </c>
      <c r="X34" s="24" t="n">
        <f aca="false">X27-X33</f>
        <v>46688.6386937101</v>
      </c>
      <c r="Y34" s="24" t="n">
        <f aca="false">Y27-Y33</f>
        <v>46792.8193024187</v>
      </c>
      <c r="Z34" s="24" t="n">
        <f aca="false">SUM(B34:M34)</f>
        <v>428724.045185013</v>
      </c>
      <c r="AA34" s="24" t="n">
        <f aca="false">SUM(N34:Y34)</f>
        <v>553265.117590519</v>
      </c>
      <c r="AB34" s="24" t="n">
        <f aca="false">SUM(B34:Y34)</f>
        <v>981989.162775531</v>
      </c>
    </row>
    <row r="35" customFormat="false" ht="15" hidden="false" customHeight="false" outlineLevel="0" collapsed="false">
      <c r="A35" s="20" t="s">
        <v>368</v>
      </c>
      <c r="B35" s="23" t="n">
        <f aca="false">IF(B27=0,0,B34/B27)</f>
        <v>0.306616392259461</v>
      </c>
      <c r="C35" s="23" t="n">
        <f aca="false">IF(C27=0,0,C34/C27)</f>
        <v>0.431721546107919</v>
      </c>
      <c r="D35" s="23" t="n">
        <f aca="false">IF(D27=0,0,D34/D27)</f>
        <v>0.436542748901085</v>
      </c>
      <c r="E35" s="23" t="n">
        <f aca="false">IF(E27=0,0,E34/E27)</f>
        <v>0.441477451182086</v>
      </c>
      <c r="F35" s="23" t="n">
        <f aca="false">IF(F27=0,0,F34/F27)</f>
        <v>0.446525400589663</v>
      </c>
      <c r="G35" s="23" t="n">
        <f aca="false">IF(G27=0,0,G34/G27)</f>
        <v>0.451685914376792</v>
      </c>
      <c r="H35" s="23" t="n">
        <f aca="false">IF(H27=0,0,H34/H27)</f>
        <v>0.456957855893877</v>
      </c>
      <c r="I35" s="23" t="n">
        <f aca="false">IF(I27=0,0,I34/I27)</f>
        <v>0.46233961311732</v>
      </c>
      <c r="J35" s="23" t="n">
        <f aca="false">IF(J27=0,0,J34/J27)</f>
        <v>0.467829079669983</v>
      </c>
      <c r="K35" s="23" t="n">
        <f aca="false">IF(K27=0,0,K34/K27)</f>
        <v>0.473423638784054</v>
      </c>
      <c r="L35" s="23" t="n">
        <f aca="false">IF(L27=0,0,L34/L27)</f>
        <v>0.479120150651687</v>
      </c>
      <c r="M35" s="23" t="n">
        <f aca="false">IF(M27=0,0,M34/M27)</f>
        <v>0.484914943593437</v>
      </c>
      <c r="N35" s="23" t="n">
        <f aca="false">IF(N27=0,0,N34/N27)</f>
        <v>0.490803809448302</v>
      </c>
      <c r="O35" s="23" t="n">
        <f aca="false">IF(O27=0,0,O34/O27)</f>
        <v>0.496275726039834</v>
      </c>
      <c r="P35" s="23" t="n">
        <f aca="false">IF(P27=0,0,P34/P27)</f>
        <v>0.496647008446378</v>
      </c>
      <c r="Q35" s="23" t="n">
        <f aca="false">IF(Q27=0,0,Q34/Q27)</f>
        <v>0.497014591471746</v>
      </c>
      <c r="R35" s="23" t="n">
        <f aca="false">IF(R27=0,0,R34/R27)</f>
        <v>0.497378522030397</v>
      </c>
      <c r="S35" s="23" t="n">
        <f aca="false">IF(S27=0,0,S34/S27)</f>
        <v>0.497738846270885</v>
      </c>
      <c r="T35" s="23" t="n">
        <f aca="false">IF(T27=0,0,T34/T27)</f>
        <v>0.49809560959144</v>
      </c>
      <c r="U35" s="23" t="n">
        <f aca="false">IF(U27=0,0,U34/U27)</f>
        <v>0.498448856655169</v>
      </c>
      <c r="V35" s="23" t="n">
        <f aca="false">IF(V27=0,0,V34/V27)</f>
        <v>0.498798631404887</v>
      </c>
      <c r="W35" s="23" t="n">
        <f aca="false">IF(W27=0,0,W34/W27)</f>
        <v>0.499144977077595</v>
      </c>
      <c r="X35" s="23" t="n">
        <f aca="false">IF(X27=0,0,X34/X27)</f>
        <v>0.499487936218597</v>
      </c>
      <c r="Y35" s="23" t="n">
        <f aca="false">IF(Y27=0,0,Y34/Y27)</f>
        <v>0.499827550695296</v>
      </c>
      <c r="Z35" s="3"/>
      <c r="AA35" s="3"/>
      <c r="AB35" s="3"/>
    </row>
    <row r="36" customFormat="false" ht="15" hidden="false" customHeight="false" outlineLevel="0" collapsed="false">
      <c r="A36" s="5" t="s">
        <v>369</v>
      </c>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customFormat="false" ht="15" hidden="false" customHeight="false" outlineLevel="0" collapsed="false">
      <c r="A37" s="20" t="s">
        <v>370</v>
      </c>
      <c r="B37" s="17" t="n">
        <f aca="false">Assumptions!$B$78</f>
        <v>12500</v>
      </c>
      <c r="C37" s="17" t="n">
        <f aca="false">Assumptions!$B$78</f>
        <v>12500</v>
      </c>
      <c r="D37" s="17" t="n">
        <f aca="false">Assumptions!$B$78</f>
        <v>12500</v>
      </c>
      <c r="E37" s="17" t="n">
        <f aca="false">Assumptions!$B$78</f>
        <v>12500</v>
      </c>
      <c r="F37" s="17" t="n">
        <f aca="false">Assumptions!$B$78</f>
        <v>12500</v>
      </c>
      <c r="G37" s="17" t="n">
        <f aca="false">Assumptions!$B$78</f>
        <v>12500</v>
      </c>
      <c r="H37" s="17" t="n">
        <f aca="false">Assumptions!$B$78</f>
        <v>12500</v>
      </c>
      <c r="I37" s="17" t="n">
        <f aca="false">Assumptions!$B$78</f>
        <v>12500</v>
      </c>
      <c r="J37" s="17" t="n">
        <f aca="false">Assumptions!$B$78</f>
        <v>12500</v>
      </c>
      <c r="K37" s="17" t="n">
        <f aca="false">Assumptions!$B$78</f>
        <v>12500</v>
      </c>
      <c r="L37" s="17" t="n">
        <f aca="false">Assumptions!$B$78</f>
        <v>12500</v>
      </c>
      <c r="M37" s="17" t="n">
        <f aca="false">Assumptions!$B$78</f>
        <v>12500</v>
      </c>
      <c r="N37" s="17" t="n">
        <f aca="false">Assumptions!$B$78</f>
        <v>12500</v>
      </c>
      <c r="O37" s="17" t="n">
        <f aca="false">Assumptions!$B$78</f>
        <v>12500</v>
      </c>
      <c r="P37" s="17" t="n">
        <f aca="false">Assumptions!$B$78</f>
        <v>12500</v>
      </c>
      <c r="Q37" s="17" t="n">
        <f aca="false">Assumptions!$B$78</f>
        <v>12500</v>
      </c>
      <c r="R37" s="17" t="n">
        <f aca="false">Assumptions!$B$78</f>
        <v>12500</v>
      </c>
      <c r="S37" s="17" t="n">
        <f aca="false">Assumptions!$B$78</f>
        <v>12500</v>
      </c>
      <c r="T37" s="17" t="n">
        <f aca="false">Assumptions!$B$78</f>
        <v>12500</v>
      </c>
      <c r="U37" s="17" t="n">
        <f aca="false">Assumptions!$B$78</f>
        <v>12500</v>
      </c>
      <c r="V37" s="17" t="n">
        <f aca="false">Assumptions!$B$78</f>
        <v>12500</v>
      </c>
      <c r="W37" s="17" t="n">
        <f aca="false">Assumptions!$B$78</f>
        <v>12500</v>
      </c>
      <c r="X37" s="17" t="n">
        <f aca="false">Assumptions!$B$78</f>
        <v>12500</v>
      </c>
      <c r="Y37" s="17" t="n">
        <f aca="false">Assumptions!$B$78</f>
        <v>12500</v>
      </c>
      <c r="Z37" s="17" t="n">
        <f aca="false">SUM(B37:M37)</f>
        <v>150000</v>
      </c>
      <c r="AA37" s="17" t="n">
        <f aca="false">SUM(N37:Y37)</f>
        <v>150000</v>
      </c>
      <c r="AB37" s="17" t="n">
        <f aca="false">SUM(B37:Y37)</f>
        <v>300000</v>
      </c>
    </row>
    <row r="38" customFormat="false" ht="15" hidden="false" customHeight="false" outlineLevel="0" collapsed="false">
      <c r="A38" s="20" t="s">
        <v>371</v>
      </c>
      <c r="B38" s="17" t="n">
        <f aca="false">Assumptions!$B$79</f>
        <v>900</v>
      </c>
      <c r="C38" s="17" t="n">
        <f aca="false">Assumptions!$B$79</f>
        <v>900</v>
      </c>
      <c r="D38" s="17" t="n">
        <f aca="false">Assumptions!$B$79</f>
        <v>900</v>
      </c>
      <c r="E38" s="17" t="n">
        <f aca="false">Assumptions!$B$79</f>
        <v>900</v>
      </c>
      <c r="F38" s="17" t="n">
        <f aca="false">Assumptions!$B$79</f>
        <v>900</v>
      </c>
      <c r="G38" s="17" t="n">
        <f aca="false">Assumptions!$B$79</f>
        <v>900</v>
      </c>
      <c r="H38" s="17" t="n">
        <f aca="false">Assumptions!$B$79</f>
        <v>900</v>
      </c>
      <c r="I38" s="17" t="n">
        <f aca="false">Assumptions!$B$79</f>
        <v>900</v>
      </c>
      <c r="J38" s="17" t="n">
        <f aca="false">Assumptions!$B$79</f>
        <v>900</v>
      </c>
      <c r="K38" s="17" t="n">
        <f aca="false">Assumptions!$B$79</f>
        <v>900</v>
      </c>
      <c r="L38" s="17" t="n">
        <f aca="false">Assumptions!$B$79</f>
        <v>900</v>
      </c>
      <c r="M38" s="17" t="n">
        <f aca="false">Assumptions!$B$79</f>
        <v>900</v>
      </c>
      <c r="N38" s="17" t="n">
        <f aca="false">Assumptions!$B$79</f>
        <v>900</v>
      </c>
      <c r="O38" s="17" t="n">
        <f aca="false">Assumptions!$B$79</f>
        <v>900</v>
      </c>
      <c r="P38" s="17" t="n">
        <f aca="false">Assumptions!$B$79</f>
        <v>900</v>
      </c>
      <c r="Q38" s="17" t="n">
        <f aca="false">Assumptions!$B$79</f>
        <v>900</v>
      </c>
      <c r="R38" s="17" t="n">
        <f aca="false">Assumptions!$B$79</f>
        <v>900</v>
      </c>
      <c r="S38" s="17" t="n">
        <f aca="false">Assumptions!$B$79</f>
        <v>900</v>
      </c>
      <c r="T38" s="17" t="n">
        <f aca="false">Assumptions!$B$79</f>
        <v>900</v>
      </c>
      <c r="U38" s="17" t="n">
        <f aca="false">Assumptions!$B$79</f>
        <v>900</v>
      </c>
      <c r="V38" s="17" t="n">
        <f aca="false">Assumptions!$B$79</f>
        <v>900</v>
      </c>
      <c r="W38" s="17" t="n">
        <f aca="false">Assumptions!$B$79</f>
        <v>900</v>
      </c>
      <c r="X38" s="17" t="n">
        <f aca="false">Assumptions!$B$79</f>
        <v>900</v>
      </c>
      <c r="Y38" s="17" t="n">
        <f aca="false">Assumptions!$B$79</f>
        <v>900</v>
      </c>
      <c r="Z38" s="17" t="n">
        <f aca="false">SUM(B38:M38)</f>
        <v>10800</v>
      </c>
      <c r="AA38" s="17" t="n">
        <f aca="false">SUM(N38:Y38)</f>
        <v>10800</v>
      </c>
      <c r="AB38" s="17" t="n">
        <f aca="false">SUM(B38:Y38)</f>
        <v>21600</v>
      </c>
    </row>
    <row r="39" customFormat="false" ht="15" hidden="false" customHeight="false" outlineLevel="0" collapsed="false">
      <c r="A39" s="20" t="s">
        <v>372</v>
      </c>
      <c r="B39" s="17" t="n">
        <f aca="false">Assumptions!$B$80</f>
        <v>1800</v>
      </c>
      <c r="C39" s="17" t="n">
        <f aca="false">Assumptions!$B$80</f>
        <v>1800</v>
      </c>
      <c r="D39" s="17" t="n">
        <f aca="false">Assumptions!$B$80</f>
        <v>1800</v>
      </c>
      <c r="E39" s="17" t="n">
        <f aca="false">Assumptions!$B$80</f>
        <v>1800</v>
      </c>
      <c r="F39" s="17" t="n">
        <f aca="false">Assumptions!$B$80</f>
        <v>1800</v>
      </c>
      <c r="G39" s="17" t="n">
        <f aca="false">Assumptions!$B$80</f>
        <v>1800</v>
      </c>
      <c r="H39" s="17" t="n">
        <f aca="false">Assumptions!$B$80</f>
        <v>1800</v>
      </c>
      <c r="I39" s="17" t="n">
        <f aca="false">Assumptions!$B$80</f>
        <v>1800</v>
      </c>
      <c r="J39" s="17" t="n">
        <f aca="false">Assumptions!$B$80</f>
        <v>1800</v>
      </c>
      <c r="K39" s="17" t="n">
        <f aca="false">Assumptions!$B$80</f>
        <v>1800</v>
      </c>
      <c r="L39" s="17" t="n">
        <f aca="false">Assumptions!$B$80</f>
        <v>1800</v>
      </c>
      <c r="M39" s="17" t="n">
        <f aca="false">Assumptions!$B$80</f>
        <v>1800</v>
      </c>
      <c r="N39" s="17" t="n">
        <f aca="false">Assumptions!$B$80</f>
        <v>1800</v>
      </c>
      <c r="O39" s="17" t="n">
        <f aca="false">Assumptions!$B$80</f>
        <v>1800</v>
      </c>
      <c r="P39" s="17" t="n">
        <f aca="false">Assumptions!$B$80</f>
        <v>1800</v>
      </c>
      <c r="Q39" s="17" t="n">
        <f aca="false">Assumptions!$B$80</f>
        <v>1800</v>
      </c>
      <c r="R39" s="17" t="n">
        <f aca="false">Assumptions!$B$80</f>
        <v>1800</v>
      </c>
      <c r="S39" s="17" t="n">
        <f aca="false">Assumptions!$B$80</f>
        <v>1800</v>
      </c>
      <c r="T39" s="17" t="n">
        <f aca="false">Assumptions!$B$80</f>
        <v>1800</v>
      </c>
      <c r="U39" s="17" t="n">
        <f aca="false">Assumptions!$B$80</f>
        <v>1800</v>
      </c>
      <c r="V39" s="17" t="n">
        <f aca="false">Assumptions!$B$80</f>
        <v>1800</v>
      </c>
      <c r="W39" s="17" t="n">
        <f aca="false">Assumptions!$B$80</f>
        <v>1800</v>
      </c>
      <c r="X39" s="17" t="n">
        <f aca="false">Assumptions!$B$80</f>
        <v>1800</v>
      </c>
      <c r="Y39" s="17" t="n">
        <f aca="false">Assumptions!$B$80</f>
        <v>1800</v>
      </c>
      <c r="Z39" s="17" t="n">
        <f aca="false">SUM(B39:M39)</f>
        <v>21600</v>
      </c>
      <c r="AA39" s="17" t="n">
        <f aca="false">SUM(N39:Y39)</f>
        <v>21600</v>
      </c>
      <c r="AB39" s="17" t="n">
        <f aca="false">SUM(B39:Y39)</f>
        <v>43200</v>
      </c>
    </row>
    <row r="40" customFormat="false" ht="15" hidden="false" customHeight="false" outlineLevel="0" collapsed="false">
      <c r="A40" s="20" t="s">
        <v>373</v>
      </c>
      <c r="B40" s="17" t="n">
        <f aca="false">Assumptions!$B$81</f>
        <v>350</v>
      </c>
      <c r="C40" s="17" t="n">
        <f aca="false">Assumptions!$B$81</f>
        <v>350</v>
      </c>
      <c r="D40" s="17" t="n">
        <f aca="false">Assumptions!$B$81</f>
        <v>350</v>
      </c>
      <c r="E40" s="17" t="n">
        <f aca="false">Assumptions!$B$81</f>
        <v>350</v>
      </c>
      <c r="F40" s="17" t="n">
        <f aca="false">Assumptions!$B$81</f>
        <v>350</v>
      </c>
      <c r="G40" s="17" t="n">
        <f aca="false">Assumptions!$B$81</f>
        <v>350</v>
      </c>
      <c r="H40" s="17" t="n">
        <f aca="false">Assumptions!$B$81</f>
        <v>350</v>
      </c>
      <c r="I40" s="17" t="n">
        <f aca="false">Assumptions!$B$81</f>
        <v>350</v>
      </c>
      <c r="J40" s="17" t="n">
        <f aca="false">Assumptions!$B$81</f>
        <v>350</v>
      </c>
      <c r="K40" s="17" t="n">
        <f aca="false">Assumptions!$B$81</f>
        <v>350</v>
      </c>
      <c r="L40" s="17" t="n">
        <f aca="false">Assumptions!$B$81</f>
        <v>350</v>
      </c>
      <c r="M40" s="17" t="n">
        <f aca="false">Assumptions!$B$81</f>
        <v>350</v>
      </c>
      <c r="N40" s="17" t="n">
        <f aca="false">Assumptions!$B$81</f>
        <v>350</v>
      </c>
      <c r="O40" s="17" t="n">
        <f aca="false">Assumptions!$B$81</f>
        <v>350</v>
      </c>
      <c r="P40" s="17" t="n">
        <f aca="false">Assumptions!$B$81</f>
        <v>350</v>
      </c>
      <c r="Q40" s="17" t="n">
        <f aca="false">Assumptions!$B$81</f>
        <v>350</v>
      </c>
      <c r="R40" s="17" t="n">
        <f aca="false">Assumptions!$B$81</f>
        <v>350</v>
      </c>
      <c r="S40" s="17" t="n">
        <f aca="false">Assumptions!$B$81</f>
        <v>350</v>
      </c>
      <c r="T40" s="17" t="n">
        <f aca="false">Assumptions!$B$81</f>
        <v>350</v>
      </c>
      <c r="U40" s="17" t="n">
        <f aca="false">Assumptions!$B$81</f>
        <v>350</v>
      </c>
      <c r="V40" s="17" t="n">
        <f aca="false">Assumptions!$B$81</f>
        <v>350</v>
      </c>
      <c r="W40" s="17" t="n">
        <f aca="false">Assumptions!$B$81</f>
        <v>350</v>
      </c>
      <c r="X40" s="17" t="n">
        <f aca="false">Assumptions!$B$81</f>
        <v>350</v>
      </c>
      <c r="Y40" s="17" t="n">
        <f aca="false">Assumptions!$B$81</f>
        <v>350</v>
      </c>
      <c r="Z40" s="17" t="n">
        <f aca="false">SUM(B40:M40)</f>
        <v>4200</v>
      </c>
      <c r="AA40" s="17" t="n">
        <f aca="false">SUM(N40:Y40)</f>
        <v>4200</v>
      </c>
      <c r="AB40" s="17" t="n">
        <f aca="false">SUM(B40:Y40)</f>
        <v>8400</v>
      </c>
    </row>
    <row r="41" customFormat="false" ht="15" hidden="false" customHeight="false" outlineLevel="0" collapsed="false">
      <c r="A41" s="20" t="s">
        <v>374</v>
      </c>
      <c r="B41" s="17" t="n">
        <f aca="false">Assumptions!$B$82</f>
        <v>250</v>
      </c>
      <c r="C41" s="17" t="n">
        <f aca="false">Assumptions!$B$82</f>
        <v>250</v>
      </c>
      <c r="D41" s="17" t="n">
        <f aca="false">Assumptions!$B$82</f>
        <v>250</v>
      </c>
      <c r="E41" s="17" t="n">
        <f aca="false">Assumptions!$B$82</f>
        <v>250</v>
      </c>
      <c r="F41" s="17" t="n">
        <f aca="false">Assumptions!$B$82</f>
        <v>250</v>
      </c>
      <c r="G41" s="17" t="n">
        <f aca="false">Assumptions!$B$82</f>
        <v>250</v>
      </c>
      <c r="H41" s="17" t="n">
        <f aca="false">Assumptions!$B$82</f>
        <v>250</v>
      </c>
      <c r="I41" s="17" t="n">
        <f aca="false">Assumptions!$B$82</f>
        <v>250</v>
      </c>
      <c r="J41" s="17" t="n">
        <f aca="false">Assumptions!$B$82</f>
        <v>250</v>
      </c>
      <c r="K41" s="17" t="n">
        <f aca="false">Assumptions!$B$82</f>
        <v>250</v>
      </c>
      <c r="L41" s="17" t="n">
        <f aca="false">Assumptions!$B$82</f>
        <v>250</v>
      </c>
      <c r="M41" s="17" t="n">
        <f aca="false">Assumptions!$B$82</f>
        <v>250</v>
      </c>
      <c r="N41" s="17" t="n">
        <f aca="false">Assumptions!$B$82</f>
        <v>250</v>
      </c>
      <c r="O41" s="17" t="n">
        <f aca="false">Assumptions!$B$82</f>
        <v>250</v>
      </c>
      <c r="P41" s="17" t="n">
        <f aca="false">Assumptions!$B$82</f>
        <v>250</v>
      </c>
      <c r="Q41" s="17" t="n">
        <f aca="false">Assumptions!$B$82</f>
        <v>250</v>
      </c>
      <c r="R41" s="17" t="n">
        <f aca="false">Assumptions!$B$82</f>
        <v>250</v>
      </c>
      <c r="S41" s="17" t="n">
        <f aca="false">Assumptions!$B$82</f>
        <v>250</v>
      </c>
      <c r="T41" s="17" t="n">
        <f aca="false">Assumptions!$B$82</f>
        <v>250</v>
      </c>
      <c r="U41" s="17" t="n">
        <f aca="false">Assumptions!$B$82</f>
        <v>250</v>
      </c>
      <c r="V41" s="17" t="n">
        <f aca="false">Assumptions!$B$82</f>
        <v>250</v>
      </c>
      <c r="W41" s="17" t="n">
        <f aca="false">Assumptions!$B$82</f>
        <v>250</v>
      </c>
      <c r="X41" s="17" t="n">
        <f aca="false">Assumptions!$B$82</f>
        <v>250</v>
      </c>
      <c r="Y41" s="17" t="n">
        <f aca="false">Assumptions!$B$82</f>
        <v>250</v>
      </c>
      <c r="Z41" s="17" t="n">
        <f aca="false">SUM(B41:M41)</f>
        <v>3000</v>
      </c>
      <c r="AA41" s="17" t="n">
        <f aca="false">SUM(N41:Y41)</f>
        <v>3000</v>
      </c>
      <c r="AB41" s="17" t="n">
        <f aca="false">SUM(B41:Y41)</f>
        <v>6000</v>
      </c>
    </row>
    <row r="42" customFormat="false" ht="15" hidden="false" customHeight="false" outlineLevel="0" collapsed="false">
      <c r="A42" s="20" t="s">
        <v>375</v>
      </c>
      <c r="B42" s="17" t="n">
        <f aca="false">Assumptions!$B$83</f>
        <v>600</v>
      </c>
      <c r="C42" s="17" t="n">
        <f aca="false">Assumptions!$B$83</f>
        <v>600</v>
      </c>
      <c r="D42" s="17" t="n">
        <f aca="false">Assumptions!$B$83</f>
        <v>600</v>
      </c>
      <c r="E42" s="17" t="n">
        <f aca="false">Assumptions!$B$83</f>
        <v>600</v>
      </c>
      <c r="F42" s="17" t="n">
        <f aca="false">Assumptions!$B$83</f>
        <v>600</v>
      </c>
      <c r="G42" s="17" t="n">
        <f aca="false">Assumptions!$B$83</f>
        <v>600</v>
      </c>
      <c r="H42" s="17" t="n">
        <f aca="false">Assumptions!$B$83</f>
        <v>600</v>
      </c>
      <c r="I42" s="17" t="n">
        <f aca="false">Assumptions!$B$83</f>
        <v>600</v>
      </c>
      <c r="J42" s="17" t="n">
        <f aca="false">Assumptions!$B$83</f>
        <v>600</v>
      </c>
      <c r="K42" s="17" t="n">
        <f aca="false">Assumptions!$B$83</f>
        <v>600</v>
      </c>
      <c r="L42" s="17" t="n">
        <f aca="false">Assumptions!$B$83</f>
        <v>600</v>
      </c>
      <c r="M42" s="17" t="n">
        <f aca="false">Assumptions!$B$83</f>
        <v>600</v>
      </c>
      <c r="N42" s="17" t="n">
        <f aca="false">Assumptions!$B$83</f>
        <v>600</v>
      </c>
      <c r="O42" s="17" t="n">
        <f aca="false">Assumptions!$B$83</f>
        <v>600</v>
      </c>
      <c r="P42" s="17" t="n">
        <f aca="false">Assumptions!$B$83</f>
        <v>600</v>
      </c>
      <c r="Q42" s="17" t="n">
        <f aca="false">Assumptions!$B$83</f>
        <v>600</v>
      </c>
      <c r="R42" s="17" t="n">
        <f aca="false">Assumptions!$B$83</f>
        <v>600</v>
      </c>
      <c r="S42" s="17" t="n">
        <f aca="false">Assumptions!$B$83</f>
        <v>600</v>
      </c>
      <c r="T42" s="17" t="n">
        <f aca="false">Assumptions!$B$83</f>
        <v>600</v>
      </c>
      <c r="U42" s="17" t="n">
        <f aca="false">Assumptions!$B$83</f>
        <v>600</v>
      </c>
      <c r="V42" s="17" t="n">
        <f aca="false">Assumptions!$B$83</f>
        <v>600</v>
      </c>
      <c r="W42" s="17" t="n">
        <f aca="false">Assumptions!$B$83</f>
        <v>600</v>
      </c>
      <c r="X42" s="17" t="n">
        <f aca="false">Assumptions!$B$83</f>
        <v>600</v>
      </c>
      <c r="Y42" s="17" t="n">
        <f aca="false">Assumptions!$B$83</f>
        <v>600</v>
      </c>
      <c r="Z42" s="17" t="n">
        <f aca="false">SUM(B42:M42)</f>
        <v>7200</v>
      </c>
      <c r="AA42" s="17" t="n">
        <f aca="false">SUM(N42:Y42)</f>
        <v>7200</v>
      </c>
      <c r="AB42" s="17" t="n">
        <f aca="false">SUM(B42:Y42)</f>
        <v>14400</v>
      </c>
    </row>
    <row r="43" customFormat="false" ht="15" hidden="false" customHeight="false" outlineLevel="0" collapsed="false">
      <c r="A43" s="20" t="s">
        <v>376</v>
      </c>
      <c r="B43" s="17" t="n">
        <f aca="false">IF(1&gt;=Assumptions!$B$86,Assumptions!$B$87,0)</f>
        <v>2125</v>
      </c>
      <c r="C43" s="17" t="n">
        <f aca="false">IF(2&gt;=Assumptions!$B$86,Assumptions!$B$87,0)</f>
        <v>2125</v>
      </c>
      <c r="D43" s="17" t="n">
        <f aca="false">IF(3&gt;=Assumptions!$B$86,Assumptions!$B$87,0)</f>
        <v>2125</v>
      </c>
      <c r="E43" s="17" t="n">
        <f aca="false">IF(4&gt;=Assumptions!$B$86,Assumptions!$B$87,0)</f>
        <v>2125</v>
      </c>
      <c r="F43" s="17" t="n">
        <f aca="false">IF(5&gt;=Assumptions!$B$86,Assumptions!$B$87,0)</f>
        <v>2125</v>
      </c>
      <c r="G43" s="17" t="n">
        <f aca="false">IF(6&gt;=Assumptions!$B$86,Assumptions!$B$87,0)</f>
        <v>2125</v>
      </c>
      <c r="H43" s="17" t="n">
        <f aca="false">IF(7&gt;=Assumptions!$B$86,Assumptions!$B$87,0)</f>
        <v>2125</v>
      </c>
      <c r="I43" s="17" t="n">
        <f aca="false">IF(8&gt;=Assumptions!$B$86,Assumptions!$B$87,0)</f>
        <v>2125</v>
      </c>
      <c r="J43" s="17" t="n">
        <f aca="false">IF(9&gt;=Assumptions!$B$86,Assumptions!$B$87,0)</f>
        <v>2125</v>
      </c>
      <c r="K43" s="17" t="n">
        <f aca="false">IF(10&gt;=Assumptions!$B$86,Assumptions!$B$87,0)</f>
        <v>2125</v>
      </c>
      <c r="L43" s="17" t="n">
        <f aca="false">IF(11&gt;=Assumptions!$B$86,Assumptions!$B$87,0)</f>
        <v>2125</v>
      </c>
      <c r="M43" s="17" t="n">
        <f aca="false">IF(12&gt;=Assumptions!$B$86,Assumptions!$B$87,0)</f>
        <v>2125</v>
      </c>
      <c r="N43" s="17" t="n">
        <f aca="false">IF(13&gt;=Assumptions!$B$86,Assumptions!$B$87,0)</f>
        <v>2125</v>
      </c>
      <c r="O43" s="17" t="n">
        <f aca="false">IF(14&gt;=Assumptions!$B$86,Assumptions!$B$87,0)</f>
        <v>2125</v>
      </c>
      <c r="P43" s="17" t="n">
        <f aca="false">IF(15&gt;=Assumptions!$B$86,Assumptions!$B$87,0)</f>
        <v>2125</v>
      </c>
      <c r="Q43" s="17" t="n">
        <f aca="false">IF(16&gt;=Assumptions!$B$86,Assumptions!$B$87,0)</f>
        <v>2125</v>
      </c>
      <c r="R43" s="17" t="n">
        <f aca="false">IF(17&gt;=Assumptions!$B$86,Assumptions!$B$87,0)</f>
        <v>2125</v>
      </c>
      <c r="S43" s="17" t="n">
        <f aca="false">IF(18&gt;=Assumptions!$B$86,Assumptions!$B$87,0)</f>
        <v>2125</v>
      </c>
      <c r="T43" s="17" t="n">
        <f aca="false">IF(19&gt;=Assumptions!$B$86,Assumptions!$B$87,0)</f>
        <v>2125</v>
      </c>
      <c r="U43" s="17" t="n">
        <f aca="false">IF(20&gt;=Assumptions!$B$86,Assumptions!$B$87,0)</f>
        <v>2125</v>
      </c>
      <c r="V43" s="17" t="n">
        <f aca="false">IF(21&gt;=Assumptions!$B$86,Assumptions!$B$87,0)</f>
        <v>2125</v>
      </c>
      <c r="W43" s="17" t="n">
        <f aca="false">IF(22&gt;=Assumptions!$B$86,Assumptions!$B$87,0)</f>
        <v>2125</v>
      </c>
      <c r="X43" s="17" t="n">
        <f aca="false">IF(23&gt;=Assumptions!$B$86,Assumptions!$B$87,0)</f>
        <v>2125</v>
      </c>
      <c r="Y43" s="17" t="n">
        <f aca="false">IF(24&gt;=Assumptions!$B$86,Assumptions!$B$87,0)</f>
        <v>2125</v>
      </c>
      <c r="Z43" s="17" t="n">
        <f aca="false">SUM(B43:M43)</f>
        <v>25500</v>
      </c>
      <c r="AA43" s="17" t="n">
        <f aca="false">SUM(N43:Y43)</f>
        <v>25500</v>
      </c>
      <c r="AB43" s="17" t="n">
        <f aca="false">SUM(B43:Y43)</f>
        <v>51000</v>
      </c>
    </row>
    <row r="44" customFormat="false" ht="15" hidden="false" customHeight="false" outlineLevel="0" collapsed="false">
      <c r="A44" s="20" t="s">
        <v>377</v>
      </c>
      <c r="B44" s="17" t="n">
        <f aca="false">Assumptions!$B$88</f>
        <v>0</v>
      </c>
      <c r="C44" s="17" t="n">
        <f aca="false">Assumptions!$B$88</f>
        <v>0</v>
      </c>
      <c r="D44" s="17" t="n">
        <f aca="false">Assumptions!$B$88</f>
        <v>0</v>
      </c>
      <c r="E44" s="17" t="n">
        <f aca="false">Assumptions!$B$88</f>
        <v>0</v>
      </c>
      <c r="F44" s="17" t="n">
        <f aca="false">Assumptions!$B$88</f>
        <v>0</v>
      </c>
      <c r="G44" s="17" t="n">
        <f aca="false">Assumptions!$B$88</f>
        <v>0</v>
      </c>
      <c r="H44" s="17" t="n">
        <f aca="false">Assumptions!$B$88</f>
        <v>0</v>
      </c>
      <c r="I44" s="17" t="n">
        <f aca="false">Assumptions!$B$88</f>
        <v>0</v>
      </c>
      <c r="J44" s="17" t="n">
        <f aca="false">Assumptions!$B$88</f>
        <v>0</v>
      </c>
      <c r="K44" s="17" t="n">
        <f aca="false">Assumptions!$B$88</f>
        <v>0</v>
      </c>
      <c r="L44" s="17" t="n">
        <f aca="false">Assumptions!$B$88</f>
        <v>0</v>
      </c>
      <c r="M44" s="17" t="n">
        <f aca="false">Assumptions!$B$88</f>
        <v>0</v>
      </c>
      <c r="N44" s="17" t="n">
        <f aca="false">Assumptions!$B$88</f>
        <v>0</v>
      </c>
      <c r="O44" s="17" t="n">
        <f aca="false">Assumptions!$B$88</f>
        <v>0</v>
      </c>
      <c r="P44" s="17" t="n">
        <f aca="false">Assumptions!$B$88</f>
        <v>0</v>
      </c>
      <c r="Q44" s="17" t="n">
        <f aca="false">Assumptions!$B$88</f>
        <v>0</v>
      </c>
      <c r="R44" s="17" t="n">
        <f aca="false">Assumptions!$B$88</f>
        <v>0</v>
      </c>
      <c r="S44" s="17" t="n">
        <f aca="false">Assumptions!$B$88</f>
        <v>0</v>
      </c>
      <c r="T44" s="17" t="n">
        <f aca="false">Assumptions!$B$88</f>
        <v>0</v>
      </c>
      <c r="U44" s="17" t="n">
        <f aca="false">Assumptions!$B$88</f>
        <v>0</v>
      </c>
      <c r="V44" s="17" t="n">
        <f aca="false">Assumptions!$B$88</f>
        <v>0</v>
      </c>
      <c r="W44" s="17" t="n">
        <f aca="false">Assumptions!$B$88</f>
        <v>0</v>
      </c>
      <c r="X44" s="17" t="n">
        <f aca="false">Assumptions!$B$88</f>
        <v>0</v>
      </c>
      <c r="Y44" s="17" t="n">
        <f aca="false">Assumptions!$B$88</f>
        <v>0</v>
      </c>
      <c r="Z44" s="17" t="n">
        <f aca="false">SUM(B44:M44)</f>
        <v>0</v>
      </c>
      <c r="AA44" s="17" t="n">
        <f aca="false">SUM(N44:Y44)</f>
        <v>0</v>
      </c>
      <c r="AB44" s="17" t="n">
        <f aca="false">SUM(B44:Y44)</f>
        <v>0</v>
      </c>
    </row>
    <row r="45" customFormat="false" ht="15" hidden="false" customHeight="false" outlineLevel="0" collapsed="false">
      <c r="A45" s="20" t="s">
        <v>378</v>
      </c>
      <c r="B45" s="17" t="n">
        <f aca="false">Assumptions!$B$64*IF(1&gt;=Assumptions!$B$14,Assumptions!$B$75,1)</f>
        <v>1440</v>
      </c>
      <c r="C45" s="17" t="n">
        <f aca="false">Assumptions!$B$64*IF(2&gt;=Assumptions!$B$14,Assumptions!$B$75,1)</f>
        <v>1440</v>
      </c>
      <c r="D45" s="17" t="n">
        <f aca="false">Assumptions!$B$64*IF(3&gt;=Assumptions!$B$14,Assumptions!$B$75,1)</f>
        <v>1440</v>
      </c>
      <c r="E45" s="17" t="n">
        <f aca="false">Assumptions!$B$64*IF(4&gt;=Assumptions!$B$14,Assumptions!$B$75,1)</f>
        <v>1440</v>
      </c>
      <c r="F45" s="17" t="n">
        <f aca="false">Assumptions!$B$64*IF(5&gt;=Assumptions!$B$14,Assumptions!$B$75,1)</f>
        <v>1440</v>
      </c>
      <c r="G45" s="17" t="n">
        <f aca="false">Assumptions!$B$64*IF(6&gt;=Assumptions!$B$14,Assumptions!$B$75,1)</f>
        <v>1440</v>
      </c>
      <c r="H45" s="17" t="n">
        <f aca="false">Assumptions!$B$64*IF(7&gt;=Assumptions!$B$14,Assumptions!$B$75,1)</f>
        <v>1440</v>
      </c>
      <c r="I45" s="17" t="n">
        <f aca="false">Assumptions!$B$64*IF(8&gt;=Assumptions!$B$14,Assumptions!$B$75,1)</f>
        <v>1440</v>
      </c>
      <c r="J45" s="17" t="n">
        <f aca="false">Assumptions!$B$64*IF(9&gt;=Assumptions!$B$14,Assumptions!$B$75,1)</f>
        <v>1440</v>
      </c>
      <c r="K45" s="17" t="n">
        <f aca="false">Assumptions!$B$64*IF(10&gt;=Assumptions!$B$14,Assumptions!$B$75,1)</f>
        <v>1440</v>
      </c>
      <c r="L45" s="17" t="n">
        <f aca="false">Assumptions!$B$64*IF(11&gt;=Assumptions!$B$14,Assumptions!$B$75,1)</f>
        <v>1440</v>
      </c>
      <c r="M45" s="17" t="n">
        <f aca="false">Assumptions!$B$64*IF(12&gt;=Assumptions!$B$14,Assumptions!$B$75,1)</f>
        <v>1440</v>
      </c>
      <c r="N45" s="17" t="n">
        <f aca="false">Assumptions!$B$64*IF(13&gt;=Assumptions!$B$14,Assumptions!$B$75,1)</f>
        <v>1440</v>
      </c>
      <c r="O45" s="17" t="n">
        <f aca="false">Assumptions!$B$64*IF(14&gt;=Assumptions!$B$14,Assumptions!$B$75,1)</f>
        <v>1440</v>
      </c>
      <c r="P45" s="17" t="n">
        <f aca="false">Assumptions!$B$64*IF(15&gt;=Assumptions!$B$14,Assumptions!$B$75,1)</f>
        <v>1440</v>
      </c>
      <c r="Q45" s="17" t="n">
        <f aca="false">Assumptions!$B$64*IF(16&gt;=Assumptions!$B$14,Assumptions!$B$75,1)</f>
        <v>1440</v>
      </c>
      <c r="R45" s="17" t="n">
        <f aca="false">Assumptions!$B$64*IF(17&gt;=Assumptions!$B$14,Assumptions!$B$75,1)</f>
        <v>1440</v>
      </c>
      <c r="S45" s="17" t="n">
        <f aca="false">Assumptions!$B$64*IF(18&gt;=Assumptions!$B$14,Assumptions!$B$75,1)</f>
        <v>1440</v>
      </c>
      <c r="T45" s="17" t="n">
        <f aca="false">Assumptions!$B$64*IF(19&gt;=Assumptions!$B$14,Assumptions!$B$75,1)</f>
        <v>1440</v>
      </c>
      <c r="U45" s="17" t="n">
        <f aca="false">Assumptions!$B$64*IF(20&gt;=Assumptions!$B$14,Assumptions!$B$75,1)</f>
        <v>1440</v>
      </c>
      <c r="V45" s="17" t="n">
        <f aca="false">Assumptions!$B$64*IF(21&gt;=Assumptions!$B$14,Assumptions!$B$75,1)</f>
        <v>1440</v>
      </c>
      <c r="W45" s="17" t="n">
        <f aca="false">Assumptions!$B$64*IF(22&gt;=Assumptions!$B$14,Assumptions!$B$75,1)</f>
        <v>1440</v>
      </c>
      <c r="X45" s="17" t="n">
        <f aca="false">Assumptions!$B$64*IF(23&gt;=Assumptions!$B$14,Assumptions!$B$75,1)</f>
        <v>1440</v>
      </c>
      <c r="Y45" s="17" t="n">
        <f aca="false">Assumptions!$B$64*IF(24&gt;=Assumptions!$B$14,Assumptions!$B$75,1)</f>
        <v>1440</v>
      </c>
      <c r="Z45" s="17" t="n">
        <f aca="false">SUM(B45:M45)</f>
        <v>17280</v>
      </c>
      <c r="AA45" s="17" t="n">
        <f aca="false">SUM(N45:Y45)</f>
        <v>17280</v>
      </c>
      <c r="AB45" s="17" t="n">
        <f aca="false">SUM(B45:Y45)</f>
        <v>34560</v>
      </c>
    </row>
    <row r="46" customFormat="false" ht="15" hidden="false" customHeight="false" outlineLevel="0" collapsed="false">
      <c r="A46" s="20" t="s">
        <v>379</v>
      </c>
      <c r="B46" s="17" t="n">
        <f aca="false">IF(1&gt;=2,Assumptions!$B$67*IF(1&gt;=Assumptions!$B$14,Assumptions!$B$75,1),0)</f>
        <v>0</v>
      </c>
      <c r="C46" s="17" t="n">
        <f aca="false">IF(2&gt;=2,Assumptions!$B$67*IF(2&gt;=Assumptions!$B$14,Assumptions!$B$75,1),0)</f>
        <v>960</v>
      </c>
      <c r="D46" s="17" t="n">
        <f aca="false">IF(3&gt;=2,Assumptions!$B$67*IF(3&gt;=Assumptions!$B$14,Assumptions!$B$75,1),0)</f>
        <v>960</v>
      </c>
      <c r="E46" s="17" t="n">
        <f aca="false">IF(4&gt;=2,Assumptions!$B$67*IF(4&gt;=Assumptions!$B$14,Assumptions!$B$75,1),0)</f>
        <v>960</v>
      </c>
      <c r="F46" s="17" t="n">
        <f aca="false">IF(5&gt;=2,Assumptions!$B$67*IF(5&gt;=Assumptions!$B$14,Assumptions!$B$75,1),0)</f>
        <v>960</v>
      </c>
      <c r="G46" s="17" t="n">
        <f aca="false">IF(6&gt;=2,Assumptions!$B$67*IF(6&gt;=Assumptions!$B$14,Assumptions!$B$75,1),0)</f>
        <v>960</v>
      </c>
      <c r="H46" s="17" t="n">
        <f aca="false">IF(7&gt;=2,Assumptions!$B$67*IF(7&gt;=Assumptions!$B$14,Assumptions!$B$75,1),0)</f>
        <v>960</v>
      </c>
      <c r="I46" s="17" t="n">
        <f aca="false">IF(8&gt;=2,Assumptions!$B$67*IF(8&gt;=Assumptions!$B$14,Assumptions!$B$75,1),0)</f>
        <v>960</v>
      </c>
      <c r="J46" s="17" t="n">
        <f aca="false">IF(9&gt;=2,Assumptions!$B$67*IF(9&gt;=Assumptions!$B$14,Assumptions!$B$75,1),0)</f>
        <v>960</v>
      </c>
      <c r="K46" s="17" t="n">
        <f aca="false">IF(10&gt;=2,Assumptions!$B$67*IF(10&gt;=Assumptions!$B$14,Assumptions!$B$75,1),0)</f>
        <v>960</v>
      </c>
      <c r="L46" s="17" t="n">
        <f aca="false">IF(11&gt;=2,Assumptions!$B$67*IF(11&gt;=Assumptions!$B$14,Assumptions!$B$75,1),0)</f>
        <v>960</v>
      </c>
      <c r="M46" s="17" t="n">
        <f aca="false">IF(12&gt;=2,Assumptions!$B$67*IF(12&gt;=Assumptions!$B$14,Assumptions!$B$75,1),0)</f>
        <v>960</v>
      </c>
      <c r="N46" s="17" t="n">
        <f aca="false">IF(13&gt;=2,Assumptions!$B$67*IF(13&gt;=Assumptions!$B$14,Assumptions!$B$75,1),0)</f>
        <v>960</v>
      </c>
      <c r="O46" s="17" t="n">
        <f aca="false">IF(14&gt;=2,Assumptions!$B$67*IF(14&gt;=Assumptions!$B$14,Assumptions!$B$75,1),0)</f>
        <v>960</v>
      </c>
      <c r="P46" s="17" t="n">
        <f aca="false">IF(15&gt;=2,Assumptions!$B$67*IF(15&gt;=Assumptions!$B$14,Assumptions!$B$75,1),0)</f>
        <v>960</v>
      </c>
      <c r="Q46" s="17" t="n">
        <f aca="false">IF(16&gt;=2,Assumptions!$B$67*IF(16&gt;=Assumptions!$B$14,Assumptions!$B$75,1),0)</f>
        <v>960</v>
      </c>
      <c r="R46" s="17" t="n">
        <f aca="false">IF(17&gt;=2,Assumptions!$B$67*IF(17&gt;=Assumptions!$B$14,Assumptions!$B$75,1),0)</f>
        <v>960</v>
      </c>
      <c r="S46" s="17" t="n">
        <f aca="false">IF(18&gt;=2,Assumptions!$B$67*IF(18&gt;=Assumptions!$B$14,Assumptions!$B$75,1),0)</f>
        <v>960</v>
      </c>
      <c r="T46" s="17" t="n">
        <f aca="false">IF(19&gt;=2,Assumptions!$B$67*IF(19&gt;=Assumptions!$B$14,Assumptions!$B$75,1),0)</f>
        <v>960</v>
      </c>
      <c r="U46" s="17" t="n">
        <f aca="false">IF(20&gt;=2,Assumptions!$B$67*IF(20&gt;=Assumptions!$B$14,Assumptions!$B$75,1),0)</f>
        <v>960</v>
      </c>
      <c r="V46" s="17" t="n">
        <f aca="false">IF(21&gt;=2,Assumptions!$B$67*IF(21&gt;=Assumptions!$B$14,Assumptions!$B$75,1),0)</f>
        <v>960</v>
      </c>
      <c r="W46" s="17" t="n">
        <f aca="false">IF(22&gt;=2,Assumptions!$B$67*IF(22&gt;=Assumptions!$B$14,Assumptions!$B$75,1),0)</f>
        <v>960</v>
      </c>
      <c r="X46" s="17" t="n">
        <f aca="false">IF(23&gt;=2,Assumptions!$B$67*IF(23&gt;=Assumptions!$B$14,Assumptions!$B$75,1),0)</f>
        <v>960</v>
      </c>
      <c r="Y46" s="17" t="n">
        <f aca="false">IF(24&gt;=2,Assumptions!$B$67*IF(24&gt;=Assumptions!$B$14,Assumptions!$B$75,1),0)</f>
        <v>960</v>
      </c>
      <c r="Z46" s="17" t="n">
        <f aca="false">SUM(B46:M46)</f>
        <v>10560</v>
      </c>
      <c r="AA46" s="17" t="n">
        <f aca="false">SUM(N46:Y46)</f>
        <v>11520</v>
      </c>
      <c r="AB46" s="17" t="n">
        <f aca="false">SUM(B46:Y46)</f>
        <v>22080</v>
      </c>
    </row>
    <row r="47" customFormat="false" ht="15" hidden="false" customHeight="false" outlineLevel="0" collapsed="false">
      <c r="A47" s="20" t="s">
        <v>380</v>
      </c>
      <c r="B47" s="17" t="n">
        <f aca="false">Assumptions!$B$76</f>
        <v>300</v>
      </c>
      <c r="C47" s="17" t="n">
        <f aca="false">Assumptions!$B$76</f>
        <v>300</v>
      </c>
      <c r="D47" s="17" t="n">
        <f aca="false">Assumptions!$B$76</f>
        <v>300</v>
      </c>
      <c r="E47" s="17" t="n">
        <f aca="false">Assumptions!$B$76</f>
        <v>300</v>
      </c>
      <c r="F47" s="17" t="n">
        <f aca="false">Assumptions!$B$76</f>
        <v>300</v>
      </c>
      <c r="G47" s="17" t="n">
        <f aca="false">Assumptions!$B$76</f>
        <v>300</v>
      </c>
      <c r="H47" s="17" t="n">
        <f aca="false">Assumptions!$B$76</f>
        <v>300</v>
      </c>
      <c r="I47" s="17" t="n">
        <f aca="false">Assumptions!$B$76</f>
        <v>300</v>
      </c>
      <c r="J47" s="17" t="n">
        <f aca="false">Assumptions!$B$76</f>
        <v>300</v>
      </c>
      <c r="K47" s="17" t="n">
        <f aca="false">Assumptions!$B$76</f>
        <v>300</v>
      </c>
      <c r="L47" s="17" t="n">
        <f aca="false">Assumptions!$B$76</f>
        <v>300</v>
      </c>
      <c r="M47" s="17" t="n">
        <f aca="false">Assumptions!$B$76</f>
        <v>300</v>
      </c>
      <c r="N47" s="17" t="n">
        <f aca="false">Assumptions!$B$76</f>
        <v>300</v>
      </c>
      <c r="O47" s="17" t="n">
        <f aca="false">Assumptions!$B$76</f>
        <v>300</v>
      </c>
      <c r="P47" s="17" t="n">
        <f aca="false">Assumptions!$B$76</f>
        <v>300</v>
      </c>
      <c r="Q47" s="17" t="n">
        <f aca="false">Assumptions!$B$76</f>
        <v>300</v>
      </c>
      <c r="R47" s="17" t="n">
        <f aca="false">Assumptions!$B$76</f>
        <v>300</v>
      </c>
      <c r="S47" s="17" t="n">
        <f aca="false">Assumptions!$B$76</f>
        <v>300</v>
      </c>
      <c r="T47" s="17" t="n">
        <f aca="false">Assumptions!$B$76</f>
        <v>300</v>
      </c>
      <c r="U47" s="17" t="n">
        <f aca="false">Assumptions!$B$76</f>
        <v>300</v>
      </c>
      <c r="V47" s="17" t="n">
        <f aca="false">Assumptions!$B$76</f>
        <v>300</v>
      </c>
      <c r="W47" s="17" t="n">
        <f aca="false">Assumptions!$B$76</f>
        <v>300</v>
      </c>
      <c r="X47" s="17" t="n">
        <f aca="false">Assumptions!$B$76</f>
        <v>300</v>
      </c>
      <c r="Y47" s="17" t="n">
        <f aca="false">Assumptions!$B$76</f>
        <v>300</v>
      </c>
      <c r="Z47" s="17" t="n">
        <f aca="false">SUM(B47:M47)</f>
        <v>3600</v>
      </c>
      <c r="AA47" s="17" t="n">
        <f aca="false">SUM(N47:Y47)</f>
        <v>3600</v>
      </c>
      <c r="AB47" s="17" t="n">
        <f aca="false">SUM(B47:Y47)</f>
        <v>7200</v>
      </c>
    </row>
    <row r="48" customFormat="false" ht="15" hidden="false" customHeight="false" outlineLevel="0" collapsed="false">
      <c r="A48" s="20" t="s">
        <v>381</v>
      </c>
      <c r="B48" s="17" t="n">
        <f aca="false">IF(AND(1&gt;=Assumptions!$B$14,1&lt;Assumptions!$B$14+Assumptions!$B$92),Assumptions!$B$91,0)+IF(AND(1&gt;=Assumptions!$B$14,1&lt;Assumptions!$B$14+Assumptions!$B$95),Assumptions!$B$94,0)+IF(AND(1&gt;=Assumptions!$B$14,1&lt;Assumptions!$B$14+Assumptions!$B$98),Assumptions!$B$97,0)+IF(AND(1&gt;=Assumptions!$B$14,1&lt;Assumptions!$B$14+Assumptions!$B$101),Assumptions!$B$100,0)+IF(AND(1&gt;=Assumptions!$B$14,1&lt;Assumptions!$B$14+Assumptions!$B$104),Assumptions!$B$103,0)+IF(1=Assumptions!$B$14,Assumptions!$B$108,0)</f>
        <v>8200</v>
      </c>
      <c r="C48" s="17" t="n">
        <f aca="false">IF(AND(2&gt;=Assumptions!$B$14,2&lt;Assumptions!$B$14+Assumptions!$B$92),Assumptions!$B$91,0)+IF(AND(2&gt;=Assumptions!$B$14,2&lt;Assumptions!$B$14+Assumptions!$B$95),Assumptions!$B$94,0)+IF(AND(2&gt;=Assumptions!$B$14,2&lt;Assumptions!$B$14+Assumptions!$B$98),Assumptions!$B$97,0)+IF(AND(2&gt;=Assumptions!$B$14,2&lt;Assumptions!$B$14+Assumptions!$B$101),Assumptions!$B$100,0)+IF(AND(2&gt;=Assumptions!$B$14,2&lt;Assumptions!$B$14+Assumptions!$B$104),Assumptions!$B$103,0)+IF(2=Assumptions!$B$14,Assumptions!$B$108,0)</f>
        <v>3700</v>
      </c>
      <c r="D48" s="17" t="n">
        <f aca="false">IF(AND(3&gt;=Assumptions!$B$14,3&lt;Assumptions!$B$14+Assumptions!$B$92),Assumptions!$B$91,0)+IF(AND(3&gt;=Assumptions!$B$14,3&lt;Assumptions!$B$14+Assumptions!$B$95),Assumptions!$B$94,0)+IF(AND(3&gt;=Assumptions!$B$14,3&lt;Assumptions!$B$14+Assumptions!$B$98),Assumptions!$B$97,0)+IF(AND(3&gt;=Assumptions!$B$14,3&lt;Assumptions!$B$14+Assumptions!$B$101),Assumptions!$B$100,0)+IF(AND(3&gt;=Assumptions!$B$14,3&lt;Assumptions!$B$14+Assumptions!$B$104),Assumptions!$B$103,0)+IF(3=Assumptions!$B$14,Assumptions!$B$108,0)</f>
        <v>3700</v>
      </c>
      <c r="E48" s="17" t="n">
        <f aca="false">IF(AND(4&gt;=Assumptions!$B$14,4&lt;Assumptions!$B$14+Assumptions!$B$92),Assumptions!$B$91,0)+IF(AND(4&gt;=Assumptions!$B$14,4&lt;Assumptions!$B$14+Assumptions!$B$95),Assumptions!$B$94,0)+IF(AND(4&gt;=Assumptions!$B$14,4&lt;Assumptions!$B$14+Assumptions!$B$98),Assumptions!$B$97,0)+IF(AND(4&gt;=Assumptions!$B$14,4&lt;Assumptions!$B$14+Assumptions!$B$101),Assumptions!$B$100,0)+IF(AND(4&gt;=Assumptions!$B$14,4&lt;Assumptions!$B$14+Assumptions!$B$104),Assumptions!$B$103,0)+IF(4=Assumptions!$B$14,Assumptions!$B$108,0)</f>
        <v>0</v>
      </c>
      <c r="F48" s="17" t="n">
        <f aca="false">IF(AND(5&gt;=Assumptions!$B$14,5&lt;Assumptions!$B$14+Assumptions!$B$92),Assumptions!$B$91,0)+IF(AND(5&gt;=Assumptions!$B$14,5&lt;Assumptions!$B$14+Assumptions!$B$95),Assumptions!$B$94,0)+IF(AND(5&gt;=Assumptions!$B$14,5&lt;Assumptions!$B$14+Assumptions!$B$98),Assumptions!$B$97,0)+IF(AND(5&gt;=Assumptions!$B$14,5&lt;Assumptions!$B$14+Assumptions!$B$101),Assumptions!$B$100,0)+IF(AND(5&gt;=Assumptions!$B$14,5&lt;Assumptions!$B$14+Assumptions!$B$104),Assumptions!$B$103,0)+IF(5=Assumptions!$B$14,Assumptions!$B$108,0)</f>
        <v>0</v>
      </c>
      <c r="G48" s="17" t="n">
        <f aca="false">IF(AND(6&gt;=Assumptions!$B$14,6&lt;Assumptions!$B$14+Assumptions!$B$92),Assumptions!$B$91,0)+IF(AND(6&gt;=Assumptions!$B$14,6&lt;Assumptions!$B$14+Assumptions!$B$95),Assumptions!$B$94,0)+IF(AND(6&gt;=Assumptions!$B$14,6&lt;Assumptions!$B$14+Assumptions!$B$98),Assumptions!$B$97,0)+IF(AND(6&gt;=Assumptions!$B$14,6&lt;Assumptions!$B$14+Assumptions!$B$101),Assumptions!$B$100,0)+IF(AND(6&gt;=Assumptions!$B$14,6&lt;Assumptions!$B$14+Assumptions!$B$104),Assumptions!$B$103,0)+IF(6=Assumptions!$B$14,Assumptions!$B$108,0)</f>
        <v>0</v>
      </c>
      <c r="H48" s="17" t="n">
        <f aca="false">IF(AND(7&gt;=Assumptions!$B$14,7&lt;Assumptions!$B$14+Assumptions!$B$92),Assumptions!$B$91,0)+IF(AND(7&gt;=Assumptions!$B$14,7&lt;Assumptions!$B$14+Assumptions!$B$95),Assumptions!$B$94,0)+IF(AND(7&gt;=Assumptions!$B$14,7&lt;Assumptions!$B$14+Assumptions!$B$98),Assumptions!$B$97,0)+IF(AND(7&gt;=Assumptions!$B$14,7&lt;Assumptions!$B$14+Assumptions!$B$101),Assumptions!$B$100,0)+IF(AND(7&gt;=Assumptions!$B$14,7&lt;Assumptions!$B$14+Assumptions!$B$104),Assumptions!$B$103,0)+IF(7=Assumptions!$B$14,Assumptions!$B$108,0)</f>
        <v>0</v>
      </c>
      <c r="I48" s="17" t="n">
        <f aca="false">IF(AND(8&gt;=Assumptions!$B$14,8&lt;Assumptions!$B$14+Assumptions!$B$92),Assumptions!$B$91,0)+IF(AND(8&gt;=Assumptions!$B$14,8&lt;Assumptions!$B$14+Assumptions!$B$95),Assumptions!$B$94,0)+IF(AND(8&gt;=Assumptions!$B$14,8&lt;Assumptions!$B$14+Assumptions!$B$98),Assumptions!$B$97,0)+IF(AND(8&gt;=Assumptions!$B$14,8&lt;Assumptions!$B$14+Assumptions!$B$101),Assumptions!$B$100,0)+IF(AND(8&gt;=Assumptions!$B$14,8&lt;Assumptions!$B$14+Assumptions!$B$104),Assumptions!$B$103,0)+IF(8=Assumptions!$B$14,Assumptions!$B$108,0)</f>
        <v>0</v>
      </c>
      <c r="J48" s="17" t="n">
        <f aca="false">IF(AND(9&gt;=Assumptions!$B$14,9&lt;Assumptions!$B$14+Assumptions!$B$92),Assumptions!$B$91,0)+IF(AND(9&gt;=Assumptions!$B$14,9&lt;Assumptions!$B$14+Assumptions!$B$95),Assumptions!$B$94,0)+IF(AND(9&gt;=Assumptions!$B$14,9&lt;Assumptions!$B$14+Assumptions!$B$98),Assumptions!$B$97,0)+IF(AND(9&gt;=Assumptions!$B$14,9&lt;Assumptions!$B$14+Assumptions!$B$101),Assumptions!$B$100,0)+IF(AND(9&gt;=Assumptions!$B$14,9&lt;Assumptions!$B$14+Assumptions!$B$104),Assumptions!$B$103,0)+IF(9=Assumptions!$B$14,Assumptions!$B$108,0)</f>
        <v>0</v>
      </c>
      <c r="K48" s="17" t="n">
        <f aca="false">IF(AND(10&gt;=Assumptions!$B$14,10&lt;Assumptions!$B$14+Assumptions!$B$92),Assumptions!$B$91,0)+IF(AND(10&gt;=Assumptions!$B$14,10&lt;Assumptions!$B$14+Assumptions!$B$95),Assumptions!$B$94,0)+IF(AND(10&gt;=Assumptions!$B$14,10&lt;Assumptions!$B$14+Assumptions!$B$98),Assumptions!$B$97,0)+IF(AND(10&gt;=Assumptions!$B$14,10&lt;Assumptions!$B$14+Assumptions!$B$101),Assumptions!$B$100,0)+IF(AND(10&gt;=Assumptions!$B$14,10&lt;Assumptions!$B$14+Assumptions!$B$104),Assumptions!$B$103,0)+IF(10=Assumptions!$B$14,Assumptions!$B$108,0)</f>
        <v>0</v>
      </c>
      <c r="L48" s="17" t="n">
        <f aca="false">IF(AND(11&gt;=Assumptions!$B$14,11&lt;Assumptions!$B$14+Assumptions!$B$92),Assumptions!$B$91,0)+IF(AND(11&gt;=Assumptions!$B$14,11&lt;Assumptions!$B$14+Assumptions!$B$95),Assumptions!$B$94,0)+IF(AND(11&gt;=Assumptions!$B$14,11&lt;Assumptions!$B$14+Assumptions!$B$98),Assumptions!$B$97,0)+IF(AND(11&gt;=Assumptions!$B$14,11&lt;Assumptions!$B$14+Assumptions!$B$101),Assumptions!$B$100,0)+IF(AND(11&gt;=Assumptions!$B$14,11&lt;Assumptions!$B$14+Assumptions!$B$104),Assumptions!$B$103,0)+IF(11=Assumptions!$B$14,Assumptions!$B$108,0)</f>
        <v>0</v>
      </c>
      <c r="M48" s="17" t="n">
        <f aca="false">IF(AND(12&gt;=Assumptions!$B$14,12&lt;Assumptions!$B$14+Assumptions!$B$92),Assumptions!$B$91,0)+IF(AND(12&gt;=Assumptions!$B$14,12&lt;Assumptions!$B$14+Assumptions!$B$95),Assumptions!$B$94,0)+IF(AND(12&gt;=Assumptions!$B$14,12&lt;Assumptions!$B$14+Assumptions!$B$98),Assumptions!$B$97,0)+IF(AND(12&gt;=Assumptions!$B$14,12&lt;Assumptions!$B$14+Assumptions!$B$101),Assumptions!$B$100,0)+IF(AND(12&gt;=Assumptions!$B$14,12&lt;Assumptions!$B$14+Assumptions!$B$104),Assumptions!$B$103,0)+IF(12=Assumptions!$B$14,Assumptions!$B$108,0)</f>
        <v>0</v>
      </c>
      <c r="N48" s="17" t="n">
        <f aca="false">IF(AND(13&gt;=Assumptions!$B$14,13&lt;Assumptions!$B$14+Assumptions!$B$92),Assumptions!$B$91,0)+IF(AND(13&gt;=Assumptions!$B$14,13&lt;Assumptions!$B$14+Assumptions!$B$95),Assumptions!$B$94,0)+IF(AND(13&gt;=Assumptions!$B$14,13&lt;Assumptions!$B$14+Assumptions!$B$98),Assumptions!$B$97,0)+IF(AND(13&gt;=Assumptions!$B$14,13&lt;Assumptions!$B$14+Assumptions!$B$101),Assumptions!$B$100,0)+IF(AND(13&gt;=Assumptions!$B$14,13&lt;Assumptions!$B$14+Assumptions!$B$104),Assumptions!$B$103,0)+IF(13=Assumptions!$B$14,Assumptions!$B$108,0)</f>
        <v>0</v>
      </c>
      <c r="O48" s="17" t="n">
        <f aca="false">IF(AND(14&gt;=Assumptions!$B$14,14&lt;Assumptions!$B$14+Assumptions!$B$92),Assumptions!$B$91,0)+IF(AND(14&gt;=Assumptions!$B$14,14&lt;Assumptions!$B$14+Assumptions!$B$95),Assumptions!$B$94,0)+IF(AND(14&gt;=Assumptions!$B$14,14&lt;Assumptions!$B$14+Assumptions!$B$98),Assumptions!$B$97,0)+IF(AND(14&gt;=Assumptions!$B$14,14&lt;Assumptions!$B$14+Assumptions!$B$101),Assumptions!$B$100,0)+IF(AND(14&gt;=Assumptions!$B$14,14&lt;Assumptions!$B$14+Assumptions!$B$104),Assumptions!$B$103,0)+IF(14=Assumptions!$B$14,Assumptions!$B$108,0)</f>
        <v>0</v>
      </c>
      <c r="P48" s="17" t="n">
        <f aca="false">IF(AND(15&gt;=Assumptions!$B$14,15&lt;Assumptions!$B$14+Assumptions!$B$92),Assumptions!$B$91,0)+IF(AND(15&gt;=Assumptions!$B$14,15&lt;Assumptions!$B$14+Assumptions!$B$95),Assumptions!$B$94,0)+IF(AND(15&gt;=Assumptions!$B$14,15&lt;Assumptions!$B$14+Assumptions!$B$98),Assumptions!$B$97,0)+IF(AND(15&gt;=Assumptions!$B$14,15&lt;Assumptions!$B$14+Assumptions!$B$101),Assumptions!$B$100,0)+IF(AND(15&gt;=Assumptions!$B$14,15&lt;Assumptions!$B$14+Assumptions!$B$104),Assumptions!$B$103,0)+IF(15=Assumptions!$B$14,Assumptions!$B$108,0)</f>
        <v>0</v>
      </c>
      <c r="Q48" s="17" t="n">
        <f aca="false">IF(AND(16&gt;=Assumptions!$B$14,16&lt;Assumptions!$B$14+Assumptions!$B$92),Assumptions!$B$91,0)+IF(AND(16&gt;=Assumptions!$B$14,16&lt;Assumptions!$B$14+Assumptions!$B$95),Assumptions!$B$94,0)+IF(AND(16&gt;=Assumptions!$B$14,16&lt;Assumptions!$B$14+Assumptions!$B$98),Assumptions!$B$97,0)+IF(AND(16&gt;=Assumptions!$B$14,16&lt;Assumptions!$B$14+Assumptions!$B$101),Assumptions!$B$100,0)+IF(AND(16&gt;=Assumptions!$B$14,16&lt;Assumptions!$B$14+Assumptions!$B$104),Assumptions!$B$103,0)+IF(16=Assumptions!$B$14,Assumptions!$B$108,0)</f>
        <v>0</v>
      </c>
      <c r="R48" s="17" t="n">
        <f aca="false">IF(AND(17&gt;=Assumptions!$B$14,17&lt;Assumptions!$B$14+Assumptions!$B$92),Assumptions!$B$91,0)+IF(AND(17&gt;=Assumptions!$B$14,17&lt;Assumptions!$B$14+Assumptions!$B$95),Assumptions!$B$94,0)+IF(AND(17&gt;=Assumptions!$B$14,17&lt;Assumptions!$B$14+Assumptions!$B$98),Assumptions!$B$97,0)+IF(AND(17&gt;=Assumptions!$B$14,17&lt;Assumptions!$B$14+Assumptions!$B$101),Assumptions!$B$100,0)+IF(AND(17&gt;=Assumptions!$B$14,17&lt;Assumptions!$B$14+Assumptions!$B$104),Assumptions!$B$103,0)+IF(17=Assumptions!$B$14,Assumptions!$B$108,0)</f>
        <v>0</v>
      </c>
      <c r="S48" s="17" t="n">
        <f aca="false">IF(AND(18&gt;=Assumptions!$B$14,18&lt;Assumptions!$B$14+Assumptions!$B$92),Assumptions!$B$91,0)+IF(AND(18&gt;=Assumptions!$B$14,18&lt;Assumptions!$B$14+Assumptions!$B$95),Assumptions!$B$94,0)+IF(AND(18&gt;=Assumptions!$B$14,18&lt;Assumptions!$B$14+Assumptions!$B$98),Assumptions!$B$97,0)+IF(AND(18&gt;=Assumptions!$B$14,18&lt;Assumptions!$B$14+Assumptions!$B$101),Assumptions!$B$100,0)+IF(AND(18&gt;=Assumptions!$B$14,18&lt;Assumptions!$B$14+Assumptions!$B$104),Assumptions!$B$103,0)+IF(18=Assumptions!$B$14,Assumptions!$B$108,0)</f>
        <v>0</v>
      </c>
      <c r="T48" s="17" t="n">
        <f aca="false">IF(AND(19&gt;=Assumptions!$B$14,19&lt;Assumptions!$B$14+Assumptions!$B$92),Assumptions!$B$91,0)+IF(AND(19&gt;=Assumptions!$B$14,19&lt;Assumptions!$B$14+Assumptions!$B$95),Assumptions!$B$94,0)+IF(AND(19&gt;=Assumptions!$B$14,19&lt;Assumptions!$B$14+Assumptions!$B$98),Assumptions!$B$97,0)+IF(AND(19&gt;=Assumptions!$B$14,19&lt;Assumptions!$B$14+Assumptions!$B$101),Assumptions!$B$100,0)+IF(AND(19&gt;=Assumptions!$B$14,19&lt;Assumptions!$B$14+Assumptions!$B$104),Assumptions!$B$103,0)+IF(19=Assumptions!$B$14,Assumptions!$B$108,0)</f>
        <v>0</v>
      </c>
      <c r="U48" s="17" t="n">
        <f aca="false">IF(AND(20&gt;=Assumptions!$B$14,20&lt;Assumptions!$B$14+Assumptions!$B$92),Assumptions!$B$91,0)+IF(AND(20&gt;=Assumptions!$B$14,20&lt;Assumptions!$B$14+Assumptions!$B$95),Assumptions!$B$94,0)+IF(AND(20&gt;=Assumptions!$B$14,20&lt;Assumptions!$B$14+Assumptions!$B$98),Assumptions!$B$97,0)+IF(AND(20&gt;=Assumptions!$B$14,20&lt;Assumptions!$B$14+Assumptions!$B$101),Assumptions!$B$100,0)+IF(AND(20&gt;=Assumptions!$B$14,20&lt;Assumptions!$B$14+Assumptions!$B$104),Assumptions!$B$103,0)+IF(20=Assumptions!$B$14,Assumptions!$B$108,0)</f>
        <v>0</v>
      </c>
      <c r="V48" s="17" t="n">
        <f aca="false">IF(AND(21&gt;=Assumptions!$B$14,21&lt;Assumptions!$B$14+Assumptions!$B$92),Assumptions!$B$91,0)+IF(AND(21&gt;=Assumptions!$B$14,21&lt;Assumptions!$B$14+Assumptions!$B$95),Assumptions!$B$94,0)+IF(AND(21&gt;=Assumptions!$B$14,21&lt;Assumptions!$B$14+Assumptions!$B$98),Assumptions!$B$97,0)+IF(AND(21&gt;=Assumptions!$B$14,21&lt;Assumptions!$B$14+Assumptions!$B$101),Assumptions!$B$100,0)+IF(AND(21&gt;=Assumptions!$B$14,21&lt;Assumptions!$B$14+Assumptions!$B$104),Assumptions!$B$103,0)+IF(21=Assumptions!$B$14,Assumptions!$B$108,0)</f>
        <v>0</v>
      </c>
      <c r="W48" s="17" t="n">
        <f aca="false">IF(AND(22&gt;=Assumptions!$B$14,22&lt;Assumptions!$B$14+Assumptions!$B$92),Assumptions!$B$91,0)+IF(AND(22&gt;=Assumptions!$B$14,22&lt;Assumptions!$B$14+Assumptions!$B$95),Assumptions!$B$94,0)+IF(AND(22&gt;=Assumptions!$B$14,22&lt;Assumptions!$B$14+Assumptions!$B$98),Assumptions!$B$97,0)+IF(AND(22&gt;=Assumptions!$B$14,22&lt;Assumptions!$B$14+Assumptions!$B$101),Assumptions!$B$100,0)+IF(AND(22&gt;=Assumptions!$B$14,22&lt;Assumptions!$B$14+Assumptions!$B$104),Assumptions!$B$103,0)+IF(22=Assumptions!$B$14,Assumptions!$B$108,0)</f>
        <v>0</v>
      </c>
      <c r="X48" s="17" t="n">
        <f aca="false">IF(AND(23&gt;=Assumptions!$B$14,23&lt;Assumptions!$B$14+Assumptions!$B$92),Assumptions!$B$91,0)+IF(AND(23&gt;=Assumptions!$B$14,23&lt;Assumptions!$B$14+Assumptions!$B$95),Assumptions!$B$94,0)+IF(AND(23&gt;=Assumptions!$B$14,23&lt;Assumptions!$B$14+Assumptions!$B$98),Assumptions!$B$97,0)+IF(AND(23&gt;=Assumptions!$B$14,23&lt;Assumptions!$B$14+Assumptions!$B$101),Assumptions!$B$100,0)+IF(AND(23&gt;=Assumptions!$B$14,23&lt;Assumptions!$B$14+Assumptions!$B$104),Assumptions!$B$103,0)+IF(23=Assumptions!$B$14,Assumptions!$B$108,0)</f>
        <v>0</v>
      </c>
      <c r="Y48" s="17" t="n">
        <f aca="false">IF(AND(24&gt;=Assumptions!$B$14,24&lt;Assumptions!$B$14+Assumptions!$B$92),Assumptions!$B$91,0)+IF(AND(24&gt;=Assumptions!$B$14,24&lt;Assumptions!$B$14+Assumptions!$B$95),Assumptions!$B$94,0)+IF(AND(24&gt;=Assumptions!$B$14,24&lt;Assumptions!$B$14+Assumptions!$B$98),Assumptions!$B$97,0)+IF(AND(24&gt;=Assumptions!$B$14,24&lt;Assumptions!$B$14+Assumptions!$B$101),Assumptions!$B$100,0)+IF(AND(24&gt;=Assumptions!$B$14,24&lt;Assumptions!$B$14+Assumptions!$B$104),Assumptions!$B$103,0)+IF(24=Assumptions!$B$14,Assumptions!$B$108,0)</f>
        <v>0</v>
      </c>
      <c r="Z48" s="17" t="n">
        <f aca="false">SUM(B48:M48)</f>
        <v>15600</v>
      </c>
      <c r="AA48" s="17" t="n">
        <f aca="false">SUM(N48:Y48)</f>
        <v>0</v>
      </c>
      <c r="AB48" s="17" t="n">
        <f aca="false">SUM(B48:Y48)</f>
        <v>15600</v>
      </c>
    </row>
    <row r="49" customFormat="false" ht="15" hidden="false" customHeight="false" outlineLevel="0" collapsed="false">
      <c r="A49" s="20" t="s">
        <v>382</v>
      </c>
      <c r="B49" s="17" t="n">
        <f aca="false">IF(1&gt;=Assumptions!$B$14+Assumptions!$B$92,-PMT(Assumptions!$B$106/12,Assumptions!$B$107,Assumptions!$B$90*Assumptions!$B$105),0)+IF(1&gt;=Assumptions!$B$14+Assumptions!$B$95,-PMT(Assumptions!$B$106/12,Assumptions!$B$107,Assumptions!$B$93*Assumptions!$B$105),0)+IF(1&gt;=Assumptions!$B$14+Assumptions!$B$98,-PMT(Assumptions!$B$106/12,Assumptions!$B$107,Assumptions!$B$96*Assumptions!$B$105),0)+IF(1&gt;=Assumptions!$B$14+Assumptions!$B$101,-PMT(Assumptions!$B$106/12,Assumptions!$B$107,Assumptions!$B$99*Assumptions!$B$105),0)+IF(1&gt;=Assumptions!$B$14+Assumptions!$B$104,-PMT(Assumptions!$B$106/12,Assumptions!$B$107,Assumptions!$B$102*Assumptions!$B$105),0)</f>
        <v>838.637551144702</v>
      </c>
      <c r="C49" s="17" t="n">
        <f aca="false">IF(2&gt;=Assumptions!$B$14+Assumptions!$B$92,-PMT(Assumptions!$B$106/12,Assumptions!$B$107,Assumptions!$B$90*Assumptions!$B$105),0)+IF(2&gt;=Assumptions!$B$14+Assumptions!$B$95,-PMT(Assumptions!$B$106/12,Assumptions!$B$107,Assumptions!$B$93*Assumptions!$B$105),0)+IF(2&gt;=Assumptions!$B$14+Assumptions!$B$98,-PMT(Assumptions!$B$106/12,Assumptions!$B$107,Assumptions!$B$96*Assumptions!$B$105),0)+IF(2&gt;=Assumptions!$B$14+Assumptions!$B$101,-PMT(Assumptions!$B$106/12,Assumptions!$B$107,Assumptions!$B$99*Assumptions!$B$105),0)+IF(2&gt;=Assumptions!$B$14+Assumptions!$B$104,-PMT(Assumptions!$B$106/12,Assumptions!$B$107,Assumptions!$B$102*Assumptions!$B$105),0)</f>
        <v>838.637551144702</v>
      </c>
      <c r="D49" s="17" t="n">
        <f aca="false">IF(3&gt;=Assumptions!$B$14+Assumptions!$B$92,-PMT(Assumptions!$B$106/12,Assumptions!$B$107,Assumptions!$B$90*Assumptions!$B$105),0)+IF(3&gt;=Assumptions!$B$14+Assumptions!$B$95,-PMT(Assumptions!$B$106/12,Assumptions!$B$107,Assumptions!$B$93*Assumptions!$B$105),0)+IF(3&gt;=Assumptions!$B$14+Assumptions!$B$98,-PMT(Assumptions!$B$106/12,Assumptions!$B$107,Assumptions!$B$96*Assumptions!$B$105),0)+IF(3&gt;=Assumptions!$B$14+Assumptions!$B$101,-PMT(Assumptions!$B$106/12,Assumptions!$B$107,Assumptions!$B$99*Assumptions!$B$105),0)+IF(3&gt;=Assumptions!$B$14+Assumptions!$B$104,-PMT(Assumptions!$B$106/12,Assumptions!$B$107,Assumptions!$B$102*Assumptions!$B$105),0)</f>
        <v>838.637551144702</v>
      </c>
      <c r="E49" s="17" t="n">
        <f aca="false">IF(4&gt;=Assumptions!$B$14+Assumptions!$B$92,-PMT(Assumptions!$B$106/12,Assumptions!$B$107,Assumptions!$B$90*Assumptions!$B$105),0)+IF(4&gt;=Assumptions!$B$14+Assumptions!$B$95,-PMT(Assumptions!$B$106/12,Assumptions!$B$107,Assumptions!$B$93*Assumptions!$B$105),0)+IF(4&gt;=Assumptions!$B$14+Assumptions!$B$98,-PMT(Assumptions!$B$106/12,Assumptions!$B$107,Assumptions!$B$96*Assumptions!$B$105),0)+IF(4&gt;=Assumptions!$B$14+Assumptions!$B$101,-PMT(Assumptions!$B$106/12,Assumptions!$B$107,Assumptions!$B$99*Assumptions!$B$105),0)+IF(4&gt;=Assumptions!$B$14+Assumptions!$B$104,-PMT(Assumptions!$B$106/12,Assumptions!$B$107,Assumptions!$B$102*Assumptions!$B$105),0)</f>
        <v>2300.02575908002</v>
      </c>
      <c r="F49" s="17" t="n">
        <f aca="false">IF(5&gt;=Assumptions!$B$14+Assumptions!$B$92,-PMT(Assumptions!$B$106/12,Assumptions!$B$107,Assumptions!$B$90*Assumptions!$B$105),0)+IF(5&gt;=Assumptions!$B$14+Assumptions!$B$95,-PMT(Assumptions!$B$106/12,Assumptions!$B$107,Assumptions!$B$93*Assumptions!$B$105),0)+IF(5&gt;=Assumptions!$B$14+Assumptions!$B$98,-PMT(Assumptions!$B$106/12,Assumptions!$B$107,Assumptions!$B$96*Assumptions!$B$105),0)+IF(5&gt;=Assumptions!$B$14+Assumptions!$B$101,-PMT(Assumptions!$B$106/12,Assumptions!$B$107,Assumptions!$B$99*Assumptions!$B$105),0)+IF(5&gt;=Assumptions!$B$14+Assumptions!$B$104,-PMT(Assumptions!$B$106/12,Assumptions!$B$107,Assumptions!$B$102*Assumptions!$B$105),0)</f>
        <v>2300.02575908002</v>
      </c>
      <c r="G49" s="17" t="n">
        <f aca="false">IF(6&gt;=Assumptions!$B$14+Assumptions!$B$92,-PMT(Assumptions!$B$106/12,Assumptions!$B$107,Assumptions!$B$90*Assumptions!$B$105),0)+IF(6&gt;=Assumptions!$B$14+Assumptions!$B$95,-PMT(Assumptions!$B$106/12,Assumptions!$B$107,Assumptions!$B$93*Assumptions!$B$105),0)+IF(6&gt;=Assumptions!$B$14+Assumptions!$B$98,-PMT(Assumptions!$B$106/12,Assumptions!$B$107,Assumptions!$B$96*Assumptions!$B$105),0)+IF(6&gt;=Assumptions!$B$14+Assumptions!$B$101,-PMT(Assumptions!$B$106/12,Assumptions!$B$107,Assumptions!$B$99*Assumptions!$B$105),0)+IF(6&gt;=Assumptions!$B$14+Assumptions!$B$104,-PMT(Assumptions!$B$106/12,Assumptions!$B$107,Assumptions!$B$102*Assumptions!$B$105),0)</f>
        <v>2300.02575908002</v>
      </c>
      <c r="H49" s="17" t="n">
        <f aca="false">IF(7&gt;=Assumptions!$B$14+Assumptions!$B$92,-PMT(Assumptions!$B$106/12,Assumptions!$B$107,Assumptions!$B$90*Assumptions!$B$105),0)+IF(7&gt;=Assumptions!$B$14+Assumptions!$B$95,-PMT(Assumptions!$B$106/12,Assumptions!$B$107,Assumptions!$B$93*Assumptions!$B$105),0)+IF(7&gt;=Assumptions!$B$14+Assumptions!$B$98,-PMT(Assumptions!$B$106/12,Assumptions!$B$107,Assumptions!$B$96*Assumptions!$B$105),0)+IF(7&gt;=Assumptions!$B$14+Assumptions!$B$101,-PMT(Assumptions!$B$106/12,Assumptions!$B$107,Assumptions!$B$99*Assumptions!$B$105),0)+IF(7&gt;=Assumptions!$B$14+Assumptions!$B$104,-PMT(Assumptions!$B$106/12,Assumptions!$B$107,Assumptions!$B$102*Assumptions!$B$105),0)</f>
        <v>2300.02575908002</v>
      </c>
      <c r="I49" s="17" t="n">
        <f aca="false">IF(8&gt;=Assumptions!$B$14+Assumptions!$B$92,-PMT(Assumptions!$B$106/12,Assumptions!$B$107,Assumptions!$B$90*Assumptions!$B$105),0)+IF(8&gt;=Assumptions!$B$14+Assumptions!$B$95,-PMT(Assumptions!$B$106/12,Assumptions!$B$107,Assumptions!$B$93*Assumptions!$B$105),0)+IF(8&gt;=Assumptions!$B$14+Assumptions!$B$98,-PMT(Assumptions!$B$106/12,Assumptions!$B$107,Assumptions!$B$96*Assumptions!$B$105),0)+IF(8&gt;=Assumptions!$B$14+Assumptions!$B$101,-PMT(Assumptions!$B$106/12,Assumptions!$B$107,Assumptions!$B$99*Assumptions!$B$105),0)+IF(8&gt;=Assumptions!$B$14+Assumptions!$B$104,-PMT(Assumptions!$B$106/12,Assumptions!$B$107,Assumptions!$B$102*Assumptions!$B$105),0)</f>
        <v>2300.02575908002</v>
      </c>
      <c r="J49" s="17" t="n">
        <f aca="false">IF(9&gt;=Assumptions!$B$14+Assumptions!$B$92,-PMT(Assumptions!$B$106/12,Assumptions!$B$107,Assumptions!$B$90*Assumptions!$B$105),0)+IF(9&gt;=Assumptions!$B$14+Assumptions!$B$95,-PMT(Assumptions!$B$106/12,Assumptions!$B$107,Assumptions!$B$93*Assumptions!$B$105),0)+IF(9&gt;=Assumptions!$B$14+Assumptions!$B$98,-PMT(Assumptions!$B$106/12,Assumptions!$B$107,Assumptions!$B$96*Assumptions!$B$105),0)+IF(9&gt;=Assumptions!$B$14+Assumptions!$B$101,-PMT(Assumptions!$B$106/12,Assumptions!$B$107,Assumptions!$B$99*Assumptions!$B$105),0)+IF(9&gt;=Assumptions!$B$14+Assumptions!$B$104,-PMT(Assumptions!$B$106/12,Assumptions!$B$107,Assumptions!$B$102*Assumptions!$B$105),0)</f>
        <v>2300.02575908002</v>
      </c>
      <c r="K49" s="17" t="n">
        <f aca="false">IF(10&gt;=Assumptions!$B$14+Assumptions!$B$92,-PMT(Assumptions!$B$106/12,Assumptions!$B$107,Assumptions!$B$90*Assumptions!$B$105),0)+IF(10&gt;=Assumptions!$B$14+Assumptions!$B$95,-PMT(Assumptions!$B$106/12,Assumptions!$B$107,Assumptions!$B$93*Assumptions!$B$105),0)+IF(10&gt;=Assumptions!$B$14+Assumptions!$B$98,-PMT(Assumptions!$B$106/12,Assumptions!$B$107,Assumptions!$B$96*Assumptions!$B$105),0)+IF(10&gt;=Assumptions!$B$14+Assumptions!$B$101,-PMT(Assumptions!$B$106/12,Assumptions!$B$107,Assumptions!$B$99*Assumptions!$B$105),0)+IF(10&gt;=Assumptions!$B$14+Assumptions!$B$104,-PMT(Assumptions!$B$106/12,Assumptions!$B$107,Assumptions!$B$102*Assumptions!$B$105),0)</f>
        <v>2300.02575908002</v>
      </c>
      <c r="L49" s="17" t="n">
        <f aca="false">IF(11&gt;=Assumptions!$B$14+Assumptions!$B$92,-PMT(Assumptions!$B$106/12,Assumptions!$B$107,Assumptions!$B$90*Assumptions!$B$105),0)+IF(11&gt;=Assumptions!$B$14+Assumptions!$B$95,-PMT(Assumptions!$B$106/12,Assumptions!$B$107,Assumptions!$B$93*Assumptions!$B$105),0)+IF(11&gt;=Assumptions!$B$14+Assumptions!$B$98,-PMT(Assumptions!$B$106/12,Assumptions!$B$107,Assumptions!$B$96*Assumptions!$B$105),0)+IF(11&gt;=Assumptions!$B$14+Assumptions!$B$101,-PMT(Assumptions!$B$106/12,Assumptions!$B$107,Assumptions!$B$99*Assumptions!$B$105),0)+IF(11&gt;=Assumptions!$B$14+Assumptions!$B$104,-PMT(Assumptions!$B$106/12,Assumptions!$B$107,Assumptions!$B$102*Assumptions!$B$105),0)</f>
        <v>2300.02575908002</v>
      </c>
      <c r="M49" s="17" t="n">
        <f aca="false">IF(12&gt;=Assumptions!$B$14+Assumptions!$B$92,-PMT(Assumptions!$B$106/12,Assumptions!$B$107,Assumptions!$B$90*Assumptions!$B$105),0)+IF(12&gt;=Assumptions!$B$14+Assumptions!$B$95,-PMT(Assumptions!$B$106/12,Assumptions!$B$107,Assumptions!$B$93*Assumptions!$B$105),0)+IF(12&gt;=Assumptions!$B$14+Assumptions!$B$98,-PMT(Assumptions!$B$106/12,Assumptions!$B$107,Assumptions!$B$96*Assumptions!$B$105),0)+IF(12&gt;=Assumptions!$B$14+Assumptions!$B$101,-PMT(Assumptions!$B$106/12,Assumptions!$B$107,Assumptions!$B$99*Assumptions!$B$105),0)+IF(12&gt;=Assumptions!$B$14+Assumptions!$B$104,-PMT(Assumptions!$B$106/12,Assumptions!$B$107,Assumptions!$B$102*Assumptions!$B$105),0)</f>
        <v>2300.02575908002</v>
      </c>
      <c r="N49" s="17" t="n">
        <f aca="false">IF(13&gt;=Assumptions!$B$14+Assumptions!$B$92,-PMT(Assumptions!$B$106/12,Assumptions!$B$107,Assumptions!$B$90*Assumptions!$B$105),0)+IF(13&gt;=Assumptions!$B$14+Assumptions!$B$95,-PMT(Assumptions!$B$106/12,Assumptions!$B$107,Assumptions!$B$93*Assumptions!$B$105),0)+IF(13&gt;=Assumptions!$B$14+Assumptions!$B$98,-PMT(Assumptions!$B$106/12,Assumptions!$B$107,Assumptions!$B$96*Assumptions!$B$105),0)+IF(13&gt;=Assumptions!$B$14+Assumptions!$B$101,-PMT(Assumptions!$B$106/12,Assumptions!$B$107,Assumptions!$B$99*Assumptions!$B$105),0)+IF(13&gt;=Assumptions!$B$14+Assumptions!$B$104,-PMT(Assumptions!$B$106/12,Assumptions!$B$107,Assumptions!$B$102*Assumptions!$B$105),0)</f>
        <v>2300.02575908002</v>
      </c>
      <c r="O49" s="17" t="n">
        <f aca="false">IF(14&gt;=Assumptions!$B$14+Assumptions!$B$92,-PMT(Assumptions!$B$106/12,Assumptions!$B$107,Assumptions!$B$90*Assumptions!$B$105),0)+IF(14&gt;=Assumptions!$B$14+Assumptions!$B$95,-PMT(Assumptions!$B$106/12,Assumptions!$B$107,Assumptions!$B$93*Assumptions!$B$105),0)+IF(14&gt;=Assumptions!$B$14+Assumptions!$B$98,-PMT(Assumptions!$B$106/12,Assumptions!$B$107,Assumptions!$B$96*Assumptions!$B$105),0)+IF(14&gt;=Assumptions!$B$14+Assumptions!$B$101,-PMT(Assumptions!$B$106/12,Assumptions!$B$107,Assumptions!$B$99*Assumptions!$B$105),0)+IF(14&gt;=Assumptions!$B$14+Assumptions!$B$104,-PMT(Assumptions!$B$106/12,Assumptions!$B$107,Assumptions!$B$102*Assumptions!$B$105),0)</f>
        <v>2300.02575908002</v>
      </c>
      <c r="P49" s="17" t="n">
        <f aca="false">IF(15&gt;=Assumptions!$B$14+Assumptions!$B$92,-PMT(Assumptions!$B$106/12,Assumptions!$B$107,Assumptions!$B$90*Assumptions!$B$105),0)+IF(15&gt;=Assumptions!$B$14+Assumptions!$B$95,-PMT(Assumptions!$B$106/12,Assumptions!$B$107,Assumptions!$B$93*Assumptions!$B$105),0)+IF(15&gt;=Assumptions!$B$14+Assumptions!$B$98,-PMT(Assumptions!$B$106/12,Assumptions!$B$107,Assumptions!$B$96*Assumptions!$B$105),0)+IF(15&gt;=Assumptions!$B$14+Assumptions!$B$101,-PMT(Assumptions!$B$106/12,Assumptions!$B$107,Assumptions!$B$99*Assumptions!$B$105),0)+IF(15&gt;=Assumptions!$B$14+Assumptions!$B$104,-PMT(Assumptions!$B$106/12,Assumptions!$B$107,Assumptions!$B$102*Assumptions!$B$105),0)</f>
        <v>2300.02575908002</v>
      </c>
      <c r="Q49" s="17" t="n">
        <f aca="false">IF(16&gt;=Assumptions!$B$14+Assumptions!$B$92,-PMT(Assumptions!$B$106/12,Assumptions!$B$107,Assumptions!$B$90*Assumptions!$B$105),0)+IF(16&gt;=Assumptions!$B$14+Assumptions!$B$95,-PMT(Assumptions!$B$106/12,Assumptions!$B$107,Assumptions!$B$93*Assumptions!$B$105),0)+IF(16&gt;=Assumptions!$B$14+Assumptions!$B$98,-PMT(Assumptions!$B$106/12,Assumptions!$B$107,Assumptions!$B$96*Assumptions!$B$105),0)+IF(16&gt;=Assumptions!$B$14+Assumptions!$B$101,-PMT(Assumptions!$B$106/12,Assumptions!$B$107,Assumptions!$B$99*Assumptions!$B$105),0)+IF(16&gt;=Assumptions!$B$14+Assumptions!$B$104,-PMT(Assumptions!$B$106/12,Assumptions!$B$107,Assumptions!$B$102*Assumptions!$B$105),0)</f>
        <v>2300.02575908002</v>
      </c>
      <c r="R49" s="17" t="n">
        <f aca="false">IF(17&gt;=Assumptions!$B$14+Assumptions!$B$92,-PMT(Assumptions!$B$106/12,Assumptions!$B$107,Assumptions!$B$90*Assumptions!$B$105),0)+IF(17&gt;=Assumptions!$B$14+Assumptions!$B$95,-PMT(Assumptions!$B$106/12,Assumptions!$B$107,Assumptions!$B$93*Assumptions!$B$105),0)+IF(17&gt;=Assumptions!$B$14+Assumptions!$B$98,-PMT(Assumptions!$B$106/12,Assumptions!$B$107,Assumptions!$B$96*Assumptions!$B$105),0)+IF(17&gt;=Assumptions!$B$14+Assumptions!$B$101,-PMT(Assumptions!$B$106/12,Assumptions!$B$107,Assumptions!$B$99*Assumptions!$B$105),0)+IF(17&gt;=Assumptions!$B$14+Assumptions!$B$104,-PMT(Assumptions!$B$106/12,Assumptions!$B$107,Assumptions!$B$102*Assumptions!$B$105),0)</f>
        <v>2300.02575908002</v>
      </c>
      <c r="S49" s="17" t="n">
        <f aca="false">IF(18&gt;=Assumptions!$B$14+Assumptions!$B$92,-PMT(Assumptions!$B$106/12,Assumptions!$B$107,Assumptions!$B$90*Assumptions!$B$105),0)+IF(18&gt;=Assumptions!$B$14+Assumptions!$B$95,-PMT(Assumptions!$B$106/12,Assumptions!$B$107,Assumptions!$B$93*Assumptions!$B$105),0)+IF(18&gt;=Assumptions!$B$14+Assumptions!$B$98,-PMT(Assumptions!$B$106/12,Assumptions!$B$107,Assumptions!$B$96*Assumptions!$B$105),0)+IF(18&gt;=Assumptions!$B$14+Assumptions!$B$101,-PMT(Assumptions!$B$106/12,Assumptions!$B$107,Assumptions!$B$99*Assumptions!$B$105),0)+IF(18&gt;=Assumptions!$B$14+Assumptions!$B$104,-PMT(Assumptions!$B$106/12,Assumptions!$B$107,Assumptions!$B$102*Assumptions!$B$105),0)</f>
        <v>2300.02575908002</v>
      </c>
      <c r="T49" s="17" t="n">
        <f aca="false">IF(19&gt;=Assumptions!$B$14+Assumptions!$B$92,-PMT(Assumptions!$B$106/12,Assumptions!$B$107,Assumptions!$B$90*Assumptions!$B$105),0)+IF(19&gt;=Assumptions!$B$14+Assumptions!$B$95,-PMT(Assumptions!$B$106/12,Assumptions!$B$107,Assumptions!$B$93*Assumptions!$B$105),0)+IF(19&gt;=Assumptions!$B$14+Assumptions!$B$98,-PMT(Assumptions!$B$106/12,Assumptions!$B$107,Assumptions!$B$96*Assumptions!$B$105),0)+IF(19&gt;=Assumptions!$B$14+Assumptions!$B$101,-PMT(Assumptions!$B$106/12,Assumptions!$B$107,Assumptions!$B$99*Assumptions!$B$105),0)+IF(19&gt;=Assumptions!$B$14+Assumptions!$B$104,-PMT(Assumptions!$B$106/12,Assumptions!$B$107,Assumptions!$B$102*Assumptions!$B$105),0)</f>
        <v>2300.02575908002</v>
      </c>
      <c r="U49" s="17" t="n">
        <f aca="false">IF(20&gt;=Assumptions!$B$14+Assumptions!$B$92,-PMT(Assumptions!$B$106/12,Assumptions!$B$107,Assumptions!$B$90*Assumptions!$B$105),0)+IF(20&gt;=Assumptions!$B$14+Assumptions!$B$95,-PMT(Assumptions!$B$106/12,Assumptions!$B$107,Assumptions!$B$93*Assumptions!$B$105),0)+IF(20&gt;=Assumptions!$B$14+Assumptions!$B$98,-PMT(Assumptions!$B$106/12,Assumptions!$B$107,Assumptions!$B$96*Assumptions!$B$105),0)+IF(20&gt;=Assumptions!$B$14+Assumptions!$B$101,-PMT(Assumptions!$B$106/12,Assumptions!$B$107,Assumptions!$B$99*Assumptions!$B$105),0)+IF(20&gt;=Assumptions!$B$14+Assumptions!$B$104,-PMT(Assumptions!$B$106/12,Assumptions!$B$107,Assumptions!$B$102*Assumptions!$B$105),0)</f>
        <v>2300.02575908002</v>
      </c>
      <c r="V49" s="17" t="n">
        <f aca="false">IF(21&gt;=Assumptions!$B$14+Assumptions!$B$92,-PMT(Assumptions!$B$106/12,Assumptions!$B$107,Assumptions!$B$90*Assumptions!$B$105),0)+IF(21&gt;=Assumptions!$B$14+Assumptions!$B$95,-PMT(Assumptions!$B$106/12,Assumptions!$B$107,Assumptions!$B$93*Assumptions!$B$105),0)+IF(21&gt;=Assumptions!$B$14+Assumptions!$B$98,-PMT(Assumptions!$B$106/12,Assumptions!$B$107,Assumptions!$B$96*Assumptions!$B$105),0)+IF(21&gt;=Assumptions!$B$14+Assumptions!$B$101,-PMT(Assumptions!$B$106/12,Assumptions!$B$107,Assumptions!$B$99*Assumptions!$B$105),0)+IF(21&gt;=Assumptions!$B$14+Assumptions!$B$104,-PMT(Assumptions!$B$106/12,Assumptions!$B$107,Assumptions!$B$102*Assumptions!$B$105),0)</f>
        <v>2300.02575908002</v>
      </c>
      <c r="W49" s="17" t="n">
        <f aca="false">IF(22&gt;=Assumptions!$B$14+Assumptions!$B$92,-PMT(Assumptions!$B$106/12,Assumptions!$B$107,Assumptions!$B$90*Assumptions!$B$105),0)+IF(22&gt;=Assumptions!$B$14+Assumptions!$B$95,-PMT(Assumptions!$B$106/12,Assumptions!$B$107,Assumptions!$B$93*Assumptions!$B$105),0)+IF(22&gt;=Assumptions!$B$14+Assumptions!$B$98,-PMT(Assumptions!$B$106/12,Assumptions!$B$107,Assumptions!$B$96*Assumptions!$B$105),0)+IF(22&gt;=Assumptions!$B$14+Assumptions!$B$101,-PMT(Assumptions!$B$106/12,Assumptions!$B$107,Assumptions!$B$99*Assumptions!$B$105),0)+IF(22&gt;=Assumptions!$B$14+Assumptions!$B$104,-PMT(Assumptions!$B$106/12,Assumptions!$B$107,Assumptions!$B$102*Assumptions!$B$105),0)</f>
        <v>2300.02575908002</v>
      </c>
      <c r="X49" s="17" t="n">
        <f aca="false">IF(23&gt;=Assumptions!$B$14+Assumptions!$B$92,-PMT(Assumptions!$B$106/12,Assumptions!$B$107,Assumptions!$B$90*Assumptions!$B$105),0)+IF(23&gt;=Assumptions!$B$14+Assumptions!$B$95,-PMT(Assumptions!$B$106/12,Assumptions!$B$107,Assumptions!$B$93*Assumptions!$B$105),0)+IF(23&gt;=Assumptions!$B$14+Assumptions!$B$98,-PMT(Assumptions!$B$106/12,Assumptions!$B$107,Assumptions!$B$96*Assumptions!$B$105),0)+IF(23&gt;=Assumptions!$B$14+Assumptions!$B$101,-PMT(Assumptions!$B$106/12,Assumptions!$B$107,Assumptions!$B$99*Assumptions!$B$105),0)+IF(23&gt;=Assumptions!$B$14+Assumptions!$B$104,-PMT(Assumptions!$B$106/12,Assumptions!$B$107,Assumptions!$B$102*Assumptions!$B$105),0)</f>
        <v>2300.02575908002</v>
      </c>
      <c r="Y49" s="17" t="n">
        <f aca="false">IF(24&gt;=Assumptions!$B$14+Assumptions!$B$92,-PMT(Assumptions!$B$106/12,Assumptions!$B$107,Assumptions!$B$90*Assumptions!$B$105),0)+IF(24&gt;=Assumptions!$B$14+Assumptions!$B$95,-PMT(Assumptions!$B$106/12,Assumptions!$B$107,Assumptions!$B$93*Assumptions!$B$105),0)+IF(24&gt;=Assumptions!$B$14+Assumptions!$B$98,-PMT(Assumptions!$B$106/12,Assumptions!$B$107,Assumptions!$B$96*Assumptions!$B$105),0)+IF(24&gt;=Assumptions!$B$14+Assumptions!$B$101,-PMT(Assumptions!$B$106/12,Assumptions!$B$107,Assumptions!$B$99*Assumptions!$B$105),0)+IF(24&gt;=Assumptions!$B$14+Assumptions!$B$104,-PMT(Assumptions!$B$106/12,Assumptions!$B$107,Assumptions!$B$102*Assumptions!$B$105),0)</f>
        <v>2300.02575908002</v>
      </c>
      <c r="Z49" s="17" t="n">
        <f aca="false">SUM(B49:M49)</f>
        <v>23216.1444851543</v>
      </c>
      <c r="AA49" s="17" t="n">
        <f aca="false">SUM(N49:Y49)</f>
        <v>27600.3091089603</v>
      </c>
      <c r="AB49" s="17" t="n">
        <f aca="false">SUM(B49:Y49)</f>
        <v>50816.4535941146</v>
      </c>
    </row>
    <row r="50" customFormat="false" ht="15" hidden="false" customHeight="false" outlineLevel="0" collapsed="false">
      <c r="A50" s="18" t="s">
        <v>383</v>
      </c>
      <c r="B50" s="25" t="n">
        <f aca="false">SUM(B37:B49)</f>
        <v>29303.6375511447</v>
      </c>
      <c r="C50" s="25" t="n">
        <f aca="false">SUM(C37:C49)</f>
        <v>25763.6375511447</v>
      </c>
      <c r="D50" s="25" t="n">
        <f aca="false">SUM(D37:D49)</f>
        <v>25763.6375511447</v>
      </c>
      <c r="E50" s="25" t="n">
        <f aca="false">SUM(E37:E49)</f>
        <v>23525.02575908</v>
      </c>
      <c r="F50" s="25" t="n">
        <f aca="false">SUM(F37:F49)</f>
        <v>23525.02575908</v>
      </c>
      <c r="G50" s="25" t="n">
        <f aca="false">SUM(G37:G49)</f>
        <v>23525.02575908</v>
      </c>
      <c r="H50" s="25" t="n">
        <f aca="false">SUM(H37:H49)</f>
        <v>23525.02575908</v>
      </c>
      <c r="I50" s="25" t="n">
        <f aca="false">SUM(I37:I49)</f>
        <v>23525.02575908</v>
      </c>
      <c r="J50" s="25" t="n">
        <f aca="false">SUM(J37:J49)</f>
        <v>23525.02575908</v>
      </c>
      <c r="K50" s="25" t="n">
        <f aca="false">SUM(K37:K49)</f>
        <v>23525.02575908</v>
      </c>
      <c r="L50" s="25" t="n">
        <f aca="false">SUM(L37:L49)</f>
        <v>23525.02575908</v>
      </c>
      <c r="M50" s="25" t="n">
        <f aca="false">SUM(M37:M49)</f>
        <v>23525.02575908</v>
      </c>
      <c r="N50" s="25" t="n">
        <f aca="false">SUM(N37:N49)</f>
        <v>23525.02575908</v>
      </c>
      <c r="O50" s="25" t="n">
        <f aca="false">SUM(O37:O49)</f>
        <v>23525.02575908</v>
      </c>
      <c r="P50" s="25" t="n">
        <f aca="false">SUM(P37:P49)</f>
        <v>23525.02575908</v>
      </c>
      <c r="Q50" s="25" t="n">
        <f aca="false">SUM(Q37:Q49)</f>
        <v>23525.02575908</v>
      </c>
      <c r="R50" s="25" t="n">
        <f aca="false">SUM(R37:R49)</f>
        <v>23525.02575908</v>
      </c>
      <c r="S50" s="25" t="n">
        <f aca="false">SUM(S37:S49)</f>
        <v>23525.02575908</v>
      </c>
      <c r="T50" s="25" t="n">
        <f aca="false">SUM(T37:T49)</f>
        <v>23525.02575908</v>
      </c>
      <c r="U50" s="25" t="n">
        <f aca="false">SUM(U37:U49)</f>
        <v>23525.02575908</v>
      </c>
      <c r="V50" s="25" t="n">
        <f aca="false">SUM(V37:V49)</f>
        <v>23525.02575908</v>
      </c>
      <c r="W50" s="25" t="n">
        <f aca="false">SUM(W37:W49)</f>
        <v>23525.02575908</v>
      </c>
      <c r="X50" s="25" t="n">
        <f aca="false">SUM(X37:X49)</f>
        <v>23525.02575908</v>
      </c>
      <c r="Y50" s="25" t="n">
        <f aca="false">SUM(Y37:Y49)</f>
        <v>23525.02575908</v>
      </c>
      <c r="Z50" s="24" t="n">
        <f aca="false">SUM(B50:M50)</f>
        <v>292556.144485154</v>
      </c>
      <c r="AA50" s="24" t="n">
        <f aca="false">SUM(N50:Y50)</f>
        <v>282300.30910896</v>
      </c>
      <c r="AB50" s="24" t="n">
        <f aca="false">SUM(B50:Y50)</f>
        <v>574856.453594115</v>
      </c>
    </row>
    <row r="51" customFormat="false" ht="15" hidden="false" customHeight="false" outlineLevel="0" collapsed="false">
      <c r="A51" s="18" t="s">
        <v>384</v>
      </c>
      <c r="B51" s="24" t="n">
        <f aca="false">B34-B50</f>
        <v>-12022.166025721</v>
      </c>
      <c r="C51" s="24" t="n">
        <f aca="false">C34-C50</f>
        <v>6834.8521560972</v>
      </c>
      <c r="D51" s="24" t="n">
        <f aca="false">D34-D50</f>
        <v>7652.87587064966</v>
      </c>
      <c r="E51" s="24" t="n">
        <f aca="false">E34-E50</f>
        <v>10751.5940924635</v>
      </c>
      <c r="F51" s="24" t="n">
        <f aca="false">F34-F50</f>
        <v>11656.3548583722</v>
      </c>
      <c r="G51" s="24" t="n">
        <f aca="false">G34-G50</f>
        <v>12608.4955676077</v>
      </c>
      <c r="H51" s="24" t="n">
        <f aca="false">H34-H50</f>
        <v>13610.9050547869</v>
      </c>
      <c r="I51" s="24" t="n">
        <f aca="false">I34-I50</f>
        <v>14666.645177684</v>
      </c>
      <c r="J51" s="24" t="n">
        <f aca="false">J34-J50</f>
        <v>15778.9612006655</v>
      </c>
      <c r="K51" s="24" t="n">
        <f aca="false">K34-K50</f>
        <v>16951.2928011184</v>
      </c>
      <c r="L51" s="24" t="n">
        <f aca="false">L34-L50</f>
        <v>18187.2857362502</v>
      </c>
      <c r="M51" s="24" t="n">
        <f aca="false">M34-M50</f>
        <v>19490.8042098841</v>
      </c>
      <c r="N51" s="24" t="n">
        <f aca="false">N34-N50</f>
        <v>20865.9439812475</v>
      </c>
      <c r="O51" s="24" t="n">
        <f aca="false">O34-O50</f>
        <v>22193.9537336571</v>
      </c>
      <c r="P51" s="24" t="n">
        <f aca="false">P34-P50</f>
        <v>22304.5987370389</v>
      </c>
      <c r="Q51" s="24" t="n">
        <f aca="false">Q34-Q50</f>
        <v>22414.5061070648</v>
      </c>
      <c r="R51" s="24" t="n">
        <f aca="false">R34-R50</f>
        <v>22523.6807612905</v>
      </c>
      <c r="S51" s="24" t="n">
        <f aca="false">S34-S50</f>
        <v>22632.127584488</v>
      </c>
      <c r="T51" s="24" t="n">
        <f aca="false">T34-T50</f>
        <v>22739.8514288642</v>
      </c>
      <c r="U51" s="24" t="n">
        <f aca="false">U34-U50</f>
        <v>22846.8571142779</v>
      </c>
      <c r="V51" s="24" t="n">
        <f aca="false">V34-V50</f>
        <v>22953.1494284555</v>
      </c>
      <c r="W51" s="24" t="n">
        <f aca="false">W34-W50</f>
        <v>23058.7331272053</v>
      </c>
      <c r="X51" s="24" t="n">
        <f aca="false">X34-X50</f>
        <v>23163.6129346301</v>
      </c>
      <c r="Y51" s="24" t="n">
        <f aca="false">Y34-Y50</f>
        <v>23267.7935433386</v>
      </c>
      <c r="Z51" s="24" t="n">
        <f aca="false">SUM(B51:M51)</f>
        <v>136167.900699858</v>
      </c>
      <c r="AA51" s="24" t="n">
        <f aca="false">SUM(N51:Y51)</f>
        <v>270964.808481558</v>
      </c>
      <c r="AB51" s="24" t="n">
        <f aca="false">SUM(B51:Y51)</f>
        <v>407132.709181417</v>
      </c>
    </row>
    <row r="52" customFormat="false" ht="15" hidden="false" customHeight="false" outlineLevel="0" collapsed="false">
      <c r="A52" s="20" t="s">
        <v>385</v>
      </c>
      <c r="B52" s="23" t="n">
        <f aca="false">IF(B27=0,0,B51/B27)</f>
        <v>-0.213303199818827</v>
      </c>
      <c r="C52" s="23" t="n">
        <f aca="false">IF(C27=0,0,C51/C27)</f>
        <v>0.0905180873945153</v>
      </c>
      <c r="D52" s="23" t="n">
        <f aca="false">IF(D27=0,0,D51/D27)</f>
        <v>0.0999747468385886</v>
      </c>
      <c r="E52" s="23" t="n">
        <f aca="false">IF(E27=0,0,E51/E27)</f>
        <v>0.138478834162856</v>
      </c>
      <c r="F52" s="23" t="n">
        <f aca="false">IF(F27=0,0,F51/F27)</f>
        <v>0.147943555119266</v>
      </c>
      <c r="G52" s="23" t="n">
        <f aca="false">IF(G27=0,0,G51/G27)</f>
        <v>0.15761209094128</v>
      </c>
      <c r="H52" s="23" t="n">
        <f aca="false">IF(H27=0,0,H51/H27)</f>
        <v>0.167482269982259</v>
      </c>
      <c r="I52" s="23" t="n">
        <f aca="false">IF(I27=0,0,I51/I27)</f>
        <v>0.177551044268449</v>
      </c>
      <c r="J52" s="23" t="n">
        <f aca="false">IF(J27=0,0,J51/J27)</f>
        <v>0.187814455164971</v>
      </c>
      <c r="K52" s="23" t="n">
        <f aca="false">IF(K27=0,0,K51/K27)</f>
        <v>0.198267604502223</v>
      </c>
      <c r="L52" s="23" t="n">
        <f aca="false">IF(L27=0,0,L51/L27)</f>
        <v>0.208904631978331</v>
      </c>
      <c r="M52" s="23" t="n">
        <f aca="false">IF(M27=0,0,M51/M27)</f>
        <v>0.219718699623972</v>
      </c>
      <c r="N52" s="23" t="n">
        <f aca="false">IF(N27=0,0,N51/N27)</f>
        <v>0.230701984066537</v>
      </c>
      <c r="O52" s="23" t="n">
        <f aca="false">IF(O27=0,0,O51/O27)</f>
        <v>0.240913524865858</v>
      </c>
      <c r="P52" s="23" t="n">
        <f aca="false">IF(P27=0,0,P51/P27)</f>
        <v>0.241710735340747</v>
      </c>
      <c r="Q52" s="23" t="n">
        <f aca="false">IF(Q27=0,0,Q51/Q27)</f>
        <v>0.242500002575204</v>
      </c>
      <c r="R52" s="23" t="n">
        <f aca="false">IF(R27=0,0,R51/R27)</f>
        <v>0.243281427303053</v>
      </c>
      <c r="S52" s="23" t="n">
        <f aca="false">IF(S27=0,0,S51/S27)</f>
        <v>0.244055108613588</v>
      </c>
      <c r="T52" s="23" t="n">
        <f aca="false">IF(T27=0,0,T51/T27)</f>
        <v>0.244821143985019</v>
      </c>
      <c r="U52" s="23" t="n">
        <f aca="false">IF(U27=0,0,U51/U27)</f>
        <v>0.245579629317113</v>
      </c>
      <c r="V52" s="23" t="n">
        <f aca="false">IF(V27=0,0,V51/V27)</f>
        <v>0.246330658963045</v>
      </c>
      <c r="W52" s="23" t="n">
        <f aca="false">IF(W27=0,0,W51/W27)</f>
        <v>0.24707432576047</v>
      </c>
      <c r="X52" s="23" t="n">
        <f aca="false">IF(X27=0,0,X51/X27)</f>
        <v>0.247810721061856</v>
      </c>
      <c r="Y52" s="23" t="n">
        <f aca="false">IF(Y27=0,0,Y51/Y27)</f>
        <v>0.248539934764086</v>
      </c>
      <c r="Z52" s="3"/>
      <c r="AA52" s="3"/>
      <c r="AB52" s="3"/>
    </row>
    <row r="53" customFormat="false" ht="15" hidden="false" customHeight="false" outlineLevel="0" collapsed="false">
      <c r="A53" s="5" t="s">
        <v>386</v>
      </c>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customFormat="false" ht="15" hidden="false" customHeight="false" outlineLevel="0" collapsed="false">
      <c r="A54" s="20" t="s">
        <v>387</v>
      </c>
      <c r="B54" s="17" t="n">
        <f aca="false">B23*Assumptions!$B$59+B23*(1-Assumptions!$B$59)*Assumptions!$B$60+0+B26</f>
        <v>52416.5338983051</v>
      </c>
      <c r="C54" s="17" t="n">
        <f aca="false">C23*Assumptions!$B$59+C23*(1-Assumptions!$B$59)*Assumptions!$B$60+B23*(1-Assumptions!$B$59)*(1-Assumptions!$B$60)+C26</f>
        <v>74167.8980431433</v>
      </c>
      <c r="D54" s="17" t="n">
        <f aca="false">D23*Assumptions!$B$59+D23*(1-Assumptions!$B$59)*Assumptions!$B$60+C23*(1-Assumptions!$B$59)*(1-Assumptions!$B$60)+D26</f>
        <v>76487.3197191002</v>
      </c>
      <c r="E54" s="17" t="n">
        <f aca="false">E23*Assumptions!$B$59+E23*(1-Assumptions!$B$59)*Assumptions!$B$60+D23*(1-Assumptions!$B$59)*(1-Assumptions!$B$60)+E26</f>
        <v>77576.2874267847</v>
      </c>
      <c r="F54" s="17" t="n">
        <f aca="false">F23*Assumptions!$B$59+F23*(1-Assumptions!$B$59)*Assumptions!$B$60+E23*(1-Assumptions!$B$59)*(1-Assumptions!$B$60)+F26</f>
        <v>78720.9224686806</v>
      </c>
      <c r="G54" s="17" t="n">
        <f aca="false">G23*Assumptions!$B$59+G23*(1-Assumptions!$B$59)*Assumptions!$B$60+F23*(1-Assumptions!$B$59)*(1-Assumptions!$B$60)+G26</f>
        <v>79924.6293563621</v>
      </c>
      <c r="H54" s="17" t="n">
        <f aca="false">H23*Assumptions!$B$59+H23*(1-Assumptions!$B$59)*Assumptions!$B$60+G23*(1-Assumptions!$B$59)*(1-Assumptions!$B$60)+H26</f>
        <v>81191.016442288</v>
      </c>
      <c r="I54" s="17" t="n">
        <f aca="false">I23*Assumptions!$B$59+I23*(1-Assumptions!$B$59)*Assumptions!$B$60+H23*(1-Assumptions!$B$59)*(1-Assumptions!$B$60)+I26</f>
        <v>82523.9081531195</v>
      </c>
      <c r="J54" s="17" t="n">
        <f aca="false">J23*Assumptions!$B$59+J23*(1-Assumptions!$B$59)*Assumptions!$B$60+I23*(1-Assumptions!$B$59)*(1-Assumptions!$B$60)+J26</f>
        <v>83927.3579570196</v>
      </c>
      <c r="K54" s="17" t="n">
        <f aca="false">K23*Assumptions!$B$59+K23*(1-Assumptions!$B$59)*Assumptions!$B$60+J23*(1-Assumptions!$B$59)*(1-Assumptions!$B$60)+K26</f>
        <v>85405.6621089694</v>
      </c>
      <c r="L54" s="17" t="n">
        <f aca="false">L23*Assumptions!$B$59+L23*(1-Assumptions!$B$59)*Assumptions!$B$60+K23*(1-Assumptions!$B$59)*(1-Assumptions!$B$60)+L26</f>
        <v>86963.3742207865</v>
      </c>
      <c r="M54" s="17" t="n">
        <f aca="false">M23*Assumptions!$B$59+M23*(1-Assumptions!$B$59)*Assumptions!$B$60+L23*(1-Assumptions!$B$59)*(1-Assumptions!$B$60)+M26</f>
        <v>88605.3207053247</v>
      </c>
      <c r="N54" s="17" t="n">
        <f aca="false">N23*Assumptions!$B$59+N23*(1-Assumptions!$B$59)*Assumptions!$B$60+M23*(1-Assumptions!$B$59)*(1-Assumptions!$B$60)+N26</f>
        <v>90336.617147307</v>
      </c>
      <c r="O54" s="17" t="n">
        <f aca="false">O23*Assumptions!$B$59+O23*(1-Assumptions!$B$59)*Assumptions!$B$60+N23*(1-Assumptions!$B$59)*(1-Assumptions!$B$60)+O26</f>
        <v>92019.5434605776</v>
      </c>
      <c r="P54" s="17" t="n">
        <f aca="false">P23*Assumptions!$B$59+P23*(1-Assumptions!$B$59)*Assumptions!$B$60+O23*(1-Assumptions!$B$59)*(1-Assumptions!$B$60)+P26</f>
        <v>92278.0641314727</v>
      </c>
      <c r="Q54" s="17" t="n">
        <f aca="false">Q23*Assumptions!$B$59+Q23*(1-Assumptions!$B$59)*Assumptions!$B$60+P23*(1-Assumptions!$B$59)*(1-Assumptions!$B$60)+Q26</f>
        <v>92430.9520372629</v>
      </c>
      <c r="R54" s="17" t="n">
        <f aca="false">R23*Assumptions!$B$59+R23*(1-Assumptions!$B$59)*Assumptions!$B$60+Q23*(1-Assumptions!$B$59)*(1-Assumptions!$B$60)+R26</f>
        <v>92582.8206903478</v>
      </c>
      <c r="S54" s="17" t="n">
        <f aca="false">S23*Assumptions!$B$59+S23*(1-Assumptions!$B$59)*Assumptions!$B$60+R23*(1-Assumptions!$B$59)*(1-Assumptions!$B$60)+S26</f>
        <v>92733.6768857455</v>
      </c>
      <c r="T54" s="17" t="n">
        <f aca="false">T23*Assumptions!$B$59+T23*(1-Assumptions!$B$59)*Assumptions!$B$60+S23*(1-Assumptions!$B$59)*(1-Assumptions!$B$60)+T26</f>
        <v>92883.5273731738</v>
      </c>
      <c r="U54" s="17" t="n">
        <f aca="false">U23*Assumptions!$B$59+U23*(1-Assumptions!$B$59)*Assumptions!$B$60+T23*(1-Assumptions!$B$59)*(1-Assumptions!$B$60)+U26</f>
        <v>93032.3788573527</v>
      </c>
      <c r="V54" s="17" t="n">
        <f aca="false">V23*Assumptions!$B$59+V23*(1-Assumptions!$B$59)*Assumptions!$B$60+U23*(1-Assumptions!$B$59)*(1-Assumptions!$B$60)+V26</f>
        <v>93180.2379983036</v>
      </c>
      <c r="W54" s="17" t="n">
        <f aca="false">W23*Assumptions!$B$59+W23*(1-Assumptions!$B$59)*Assumptions!$B$60+V23*(1-Assumptions!$B$59)*(1-Assumptions!$B$60)+W26</f>
        <v>93327.1114116483</v>
      </c>
      <c r="X54" s="17" t="n">
        <f aca="false">X23*Assumptions!$B$59+X23*(1-Assumptions!$B$59)*Assumptions!$B$60+W23*(1-Assumptions!$B$59)*(1-Assumptions!$B$60)+X26</f>
        <v>93473.005668904</v>
      </c>
      <c r="Y54" s="17" t="n">
        <f aca="false">Y23*Assumptions!$B$59+Y23*(1-Assumptions!$B$59)*Assumptions!$B$60+X23*(1-Assumptions!$B$59)*(1-Assumptions!$B$60)+Y26</f>
        <v>93617.9272977779</v>
      </c>
      <c r="Z54" s="17" t="n">
        <f aca="false">SUM(B54:M54)</f>
        <v>947910.230499884</v>
      </c>
      <c r="AA54" s="17" t="n">
        <f aca="false">SUM(N54:Y54)</f>
        <v>1111895.86295987</v>
      </c>
      <c r="AB54" s="17" t="n">
        <f aca="false">SUM(B54:Y54)</f>
        <v>2059806.09345976</v>
      </c>
    </row>
    <row r="55" customFormat="false" ht="15" hidden="false" customHeight="false" outlineLevel="0" collapsed="false">
      <c r="A55" s="20" t="s">
        <v>388</v>
      </c>
      <c r="B55" s="17" t="n">
        <f aca="false">B33+B50</f>
        <v>68384.0304325006</v>
      </c>
      <c r="C55" s="17" t="n">
        <f aca="false">C33+C50</f>
        <v>68673.2849779552</v>
      </c>
      <c r="D55" s="17" t="n">
        <f aca="false">D33+D50</f>
        <v>68895.2136484506</v>
      </c>
      <c r="E55" s="17" t="n">
        <f aca="false">E33+E50</f>
        <v>66889.1093223213</v>
      </c>
      <c r="F55" s="17" t="n">
        <f aca="false">F33+F50</f>
        <v>67132.8485575884</v>
      </c>
      <c r="G55" s="17" t="n">
        <f aca="false">G33+G50</f>
        <v>67388.5115928713</v>
      </c>
      <c r="H55" s="17" t="n">
        <f aca="false">H33+H50</f>
        <v>67656.8318598649</v>
      </c>
      <c r="I55" s="17" t="n">
        <f aca="false">I33+I50</f>
        <v>67938.5866761412</v>
      </c>
      <c r="J55" s="17" t="n">
        <f aca="false">J33+J50</f>
        <v>68234.5998791021</v>
      </c>
      <c r="K55" s="17" t="n">
        <f aca="false">K33+K50</f>
        <v>68545.7446179639</v>
      </c>
      <c r="L55" s="17" t="n">
        <f aca="false">L33+L50</f>
        <v>68872.946313256</v>
      </c>
      <c r="M55" s="17" t="n">
        <f aca="false">M33+M50</f>
        <v>69217.1857938834</v>
      </c>
      <c r="N55" s="17" t="n">
        <f aca="false">N33+N50</f>
        <v>69579.5026224088</v>
      </c>
      <c r="O55" s="17" t="n">
        <f aca="false">O33+O50</f>
        <v>69930.1963986979</v>
      </c>
      <c r="P55" s="17" t="n">
        <f aca="false">P33+P50</f>
        <v>69973.4653944338</v>
      </c>
      <c r="Q55" s="17" t="n">
        <f aca="false">Q33+Q50</f>
        <v>70016.4459301981</v>
      </c>
      <c r="R55" s="17" t="n">
        <f aca="false">R33+R50</f>
        <v>70059.1399290573</v>
      </c>
      <c r="S55" s="17" t="n">
        <f aca="false">S33+S50</f>
        <v>70101.5493012575</v>
      </c>
      <c r="T55" s="17" t="n">
        <f aca="false">T33+T50</f>
        <v>70143.6759443096</v>
      </c>
      <c r="U55" s="17" t="n">
        <f aca="false">U33+U50</f>
        <v>70185.5217430748</v>
      </c>
      <c r="V55" s="17" t="n">
        <f aca="false">V33+V50</f>
        <v>70227.0885698481</v>
      </c>
      <c r="W55" s="17" t="n">
        <f aca="false">W33+W50</f>
        <v>70268.378284443</v>
      </c>
      <c r="X55" s="17" t="n">
        <f aca="false">X33+X50</f>
        <v>70309.3927342739</v>
      </c>
      <c r="Y55" s="17" t="n">
        <f aca="false">Y33+Y50</f>
        <v>70350.1337544393</v>
      </c>
      <c r="Z55" s="17" t="n">
        <f aca="false">SUM(B55:M55)</f>
        <v>817828.893671899</v>
      </c>
      <c r="AA55" s="17" t="n">
        <f aca="false">SUM(N55:Y55)</f>
        <v>841144.490606442</v>
      </c>
      <c r="AB55" s="17" t="n">
        <f aca="false">SUM(B55:Y55)</f>
        <v>1658973.38427834</v>
      </c>
    </row>
    <row r="56" customFormat="false" ht="15" hidden="false" customHeight="false" outlineLevel="0" collapsed="false">
      <c r="A56" s="20" t="s">
        <v>389</v>
      </c>
      <c r="B56" s="17" t="n">
        <f aca="false">IF(1=Assumptions!$B$14+Assumptions!$B$92,Assumptions!$B$90*(1-Assumptions!$B$105),0)+IF(1=Assumptions!$B$14+Assumptions!$B$95,Assumptions!$B$93*(1-Assumptions!$B$105),0)+IF(1=Assumptions!$B$14+Assumptions!$B$98,Assumptions!$B$96*(1-Assumptions!$B$105),0)+IF(1=Assumptions!$B$14+Assumptions!$B$101,Assumptions!$B$99*(1-Assumptions!$B$105),0)+IF(1=Assumptions!$B$14+Assumptions!$B$104,Assumptions!$B$102*(1-Assumptions!$B$105),0)</f>
        <v>10100</v>
      </c>
      <c r="C56" s="17" t="n">
        <f aca="false">IF(2=Assumptions!$B$14+Assumptions!$B$92,Assumptions!$B$90*(1-Assumptions!$B$105),0)+IF(2=Assumptions!$B$14+Assumptions!$B$95,Assumptions!$B$93*(1-Assumptions!$B$105),0)+IF(2=Assumptions!$B$14+Assumptions!$B$98,Assumptions!$B$96*(1-Assumptions!$B$105),0)+IF(2=Assumptions!$B$14+Assumptions!$B$101,Assumptions!$B$99*(1-Assumptions!$B$105),0)+IF(2=Assumptions!$B$14+Assumptions!$B$104,Assumptions!$B$102*(1-Assumptions!$B$105),0)</f>
        <v>0</v>
      </c>
      <c r="D56" s="17" t="n">
        <f aca="false">IF(3=Assumptions!$B$14+Assumptions!$B$92,Assumptions!$B$90*(1-Assumptions!$B$105),0)+IF(3=Assumptions!$B$14+Assumptions!$B$95,Assumptions!$B$93*(1-Assumptions!$B$105),0)+IF(3=Assumptions!$B$14+Assumptions!$B$98,Assumptions!$B$96*(1-Assumptions!$B$105),0)+IF(3=Assumptions!$B$14+Assumptions!$B$101,Assumptions!$B$99*(1-Assumptions!$B$105),0)+IF(3=Assumptions!$B$14+Assumptions!$B$104,Assumptions!$B$102*(1-Assumptions!$B$105),0)</f>
        <v>0</v>
      </c>
      <c r="E56" s="17" t="n">
        <f aca="false">IF(4=Assumptions!$B$14+Assumptions!$B$92,Assumptions!$B$90*(1-Assumptions!$B$105),0)+IF(4=Assumptions!$B$14+Assumptions!$B$95,Assumptions!$B$93*(1-Assumptions!$B$105),0)+IF(4=Assumptions!$B$14+Assumptions!$B$98,Assumptions!$B$96*(1-Assumptions!$B$105),0)+IF(4=Assumptions!$B$14+Assumptions!$B$101,Assumptions!$B$99*(1-Assumptions!$B$105),0)+IF(4=Assumptions!$B$14+Assumptions!$B$104,Assumptions!$B$102*(1-Assumptions!$B$105),0)</f>
        <v>17600</v>
      </c>
      <c r="F56" s="17" t="n">
        <f aca="false">IF(5=Assumptions!$B$14+Assumptions!$B$92,Assumptions!$B$90*(1-Assumptions!$B$105),0)+IF(5=Assumptions!$B$14+Assumptions!$B$95,Assumptions!$B$93*(1-Assumptions!$B$105),0)+IF(5=Assumptions!$B$14+Assumptions!$B$98,Assumptions!$B$96*(1-Assumptions!$B$105),0)+IF(5=Assumptions!$B$14+Assumptions!$B$101,Assumptions!$B$99*(1-Assumptions!$B$105),0)+IF(5=Assumptions!$B$14+Assumptions!$B$104,Assumptions!$B$102*(1-Assumptions!$B$105),0)</f>
        <v>0</v>
      </c>
      <c r="G56" s="17" t="n">
        <f aca="false">IF(6=Assumptions!$B$14+Assumptions!$B$92,Assumptions!$B$90*(1-Assumptions!$B$105),0)+IF(6=Assumptions!$B$14+Assumptions!$B$95,Assumptions!$B$93*(1-Assumptions!$B$105),0)+IF(6=Assumptions!$B$14+Assumptions!$B$98,Assumptions!$B$96*(1-Assumptions!$B$105),0)+IF(6=Assumptions!$B$14+Assumptions!$B$101,Assumptions!$B$99*(1-Assumptions!$B$105),0)+IF(6=Assumptions!$B$14+Assumptions!$B$104,Assumptions!$B$102*(1-Assumptions!$B$105),0)</f>
        <v>0</v>
      </c>
      <c r="H56" s="17" t="n">
        <f aca="false">IF(7=Assumptions!$B$14+Assumptions!$B$92,Assumptions!$B$90*(1-Assumptions!$B$105),0)+IF(7=Assumptions!$B$14+Assumptions!$B$95,Assumptions!$B$93*(1-Assumptions!$B$105),0)+IF(7=Assumptions!$B$14+Assumptions!$B$98,Assumptions!$B$96*(1-Assumptions!$B$105),0)+IF(7=Assumptions!$B$14+Assumptions!$B$101,Assumptions!$B$99*(1-Assumptions!$B$105),0)+IF(7=Assumptions!$B$14+Assumptions!$B$104,Assumptions!$B$102*(1-Assumptions!$B$105),0)</f>
        <v>0</v>
      </c>
      <c r="I56" s="17" t="n">
        <f aca="false">IF(8=Assumptions!$B$14+Assumptions!$B$92,Assumptions!$B$90*(1-Assumptions!$B$105),0)+IF(8=Assumptions!$B$14+Assumptions!$B$95,Assumptions!$B$93*(1-Assumptions!$B$105),0)+IF(8=Assumptions!$B$14+Assumptions!$B$98,Assumptions!$B$96*(1-Assumptions!$B$105),0)+IF(8=Assumptions!$B$14+Assumptions!$B$101,Assumptions!$B$99*(1-Assumptions!$B$105),0)+IF(8=Assumptions!$B$14+Assumptions!$B$104,Assumptions!$B$102*(1-Assumptions!$B$105),0)</f>
        <v>0</v>
      </c>
      <c r="J56" s="17" t="n">
        <f aca="false">IF(9=Assumptions!$B$14+Assumptions!$B$92,Assumptions!$B$90*(1-Assumptions!$B$105),0)+IF(9=Assumptions!$B$14+Assumptions!$B$95,Assumptions!$B$93*(1-Assumptions!$B$105),0)+IF(9=Assumptions!$B$14+Assumptions!$B$98,Assumptions!$B$96*(1-Assumptions!$B$105),0)+IF(9=Assumptions!$B$14+Assumptions!$B$101,Assumptions!$B$99*(1-Assumptions!$B$105),0)+IF(9=Assumptions!$B$14+Assumptions!$B$104,Assumptions!$B$102*(1-Assumptions!$B$105),0)</f>
        <v>0</v>
      </c>
      <c r="K56" s="17" t="n">
        <f aca="false">IF(10=Assumptions!$B$14+Assumptions!$B$92,Assumptions!$B$90*(1-Assumptions!$B$105),0)+IF(10=Assumptions!$B$14+Assumptions!$B$95,Assumptions!$B$93*(1-Assumptions!$B$105),0)+IF(10=Assumptions!$B$14+Assumptions!$B$98,Assumptions!$B$96*(1-Assumptions!$B$105),0)+IF(10=Assumptions!$B$14+Assumptions!$B$101,Assumptions!$B$99*(1-Assumptions!$B$105),0)+IF(10=Assumptions!$B$14+Assumptions!$B$104,Assumptions!$B$102*(1-Assumptions!$B$105),0)</f>
        <v>0</v>
      </c>
      <c r="L56" s="17" t="n">
        <f aca="false">IF(11=Assumptions!$B$14+Assumptions!$B$92,Assumptions!$B$90*(1-Assumptions!$B$105),0)+IF(11=Assumptions!$B$14+Assumptions!$B$95,Assumptions!$B$93*(1-Assumptions!$B$105),0)+IF(11=Assumptions!$B$14+Assumptions!$B$98,Assumptions!$B$96*(1-Assumptions!$B$105),0)+IF(11=Assumptions!$B$14+Assumptions!$B$101,Assumptions!$B$99*(1-Assumptions!$B$105),0)+IF(11=Assumptions!$B$14+Assumptions!$B$104,Assumptions!$B$102*(1-Assumptions!$B$105),0)</f>
        <v>0</v>
      </c>
      <c r="M56" s="17" t="n">
        <f aca="false">IF(12=Assumptions!$B$14+Assumptions!$B$92,Assumptions!$B$90*(1-Assumptions!$B$105),0)+IF(12=Assumptions!$B$14+Assumptions!$B$95,Assumptions!$B$93*(1-Assumptions!$B$105),0)+IF(12=Assumptions!$B$14+Assumptions!$B$98,Assumptions!$B$96*(1-Assumptions!$B$105),0)+IF(12=Assumptions!$B$14+Assumptions!$B$101,Assumptions!$B$99*(1-Assumptions!$B$105),0)+IF(12=Assumptions!$B$14+Assumptions!$B$104,Assumptions!$B$102*(1-Assumptions!$B$105),0)</f>
        <v>0</v>
      </c>
      <c r="N56" s="17" t="n">
        <f aca="false">IF(13=Assumptions!$B$14+Assumptions!$B$92,Assumptions!$B$90*(1-Assumptions!$B$105),0)+IF(13=Assumptions!$B$14+Assumptions!$B$95,Assumptions!$B$93*(1-Assumptions!$B$105),0)+IF(13=Assumptions!$B$14+Assumptions!$B$98,Assumptions!$B$96*(1-Assumptions!$B$105),0)+IF(13=Assumptions!$B$14+Assumptions!$B$101,Assumptions!$B$99*(1-Assumptions!$B$105),0)+IF(13=Assumptions!$B$14+Assumptions!$B$104,Assumptions!$B$102*(1-Assumptions!$B$105),0)</f>
        <v>0</v>
      </c>
      <c r="O56" s="17" t="n">
        <f aca="false">IF(14=Assumptions!$B$14+Assumptions!$B$92,Assumptions!$B$90*(1-Assumptions!$B$105),0)+IF(14=Assumptions!$B$14+Assumptions!$B$95,Assumptions!$B$93*(1-Assumptions!$B$105),0)+IF(14=Assumptions!$B$14+Assumptions!$B$98,Assumptions!$B$96*(1-Assumptions!$B$105),0)+IF(14=Assumptions!$B$14+Assumptions!$B$101,Assumptions!$B$99*(1-Assumptions!$B$105),0)+IF(14=Assumptions!$B$14+Assumptions!$B$104,Assumptions!$B$102*(1-Assumptions!$B$105),0)</f>
        <v>0</v>
      </c>
      <c r="P56" s="17" t="n">
        <f aca="false">IF(15=Assumptions!$B$14+Assumptions!$B$92,Assumptions!$B$90*(1-Assumptions!$B$105),0)+IF(15=Assumptions!$B$14+Assumptions!$B$95,Assumptions!$B$93*(1-Assumptions!$B$105),0)+IF(15=Assumptions!$B$14+Assumptions!$B$98,Assumptions!$B$96*(1-Assumptions!$B$105),0)+IF(15=Assumptions!$B$14+Assumptions!$B$101,Assumptions!$B$99*(1-Assumptions!$B$105),0)+IF(15=Assumptions!$B$14+Assumptions!$B$104,Assumptions!$B$102*(1-Assumptions!$B$105),0)</f>
        <v>0</v>
      </c>
      <c r="Q56" s="17" t="n">
        <f aca="false">IF(16=Assumptions!$B$14+Assumptions!$B$92,Assumptions!$B$90*(1-Assumptions!$B$105),0)+IF(16=Assumptions!$B$14+Assumptions!$B$95,Assumptions!$B$93*(1-Assumptions!$B$105),0)+IF(16=Assumptions!$B$14+Assumptions!$B$98,Assumptions!$B$96*(1-Assumptions!$B$105),0)+IF(16=Assumptions!$B$14+Assumptions!$B$101,Assumptions!$B$99*(1-Assumptions!$B$105),0)+IF(16=Assumptions!$B$14+Assumptions!$B$104,Assumptions!$B$102*(1-Assumptions!$B$105),0)</f>
        <v>0</v>
      </c>
      <c r="R56" s="17" t="n">
        <f aca="false">IF(17=Assumptions!$B$14+Assumptions!$B$92,Assumptions!$B$90*(1-Assumptions!$B$105),0)+IF(17=Assumptions!$B$14+Assumptions!$B$95,Assumptions!$B$93*(1-Assumptions!$B$105),0)+IF(17=Assumptions!$B$14+Assumptions!$B$98,Assumptions!$B$96*(1-Assumptions!$B$105),0)+IF(17=Assumptions!$B$14+Assumptions!$B$101,Assumptions!$B$99*(1-Assumptions!$B$105),0)+IF(17=Assumptions!$B$14+Assumptions!$B$104,Assumptions!$B$102*(1-Assumptions!$B$105),0)</f>
        <v>0</v>
      </c>
      <c r="S56" s="17" t="n">
        <f aca="false">IF(18=Assumptions!$B$14+Assumptions!$B$92,Assumptions!$B$90*(1-Assumptions!$B$105),0)+IF(18=Assumptions!$B$14+Assumptions!$B$95,Assumptions!$B$93*(1-Assumptions!$B$105),0)+IF(18=Assumptions!$B$14+Assumptions!$B$98,Assumptions!$B$96*(1-Assumptions!$B$105),0)+IF(18=Assumptions!$B$14+Assumptions!$B$101,Assumptions!$B$99*(1-Assumptions!$B$105),0)+IF(18=Assumptions!$B$14+Assumptions!$B$104,Assumptions!$B$102*(1-Assumptions!$B$105),0)</f>
        <v>0</v>
      </c>
      <c r="T56" s="17" t="n">
        <f aca="false">IF(19=Assumptions!$B$14+Assumptions!$B$92,Assumptions!$B$90*(1-Assumptions!$B$105),0)+IF(19=Assumptions!$B$14+Assumptions!$B$95,Assumptions!$B$93*(1-Assumptions!$B$105),0)+IF(19=Assumptions!$B$14+Assumptions!$B$98,Assumptions!$B$96*(1-Assumptions!$B$105),0)+IF(19=Assumptions!$B$14+Assumptions!$B$101,Assumptions!$B$99*(1-Assumptions!$B$105),0)+IF(19=Assumptions!$B$14+Assumptions!$B$104,Assumptions!$B$102*(1-Assumptions!$B$105),0)</f>
        <v>0</v>
      </c>
      <c r="U56" s="17" t="n">
        <f aca="false">IF(20=Assumptions!$B$14+Assumptions!$B$92,Assumptions!$B$90*(1-Assumptions!$B$105),0)+IF(20=Assumptions!$B$14+Assumptions!$B$95,Assumptions!$B$93*(1-Assumptions!$B$105),0)+IF(20=Assumptions!$B$14+Assumptions!$B$98,Assumptions!$B$96*(1-Assumptions!$B$105),0)+IF(20=Assumptions!$B$14+Assumptions!$B$101,Assumptions!$B$99*(1-Assumptions!$B$105),0)+IF(20=Assumptions!$B$14+Assumptions!$B$104,Assumptions!$B$102*(1-Assumptions!$B$105),0)</f>
        <v>0</v>
      </c>
      <c r="V56" s="17" t="n">
        <f aca="false">IF(21=Assumptions!$B$14+Assumptions!$B$92,Assumptions!$B$90*(1-Assumptions!$B$105),0)+IF(21=Assumptions!$B$14+Assumptions!$B$95,Assumptions!$B$93*(1-Assumptions!$B$105),0)+IF(21=Assumptions!$B$14+Assumptions!$B$98,Assumptions!$B$96*(1-Assumptions!$B$105),0)+IF(21=Assumptions!$B$14+Assumptions!$B$101,Assumptions!$B$99*(1-Assumptions!$B$105),0)+IF(21=Assumptions!$B$14+Assumptions!$B$104,Assumptions!$B$102*(1-Assumptions!$B$105),0)</f>
        <v>0</v>
      </c>
      <c r="W56" s="17" t="n">
        <f aca="false">IF(22=Assumptions!$B$14+Assumptions!$B$92,Assumptions!$B$90*(1-Assumptions!$B$105),0)+IF(22=Assumptions!$B$14+Assumptions!$B$95,Assumptions!$B$93*(1-Assumptions!$B$105),0)+IF(22=Assumptions!$B$14+Assumptions!$B$98,Assumptions!$B$96*(1-Assumptions!$B$105),0)+IF(22=Assumptions!$B$14+Assumptions!$B$101,Assumptions!$B$99*(1-Assumptions!$B$105),0)+IF(22=Assumptions!$B$14+Assumptions!$B$104,Assumptions!$B$102*(1-Assumptions!$B$105),0)</f>
        <v>0</v>
      </c>
      <c r="X56" s="17" t="n">
        <f aca="false">IF(23=Assumptions!$B$14+Assumptions!$B$92,Assumptions!$B$90*(1-Assumptions!$B$105),0)+IF(23=Assumptions!$B$14+Assumptions!$B$95,Assumptions!$B$93*(1-Assumptions!$B$105),0)+IF(23=Assumptions!$B$14+Assumptions!$B$98,Assumptions!$B$96*(1-Assumptions!$B$105),0)+IF(23=Assumptions!$B$14+Assumptions!$B$101,Assumptions!$B$99*(1-Assumptions!$B$105),0)+IF(23=Assumptions!$B$14+Assumptions!$B$104,Assumptions!$B$102*(1-Assumptions!$B$105),0)</f>
        <v>0</v>
      </c>
      <c r="Y56" s="17" t="n">
        <f aca="false">IF(24=Assumptions!$B$14+Assumptions!$B$92,Assumptions!$B$90*(1-Assumptions!$B$105),0)+IF(24=Assumptions!$B$14+Assumptions!$B$95,Assumptions!$B$93*(1-Assumptions!$B$105),0)+IF(24=Assumptions!$B$14+Assumptions!$B$98,Assumptions!$B$96*(1-Assumptions!$B$105),0)+IF(24=Assumptions!$B$14+Assumptions!$B$101,Assumptions!$B$99*(1-Assumptions!$B$105),0)+IF(24=Assumptions!$B$14+Assumptions!$B$104,Assumptions!$B$102*(1-Assumptions!$B$105),0)</f>
        <v>0</v>
      </c>
      <c r="Z56" s="17" t="n">
        <f aca="false">SUM(B56:M56)</f>
        <v>27700</v>
      </c>
      <c r="AA56" s="17" t="n">
        <f aca="false">SUM(N56:Y56)</f>
        <v>0</v>
      </c>
      <c r="AB56" s="17" t="n">
        <f aca="false">SUM(B56:Y56)</f>
        <v>27700</v>
      </c>
    </row>
    <row r="57" customFormat="false" ht="15" hidden="false" customHeight="false" outlineLevel="0" collapsed="false">
      <c r="A57" s="18" t="s">
        <v>390</v>
      </c>
      <c r="B57" s="25" t="n">
        <f aca="false">B54-B55-B56</f>
        <v>-26067.4965341956</v>
      </c>
      <c r="C57" s="25" t="n">
        <f aca="false">C54-C55-C56</f>
        <v>5494.61306518813</v>
      </c>
      <c r="D57" s="25" t="n">
        <f aca="false">D54-D55-D56</f>
        <v>7592.10607064967</v>
      </c>
      <c r="E57" s="25" t="n">
        <f aca="false">E54-E55-E56</f>
        <v>-6912.82189553654</v>
      </c>
      <c r="F57" s="25" t="n">
        <f aca="false">F54-F55-F56</f>
        <v>11588.0739110922</v>
      </c>
      <c r="G57" s="25" t="n">
        <f aca="false">G54-G55-G56</f>
        <v>12536.1177634908</v>
      </c>
      <c r="H57" s="25" t="n">
        <f aca="false">H54-H55-H56</f>
        <v>13534.1845824231</v>
      </c>
      <c r="I57" s="25" t="n">
        <f aca="false">I54-I55-I56</f>
        <v>14585.3214769784</v>
      </c>
      <c r="J57" s="25" t="n">
        <f aca="false">J54-J55-J56</f>
        <v>15692.7580779176</v>
      </c>
      <c r="K57" s="25" t="n">
        <f aca="false">K54-K55-K56</f>
        <v>16859.9174910055</v>
      </c>
      <c r="L57" s="25" t="n">
        <f aca="false">L54-L55-L56</f>
        <v>18090.4279075305</v>
      </c>
      <c r="M57" s="25" t="n">
        <f aca="false">M54-M55-M56</f>
        <v>19388.1349114413</v>
      </c>
      <c r="N57" s="25" t="n">
        <f aca="false">N54-N55-N56</f>
        <v>20757.1145248982</v>
      </c>
      <c r="O57" s="25" t="n">
        <f aca="false">O54-O55-O56</f>
        <v>22089.3470618797</v>
      </c>
      <c r="P57" s="25" t="n">
        <f aca="false">P54-P55-P56</f>
        <v>22304.5987370389</v>
      </c>
      <c r="Q57" s="25" t="n">
        <f aca="false">Q54-Q55-Q56</f>
        <v>22414.5061070648</v>
      </c>
      <c r="R57" s="25" t="n">
        <f aca="false">R54-R55-R56</f>
        <v>22523.6807612905</v>
      </c>
      <c r="S57" s="25" t="n">
        <f aca="false">S54-S55-S56</f>
        <v>22632.127584488</v>
      </c>
      <c r="T57" s="25" t="n">
        <f aca="false">T54-T55-T56</f>
        <v>22739.8514288642</v>
      </c>
      <c r="U57" s="25" t="n">
        <f aca="false">U54-U55-U56</f>
        <v>22846.8571142779</v>
      </c>
      <c r="V57" s="25" t="n">
        <f aca="false">V54-V55-V56</f>
        <v>22953.1494284555</v>
      </c>
      <c r="W57" s="25" t="n">
        <f aca="false">W54-W55-W56</f>
        <v>23058.7331272053</v>
      </c>
      <c r="X57" s="25" t="n">
        <f aca="false">X54-X55-X56</f>
        <v>23163.61293463</v>
      </c>
      <c r="Y57" s="25" t="n">
        <f aca="false">Y54-Y55-Y56</f>
        <v>23267.7935433386</v>
      </c>
      <c r="Z57" s="24" t="n">
        <f aca="false">SUM(B57:M57)</f>
        <v>102381.336827985</v>
      </c>
      <c r="AA57" s="24" t="n">
        <f aca="false">SUM(N57:Y57)</f>
        <v>270751.372353432</v>
      </c>
      <c r="AB57" s="24" t="n">
        <f aca="false">SUM(B57:Y57)</f>
        <v>373132.709181417</v>
      </c>
    </row>
    <row r="58" customFormat="false" ht="15" hidden="false" customHeight="false" outlineLevel="0" collapsed="false">
      <c r="A58" s="18" t="s">
        <v>391</v>
      </c>
      <c r="B58" s="24" t="n">
        <f aca="false">Assumptions!$B$62+Assumptions!$B$7+B57</f>
        <v>23932.5034658044</v>
      </c>
      <c r="C58" s="24" t="n">
        <f aca="false">B58+C57</f>
        <v>29427.1165309926</v>
      </c>
      <c r="D58" s="24" t="n">
        <f aca="false">C58+D57</f>
        <v>37019.2226016422</v>
      </c>
      <c r="E58" s="24" t="n">
        <f aca="false">D58+E57</f>
        <v>30106.4007061057</v>
      </c>
      <c r="F58" s="24" t="n">
        <f aca="false">E58+F57</f>
        <v>41694.4746171979</v>
      </c>
      <c r="G58" s="24" t="n">
        <f aca="false">F58+G57</f>
        <v>54230.5923806887</v>
      </c>
      <c r="H58" s="24" t="n">
        <f aca="false">G58+H57</f>
        <v>67764.7769631118</v>
      </c>
      <c r="I58" s="24" t="n">
        <f aca="false">H58+I57</f>
        <v>82350.0984400902</v>
      </c>
      <c r="J58" s="24" t="n">
        <f aca="false">I58+J57</f>
        <v>98042.8565180078</v>
      </c>
      <c r="K58" s="24" t="n">
        <f aca="false">J58+K57</f>
        <v>114902.774009013</v>
      </c>
      <c r="L58" s="24" t="n">
        <f aca="false">K58+L57</f>
        <v>132993.201916544</v>
      </c>
      <c r="M58" s="24" t="n">
        <f aca="false">L58+M57</f>
        <v>152381.336827985</v>
      </c>
      <c r="N58" s="24" t="n">
        <f aca="false">M58+N57</f>
        <v>173138.451352883</v>
      </c>
      <c r="O58" s="24" t="n">
        <f aca="false">N58+O57</f>
        <v>195227.798414763</v>
      </c>
      <c r="P58" s="24" t="n">
        <f aca="false">O58+P57</f>
        <v>217532.397151802</v>
      </c>
      <c r="Q58" s="24" t="n">
        <f aca="false">P58+Q57</f>
        <v>239946.903258867</v>
      </c>
      <c r="R58" s="24" t="n">
        <f aca="false">Q58+R57</f>
        <v>262470.584020157</v>
      </c>
      <c r="S58" s="24" t="n">
        <f aca="false">R58+S57</f>
        <v>285102.711604645</v>
      </c>
      <c r="T58" s="24" t="n">
        <f aca="false">S58+T57</f>
        <v>307842.563033509</v>
      </c>
      <c r="U58" s="24" t="n">
        <f aca="false">T58+U57</f>
        <v>330689.420147787</v>
      </c>
      <c r="V58" s="24" t="n">
        <f aca="false">U58+V57</f>
        <v>353642.569576243</v>
      </c>
      <c r="W58" s="24" t="n">
        <f aca="false">V58+W57</f>
        <v>376701.302703448</v>
      </c>
      <c r="X58" s="24" t="n">
        <f aca="false">W58+X57</f>
        <v>399864.915638078</v>
      </c>
      <c r="Y58" s="24" t="n">
        <f aca="false">X58+Y57</f>
        <v>423132.709181417</v>
      </c>
      <c r="Z58" s="3"/>
      <c r="AA58" s="3"/>
      <c r="AB58" s="3"/>
    </row>
    <row r="59" customFormat="false" ht="15" hidden="false" customHeight="false" outlineLevel="0" collapsed="false">
      <c r="A59" s="5" t="s">
        <v>392</v>
      </c>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customFormat="false" ht="15" hidden="false" customHeight="false" outlineLevel="0" collapsed="false">
      <c r="A60" s="20" t="s">
        <v>393</v>
      </c>
      <c r="B60" s="17" t="n">
        <f aca="false">IF(B8=0,0,B23/IF(B7&gt;0,2,1))</f>
        <v>28180.9322033898</v>
      </c>
      <c r="C60" s="17" t="n">
        <f aca="false">IF(C8=0,0,C23/IF(C7&gt;0,2,1))</f>
        <v>37754.0685670262</v>
      </c>
      <c r="D60" s="17" t="n">
        <f aca="false">IF(D8=0,0,D23/IF(D7&gt;0,2,1))</f>
        <v>38188.1385670262</v>
      </c>
      <c r="E60" s="17" t="n">
        <f aca="false">IF(E8=0,0,E23/IF(E7&gt;0,2,1))</f>
        <v>38648.2527670262</v>
      </c>
      <c r="F60" s="17" t="n">
        <f aca="false">IF(F8=0,0,F23/IF(F7&gt;0,2,1))</f>
        <v>39135.9738190262</v>
      </c>
      <c r="G60" s="17" t="n">
        <f aca="false">IF(G8=0,0,G23/IF(G7&gt;0,2,1))</f>
        <v>39652.9581341462</v>
      </c>
      <c r="H60" s="17" t="n">
        <f aca="false">IF(H8=0,0,H23/IF(H7&gt;0,2,1))</f>
        <v>40200.9615081734</v>
      </c>
      <c r="I60" s="17" t="n">
        <f aca="false">IF(I8=0,0,I23/IF(I7&gt;0,2,1))</f>
        <v>40781.8450846422</v>
      </c>
      <c r="J60" s="17" t="n">
        <f aca="false">IF(J8=0,0,J23/IF(J7&gt;0,2,1))</f>
        <v>41397.5816756992</v>
      </c>
      <c r="K60" s="17" t="n">
        <f aca="false">IF(K8=0,0,K23/IF(K7&gt;0,2,1))</f>
        <v>42050.2624622196</v>
      </c>
      <c r="L60" s="17" t="n">
        <f aca="false">IF(L8=0,0,L23/IF(L7&gt;0,2,1))</f>
        <v>42742.1040959312</v>
      </c>
      <c r="M60" s="17" t="n">
        <f aca="false">IF(M8=0,0,M23/IF(M7&gt;0,2,1))</f>
        <v>43475.4562276655</v>
      </c>
      <c r="N60" s="17" t="n">
        <f aca="false">IF(N8=0,0,N23/IF(N7&gt;0,2,1))</f>
        <v>44252.8094873038</v>
      </c>
      <c r="O60" s="17" t="n">
        <f aca="false">IF(O8=0,0,O23/IF(O7&gt;0,2,1))</f>
        <v>45000</v>
      </c>
      <c r="P60" s="17" t="n">
        <f aca="false">IF(P8=0,0,P23/IF(P7&gt;0,2,1))</f>
        <v>45000</v>
      </c>
      <c r="Q60" s="17" t="n">
        <f aca="false">IF(Q8=0,0,Q23/IF(Q7&gt;0,2,1))</f>
        <v>45000</v>
      </c>
      <c r="R60" s="17" t="n">
        <f aca="false">IF(R8=0,0,R23/IF(R7&gt;0,2,1))</f>
        <v>45000</v>
      </c>
      <c r="S60" s="17" t="n">
        <f aca="false">IF(S8=0,0,S23/IF(S7&gt;0,2,1))</f>
        <v>45000</v>
      </c>
      <c r="T60" s="17" t="n">
        <f aca="false">IF(T8=0,0,T23/IF(T7&gt;0,2,1))</f>
        <v>45000</v>
      </c>
      <c r="U60" s="17" t="n">
        <f aca="false">IF(U8=0,0,U23/IF(U7&gt;0,2,1))</f>
        <v>45000</v>
      </c>
      <c r="V60" s="17" t="n">
        <f aca="false">IF(V8=0,0,V23/IF(V7&gt;0,2,1))</f>
        <v>45000</v>
      </c>
      <c r="W60" s="17" t="n">
        <f aca="false">IF(W8=0,0,W23/IF(W7&gt;0,2,1))</f>
        <v>45000</v>
      </c>
      <c r="X60" s="17" t="n">
        <f aca="false">IF(X8=0,0,X23/IF(X7&gt;0,2,1))</f>
        <v>45000</v>
      </c>
      <c r="Y60" s="17" t="n">
        <f aca="false">IF(Y8=0,0,Y23/IF(Y7&gt;0,2,1))</f>
        <v>45000</v>
      </c>
      <c r="Z60" s="3"/>
      <c r="AA60" s="3"/>
      <c r="AB60" s="3"/>
    </row>
    <row r="61" customFormat="false" ht="15" hidden="false" customHeight="false" outlineLevel="0" collapsed="false">
      <c r="A61" s="20" t="s">
        <v>394</v>
      </c>
      <c r="B61" s="17" t="n">
        <f aca="false">IF(B13=0,0,(B45+B46+B47)/B13)</f>
        <v>57.2240802675585</v>
      </c>
      <c r="C61" s="17" t="n">
        <f aca="false">IF(C13=0,0,(C45+C46+C47)/C13)</f>
        <v>55.9918250593373</v>
      </c>
      <c r="D61" s="17" t="n">
        <f aca="false">IF(D13=0,0,(D45+D46+D47)/D13)</f>
        <v>55.5522120032951</v>
      </c>
      <c r="E61" s="17" t="n">
        <f aca="false">IF(E13=0,0,(E45+E46+E47)/E13)</f>
        <v>55.09369680223</v>
      </c>
      <c r="F61" s="17" t="n">
        <f aca="false">IF(F13=0,0,(F45+F46+F47)/F13)</f>
        <v>54.6158628050393</v>
      </c>
      <c r="G61" s="17" t="n">
        <f aca="false">IF(G13=0,0,(G45+G46+G47)/G13)</f>
        <v>54.1183258433262</v>
      </c>
      <c r="H61" s="17" t="n">
        <f aca="false">IF(H13=0,0,(H45+H46+H47)/H13)</f>
        <v>53.6007390411201</v>
      </c>
      <c r="I61" s="17" t="n">
        <f aca="false">IF(I13=0,0,(I45+I46+I47)/I13)</f>
        <v>53.0627977874208</v>
      </c>
      <c r="J61" s="17" t="n">
        <f aca="false">IF(J13=0,0,(J45+J46+J47)/J13)</f>
        <v>52.5042448312122</v>
      </c>
      <c r="K61" s="17" t="n">
        <f aca="false">IF(K13=0,0,(K45+K46+K47)/K13)</f>
        <v>51.9248754514001</v>
      </c>
      <c r="L61" s="17" t="n">
        <f aca="false">IF(L13=0,0,(L45+L46+L47)/L13)</f>
        <v>51.3245426468748</v>
      </c>
      <c r="M61" s="17" t="n">
        <f aca="false">IF(M13=0,0,(M45+M46+M47)/M13)</f>
        <v>50.7031622847844</v>
      </c>
      <c r="N61" s="17" t="n">
        <f aca="false">IF(N13=0,0,(N45+N46+N47)/N13)</f>
        <v>50.0607181383268</v>
      </c>
      <c r="O61" s="17" t="n">
        <f aca="false">IF(O13=0,0,(O45+O46+O47)/O13)</f>
        <v>49.3972667391676</v>
      </c>
      <c r="P61" s="17" t="n">
        <f aca="false">IF(P13=0,0,(P45+P46+P47)/P13)</f>
        <v>48.712941964224</v>
      </c>
      <c r="Q61" s="17" t="n">
        <f aca="false">IF(Q13=0,0,(Q45+Q46+Q47)/Q13)</f>
        <v>48.0079592722895</v>
      </c>
      <c r="R61" s="17" t="n">
        <f aca="false">IF(R13=0,0,(R45+R46+R47)/R13)</f>
        <v>47.2826195030823</v>
      </c>
      <c r="S61" s="17" t="n">
        <f aca="false">IF(S13=0,0,(S45+S46+S47)/S13)</f>
        <v>46.5373121500501</v>
      </c>
      <c r="T61" s="17" t="n">
        <f aca="false">IF(T13=0,0,(T45+T46+T47)/T13)</f>
        <v>45.7725180189062</v>
      </c>
      <c r="U61" s="17" t="n">
        <f aca="false">IF(U13=0,0,(U45+U46+U47)/U13)</f>
        <v>44.9888111866158</v>
      </c>
      <c r="V61" s="17" t="n">
        <f aca="false">IF(V13=0,0,(V45+V46+V47)/V13)</f>
        <v>44.186860180576</v>
      </c>
      <c r="W61" s="17" t="n">
        <f aca="false">IF(W13=0,0,(W45+W46+W47)/W13)</f>
        <v>43.3674283051422</v>
      </c>
      <c r="X61" s="17" t="n">
        <f aca="false">IF(X13=0,0,(X45+X46+X47)/X13)</f>
        <v>42.5313730524876</v>
      </c>
      <c r="Y61" s="17" t="n">
        <f aca="false">IF(Y13=0,0,(Y45+Y46+Y47)/Y13)</f>
        <v>41.6796445469942</v>
      </c>
      <c r="Z61" s="3"/>
      <c r="AA61" s="3"/>
      <c r="AB61" s="3"/>
    </row>
    <row r="62" customFormat="false" ht="15" hidden="false" customHeight="false" outlineLevel="0" collapsed="false">
      <c r="A62" s="20" t="s">
        <v>395</v>
      </c>
      <c r="B62" s="17" t="n">
        <f aca="false">IF(B15=0,0,(B45+B46+B47)/B15)</f>
        <v>154.359691461049</v>
      </c>
      <c r="C62" s="17" t="n">
        <f aca="false">IF(C15=0,0,(C45+C46+C47)/C15)</f>
        <v>178.788677782276</v>
      </c>
      <c r="D62" s="17" t="n">
        <f aca="false">IF(D15=0,0,(D45+D46+D47)/D15)</f>
        <v>176.756455100651</v>
      </c>
      <c r="E62" s="17" t="n">
        <f aca="false">IF(E15=0,0,(E45+E46+E47)/E15)</f>
        <v>174.652138628087</v>
      </c>
      <c r="F62" s="17" t="n">
        <f aca="false">IF(F15=0,0,(F45+F46+F47)/F15)</f>
        <v>172.47558553707</v>
      </c>
      <c r="G62" s="17" t="n">
        <f aca="false">IF(G15=0,0,(G45+G46+G47)/G15)</f>
        <v>170.226896494448</v>
      </c>
      <c r="H62" s="17" t="n">
        <f aca="false">IF(H15=0,0,(H45+H46+H47)/H15)</f>
        <v>167.906431756057</v>
      </c>
      <c r="I62" s="17" t="n">
        <f aca="false">IF(I15=0,0,(I45+I46+I47)/I15)</f>
        <v>165.514826168126</v>
      </c>
      <c r="J62" s="17" t="n">
        <f aca="false">IF(J15=0,0,(J45+J46+J47)/J15)</f>
        <v>163.053002778718</v>
      </c>
      <c r="K62" s="17" t="n">
        <f aca="false">IF(K15=0,0,(K45+K46+K47)/K15)</f>
        <v>160.522184756031</v>
      </c>
      <c r="L62" s="17" t="n">
        <f aca="false">IF(L15=0,0,(L45+L46+L47)/L15)</f>
        <v>157.923905310094</v>
      </c>
      <c r="M62" s="17" t="n">
        <f aca="false">IF(M15=0,0,(M45+M46+M47)/M15)</f>
        <v>155.260015321119</v>
      </c>
      <c r="N62" s="17" t="n">
        <f aca="false">IF(N15=0,0,(N45+N46+N47)/N15)</f>
        <v>152.532688392057</v>
      </c>
      <c r="O62" s="17" t="n">
        <f aca="false">IF(O15=0,0,(O45+O46+O47)/O15)</f>
        <v>149.744423065292</v>
      </c>
      <c r="P62" s="17" t="n">
        <f aca="false">IF(P15=0,0,(P45+P46+P47)/P15)</f>
        <v>146.898041974108</v>
      </c>
      <c r="Q62" s="17" t="n">
        <f aca="false">IF(Q15=0,0,(Q45+Q46+Q47)/Q15)</f>
        <v>143.99668773848</v>
      </c>
      <c r="R62" s="17" t="n">
        <f aca="false">IF(R15=0,0,(R45+R46+R47)/R15)</f>
        <v>141.043815461538</v>
      </c>
      <c r="S62" s="17" t="n">
        <f aca="false">IF(S15=0,0,(S45+S46+S47)/S15)</f>
        <v>138.043181737105</v>
      </c>
      <c r="T62" s="17" t="n">
        <f aca="false">IF(T15=0,0,(T45+T46+T47)/T15)</f>
        <v>134.998830138866</v>
      </c>
      <c r="U62" s="17" t="n">
        <f aca="false">IF(U15=0,0,(U45+U46+U47)/U15)</f>
        <v>131.915073226764</v>
      </c>
      <c r="V62" s="17" t="n">
        <f aca="false">IF(V15=0,0,(V45+V46+V47)/V15)</f>
        <v>128.796471174437</v>
      </c>
      <c r="W62" s="17" t="n">
        <f aca="false">IF(W15=0,0,(W45+W46+W47)/W15)</f>
        <v>125.647807191021</v>
      </c>
      <c r="X62" s="17" t="n">
        <f aca="false">IF(X15=0,0,(X45+X46+X47)/X15)</f>
        <v>122.474059979422</v>
      </c>
      <c r="Y62" s="17" t="n">
        <f aca="false">IF(Y15=0,0,(Y45+Y46+Y47)/Y15)</f>
        <v>119.280373539014</v>
      </c>
      <c r="Z62" s="3"/>
      <c r="AA62" s="3"/>
      <c r="AB62" s="3"/>
    </row>
    <row r="63" customFormat="false" ht="15" hidden="false" customHeight="false" outlineLevel="0" collapsed="false">
      <c r="A63" s="20" t="s">
        <v>396</v>
      </c>
      <c r="B63" s="23" t="n">
        <f aca="false">Assumptions!$B$74</f>
        <v>0.7</v>
      </c>
      <c r="C63" s="23" t="n">
        <f aca="false">Assumptions!$B$74</f>
        <v>0.7</v>
      </c>
      <c r="D63" s="23" t="n">
        <f aca="false">Assumptions!$B$74</f>
        <v>0.7</v>
      </c>
      <c r="E63" s="23" t="n">
        <f aca="false">Assumptions!$B$74</f>
        <v>0.7</v>
      </c>
      <c r="F63" s="23" t="n">
        <f aca="false">Assumptions!$B$74</f>
        <v>0.7</v>
      </c>
      <c r="G63" s="23" t="n">
        <f aca="false">Assumptions!$B$74</f>
        <v>0.7</v>
      </c>
      <c r="H63" s="23" t="n">
        <f aca="false">Assumptions!$B$74</f>
        <v>0.7</v>
      </c>
      <c r="I63" s="23" t="n">
        <f aca="false">Assumptions!$B$74</f>
        <v>0.7</v>
      </c>
      <c r="J63" s="23" t="n">
        <f aca="false">Assumptions!$B$74</f>
        <v>0.7</v>
      </c>
      <c r="K63" s="23" t="n">
        <f aca="false">Assumptions!$B$74</f>
        <v>0.7</v>
      </c>
      <c r="L63" s="23" t="n">
        <f aca="false">Assumptions!$B$74</f>
        <v>0.7</v>
      </c>
      <c r="M63" s="23" t="n">
        <f aca="false">Assumptions!$B$74</f>
        <v>0.7</v>
      </c>
      <c r="N63" s="23" t="n">
        <f aca="false">Assumptions!$B$74</f>
        <v>0.7</v>
      </c>
      <c r="O63" s="23" t="n">
        <f aca="false">Assumptions!$B$74</f>
        <v>0.7</v>
      </c>
      <c r="P63" s="23" t="n">
        <f aca="false">Assumptions!$B$74</f>
        <v>0.7</v>
      </c>
      <c r="Q63" s="23" t="n">
        <f aca="false">Assumptions!$B$74</f>
        <v>0.7</v>
      </c>
      <c r="R63" s="23" t="n">
        <f aca="false">Assumptions!$B$74</f>
        <v>0.7</v>
      </c>
      <c r="S63" s="23" t="n">
        <f aca="false">Assumptions!$B$74</f>
        <v>0.7</v>
      </c>
      <c r="T63" s="23" t="n">
        <f aca="false">Assumptions!$B$74</f>
        <v>0.7</v>
      </c>
      <c r="U63" s="23" t="n">
        <f aca="false">Assumptions!$B$74</f>
        <v>0.7</v>
      </c>
      <c r="V63" s="23" t="n">
        <f aca="false">Assumptions!$B$74</f>
        <v>0.7</v>
      </c>
      <c r="W63" s="23" t="n">
        <f aca="false">Assumptions!$B$74</f>
        <v>0.7</v>
      </c>
      <c r="X63" s="23" t="n">
        <f aca="false">Assumptions!$B$74</f>
        <v>0.7</v>
      </c>
      <c r="Y63" s="23" t="n">
        <f aca="false">Assumptions!$B$74</f>
        <v>0.7</v>
      </c>
      <c r="Z63" s="3"/>
      <c r="AA63" s="3"/>
      <c r="AB63" s="3"/>
    </row>
    <row r="64" customFormat="false" ht="15" hidden="false" customHeight="false" outlineLevel="0" collapsed="false">
      <c r="A64" s="20" t="s">
        <v>397</v>
      </c>
      <c r="B64" s="23" t="n">
        <f aca="false">IF(B27=0,0,B26/B27)</f>
        <v>0</v>
      </c>
      <c r="C64" s="23" t="n">
        <f aca="false">IF(C27=0,0,C26/C27)</f>
        <v>0</v>
      </c>
      <c r="D64" s="23" t="n">
        <f aca="false">IF(D27=0,0,D26/D27)</f>
        <v>0.00224450258820597</v>
      </c>
      <c r="E64" s="23" t="n">
        <f aca="false">IF(E27=0,0,E26/E27)</f>
        <v>0.00443321435270282</v>
      </c>
      <c r="F64" s="23" t="n">
        <f aca="false">IF(F27=0,0,F26/F27)</f>
        <v>0.00656505911320626</v>
      </c>
      <c r="G64" s="23" t="n">
        <f aca="false">IF(G27=0,0,G26/G27)</f>
        <v>0.00863895934006828</v>
      </c>
      <c r="H64" s="23" t="n">
        <f aca="false">IF(H27=0,0,H26/H27)</f>
        <v>0.0106538453164294</v>
      </c>
      <c r="I64" s="23" t="n">
        <f aca="false">IF(I27=0,0,I26/I27)</f>
        <v>0.012608664865003</v>
      </c>
      <c r="J64" s="23" t="n">
        <f aca="false">IF(J27=0,0,J26/J27)</f>
        <v>0.014502393574442</v>
      </c>
      <c r="K64" s="23" t="n">
        <f aca="false">IF(K27=0,0,K26/K27)</f>
        <v>0.0163340454453157</v>
      </c>
      <c r="L64" s="23" t="n">
        <f aca="false">IF(L27=0,0,L26/L27)</f>
        <v>0.0181026838608428</v>
      </c>
      <c r="M64" s="23" t="n">
        <f aca="false">IF(M27=0,0,M26/M27)</f>
        <v>0.0198074327731009</v>
      </c>
      <c r="N64" s="23" t="n">
        <f aca="false">IF(N27=0,0,N26/N27)</f>
        <v>0.0214474879818912</v>
      </c>
      <c r="O64" s="23" t="n">
        <f aca="false">IF(O27=0,0,O26/O27)</f>
        <v>0.0230574733042668</v>
      </c>
      <c r="P64" s="23" t="n">
        <f aca="false">IF(P27=0,0,P26/P27)</f>
        <v>0.0246869519090368</v>
      </c>
      <c r="Q64" s="23" t="n">
        <f aca="false">IF(Q27=0,0,Q26/Q27)</f>
        <v>0.0263001947257109</v>
      </c>
      <c r="R64" s="23" t="n">
        <f aca="false">IF(R27=0,0,R26/R27)</f>
        <v>0.0278974076517529</v>
      </c>
      <c r="S64" s="23" t="n">
        <f aca="false">IF(S27=0,0,S26/S27)</f>
        <v>0.029478793223238</v>
      </c>
      <c r="T64" s="23" t="n">
        <f aca="false">IF(T27=0,0,T26/T27)</f>
        <v>0.0310445506832315</v>
      </c>
      <c r="U64" s="23" t="n">
        <f aca="false">IF(U27=0,0,U26/U27)</f>
        <v>0.0325948760485017</v>
      </c>
      <c r="V64" s="23" t="n">
        <f aca="false">IF(V27=0,0,V26/V27)</f>
        <v>0.0341299621746141</v>
      </c>
      <c r="W64" s="23" t="n">
        <f aca="false">IF(W27=0,0,W26/W27)</f>
        <v>0.0356499988194537</v>
      </c>
      <c r="X64" s="23" t="n">
        <f aca="false">IF(X27=0,0,X26/X27)</f>
        <v>0.0371551727052182</v>
      </c>
      <c r="Y64" s="23" t="n">
        <f aca="false">IF(Y27=0,0,Y26/Y27)</f>
        <v>0.0386456675789254</v>
      </c>
      <c r="Z64" s="3"/>
      <c r="AA64" s="3"/>
      <c r="AB64" s="3"/>
    </row>
    <row r="65" customFormat="false" ht="15" hidden="false" customHeight="false" outlineLevel="0" collapsed="false">
      <c r="A65" s="20" t="s">
        <v>398</v>
      </c>
      <c r="B65" s="23" t="n">
        <f aca="false">IF(B27=0,0,B30/B27)</f>
        <v>0.493383607740539</v>
      </c>
      <c r="C65" s="23" t="n">
        <f aca="false">IF(C27=0,0,C30/C27)</f>
        <v>0.368278453892081</v>
      </c>
      <c r="D65" s="23" t="n">
        <f aca="false">IF(D27=0,0,D30/D27)</f>
        <v>0.363275166953205</v>
      </c>
      <c r="E65" s="23" t="n">
        <f aca="false">IF(E27=0,0,E30/E27)</f>
        <v>0.35816290652906</v>
      </c>
      <c r="F65" s="23" t="n">
        <f aca="false">IF(F27=0,0,F30/F27)</f>
        <v>0.352942012285491</v>
      </c>
      <c r="G65" s="23" t="n">
        <f aca="false">IF(G27=0,0,G30/G27)</f>
        <v>0.347613254383572</v>
      </c>
      <c r="H65" s="23" t="n">
        <f aca="false">IF(H27=0,0,H30/H27)</f>
        <v>0.342177856253144</v>
      </c>
      <c r="I65" s="23" t="n">
        <f aca="false">IF(I27=0,0,I30/I27)</f>
        <v>0.336637515275158</v>
      </c>
      <c r="J65" s="23" t="n">
        <f aca="false">IF(J27=0,0,J30/J27)</f>
        <v>0.330994420931609</v>
      </c>
      <c r="K65" s="23" t="n">
        <f aca="false">IF(K27=0,0,K30/K27)</f>
        <v>0.325251269979016</v>
      </c>
      <c r="L65" s="23" t="n">
        <f aca="false">IF(L27=0,0,L30/L27)</f>
        <v>0.319411278207795</v>
      </c>
      <c r="M65" s="23" t="n">
        <f aca="false">IF(M27=0,0,M30/M27)</f>
        <v>0.313478188366335</v>
      </c>
      <c r="N65" s="23" t="n">
        <f aca="false">IF(N27=0,0,N30/N27)</f>
        <v>0.307456273855978</v>
      </c>
      <c r="O65" s="23" t="n">
        <f aca="false">IF(O27=0,0,O30/O27)</f>
        <v>0.301853748013394</v>
      </c>
      <c r="P65" s="23" t="n">
        <f aca="false">IF(P27=0,0,P30/P27)</f>
        <v>0.30135027497305</v>
      </c>
      <c r="Q65" s="23" t="n">
        <f aca="false">IF(Q27=0,0,Q30/Q27)</f>
        <v>0.300851818434039</v>
      </c>
      <c r="R65" s="23" t="n">
        <f aca="false">IF(R27=0,0,R30/R27)</f>
        <v>0.300358314778577</v>
      </c>
      <c r="S65" s="23" t="n">
        <f aca="false">IF(S27=0,0,S30/S27)</f>
        <v>0.29986970142747</v>
      </c>
      <c r="T65" s="23" t="n">
        <f aca="false">IF(T27=0,0,T30/T27)</f>
        <v>0.299385916818997</v>
      </c>
      <c r="U65" s="23" t="n">
        <f aca="false">IF(U27=0,0,U30/U27)</f>
        <v>0.298906900388286</v>
      </c>
      <c r="V65" s="23" t="n">
        <f aca="false">IF(V27=0,0,V30/V27)</f>
        <v>0.298432592547212</v>
      </c>
      <c r="W65" s="23" t="n">
        <f aca="false">IF(W27=0,0,W30/W27)</f>
        <v>0.297962934664763</v>
      </c>
      <c r="X65" s="23" t="n">
        <f aca="false">IF(X27=0,0,X30/X27)</f>
        <v>0.297497869047887</v>
      </c>
      <c r="Y65" s="23" t="n">
        <f aca="false">IF(Y27=0,0,Y30/Y27)</f>
        <v>0.297037338922799</v>
      </c>
      <c r="Z65" s="3"/>
      <c r="AA65" s="3"/>
      <c r="AB65" s="3"/>
    </row>
    <row r="66" customFormat="false" ht="15" hidden="false" customHeight="false" outlineLevel="0" collapsed="false">
      <c r="A66" s="20" t="s">
        <v>399</v>
      </c>
      <c r="B66" s="17" t="n">
        <f aca="false">IF(B29=0,0,B23/B29/Assumptions!$B$10)</f>
        <v>1341.94915254237</v>
      </c>
      <c r="C66" s="17" t="n">
        <f aca="false">IF(C29=0,0,C23/C29/Assumptions!$B$10)</f>
        <v>1797.81278890601</v>
      </c>
      <c r="D66" s="17" t="n">
        <f aca="false">IF(D29=0,0,D23/D29/Assumptions!$B$10)</f>
        <v>1818.48278890601</v>
      </c>
      <c r="E66" s="17" t="n">
        <f aca="false">IF(E29=0,0,E23/E29/Assumptions!$B$10)</f>
        <v>1840.39298890601</v>
      </c>
      <c r="F66" s="17" t="n">
        <f aca="false">IF(F29=0,0,F23/F29/Assumptions!$B$10)</f>
        <v>1863.61780090601</v>
      </c>
      <c r="G66" s="17" t="n">
        <f aca="false">IF(G29=0,0,G23/G29/Assumptions!$B$10)</f>
        <v>1888.23610162601</v>
      </c>
      <c r="H66" s="17" t="n">
        <f aca="false">IF(H29=0,0,H23/H29/Assumptions!$B$10)</f>
        <v>1914.33150038921</v>
      </c>
      <c r="I66" s="17" t="n">
        <f aca="false">IF(I29=0,0,I23/I29/Assumptions!$B$10)</f>
        <v>1941.9926230782</v>
      </c>
      <c r="J66" s="17" t="n">
        <f aca="false">IF(J29=0,0,J23/J29/Assumptions!$B$10)</f>
        <v>1971.31341312853</v>
      </c>
      <c r="K66" s="17" t="n">
        <f aca="false">IF(K29=0,0,K23/K29/Assumptions!$B$10)</f>
        <v>2002.39345058188</v>
      </c>
      <c r="L66" s="17" t="n">
        <f aca="false">IF(L29=0,0,L23/L29/Assumptions!$B$10)</f>
        <v>2035.33829028244</v>
      </c>
      <c r="M66" s="17" t="n">
        <f aca="false">IF(M29=0,0,M23/M29/Assumptions!$B$10)</f>
        <v>2070.25982036502</v>
      </c>
      <c r="N66" s="17" t="n">
        <f aca="false">IF(N29=0,0,N23/N29/Assumptions!$B$10)</f>
        <v>2107.27664225256</v>
      </c>
      <c r="O66" s="17" t="n">
        <f aca="false">IF(O29=0,0,O23/O29/Assumptions!$B$10)</f>
        <v>2142.85714285714</v>
      </c>
      <c r="P66" s="17" t="n">
        <f aca="false">IF(P29=0,0,P23/P29/Assumptions!$B$10)</f>
        <v>2142.85714285714</v>
      </c>
      <c r="Q66" s="17" t="n">
        <f aca="false">IF(Q29=0,0,Q23/Q29/Assumptions!$B$10)</f>
        <v>2142.85714285714</v>
      </c>
      <c r="R66" s="17" t="n">
        <f aca="false">IF(R29=0,0,R23/R29/Assumptions!$B$10)</f>
        <v>2142.85714285714</v>
      </c>
      <c r="S66" s="17" t="n">
        <f aca="false">IF(S29=0,0,S23/S29/Assumptions!$B$10)</f>
        <v>2142.85714285714</v>
      </c>
      <c r="T66" s="17" t="n">
        <f aca="false">IF(T29=0,0,T23/T29/Assumptions!$B$10)</f>
        <v>2142.85714285714</v>
      </c>
      <c r="U66" s="17" t="n">
        <f aca="false">IF(U29=0,0,U23/U29/Assumptions!$B$10)</f>
        <v>2142.85714285714</v>
      </c>
      <c r="V66" s="17" t="n">
        <f aca="false">IF(V29=0,0,V23/V29/Assumptions!$B$10)</f>
        <v>2142.85714285714</v>
      </c>
      <c r="W66" s="17" t="n">
        <f aca="false">IF(W29=0,0,W23/W29/Assumptions!$B$10)</f>
        <v>2142.85714285714</v>
      </c>
      <c r="X66" s="17" t="n">
        <f aca="false">IF(X29=0,0,X23/X29/Assumptions!$B$10)</f>
        <v>2142.85714285714</v>
      </c>
      <c r="Y66" s="17" t="n">
        <f aca="false">IF(Y29=0,0,Y23/Y29/Assumptions!$B$10)</f>
        <v>2142.85714285714</v>
      </c>
      <c r="Z66" s="3"/>
      <c r="AA66" s="3"/>
      <c r="AB66" s="3"/>
    </row>
    <row r="67" customFormat="false" ht="15" hidden="false" customHeight="false" outlineLevel="0" collapsed="false">
      <c r="A67" s="20" t="s">
        <v>400</v>
      </c>
      <c r="B67" s="21" t="n">
        <f aca="false">IF(Assumptions!$B$20=1,B50/(Assumptions!$B$5*(1-Assumptions!$B$21-Assumptions!$B$22)),(B50+(Assumptions!$B$26*Assumptions!$B$27*Assumptions!$B$23+Assumptions!$B$27*Assumptions!$B$24+Assumptions!$B$26*Assumptions!$B$28*Assumptions!$B$23*1.5)*(1+Assumptions!$B$25))/(Assumptions!$B$5*(1-Assumptions!$B$22)))</f>
        <v>1080.19118877862</v>
      </c>
      <c r="C67" s="21" t="n">
        <f aca="false">IF(Assumptions!$B$20=1,C50/(Assumptions!$B$5*(1-Assumptions!$B$21-Assumptions!$B$22)),(C50+(Assumptions!$B$26*Assumptions!$B$27*Assumptions!$B$23+Assumptions!$B$27*Assumptions!$B$24+Assumptions!$B$26*Assumptions!$B$28*Assumptions!$B$23*1.5)*(1+Assumptions!$B$25))/(Assumptions!$B$5*(1-Assumptions!$B$22)))</f>
        <v>991.691188778618</v>
      </c>
      <c r="D67" s="21" t="n">
        <f aca="false">IF(Assumptions!$B$20=1,D50/(Assumptions!$B$5*(1-Assumptions!$B$21-Assumptions!$B$22)),(D50+(Assumptions!$B$26*Assumptions!$B$27*Assumptions!$B$23+Assumptions!$B$27*Assumptions!$B$24+Assumptions!$B$26*Assumptions!$B$28*Assumptions!$B$23*1.5)*(1+Assumptions!$B$25))/(Assumptions!$B$5*(1-Assumptions!$B$22)))</f>
        <v>991.691188778618</v>
      </c>
      <c r="E67" s="21" t="n">
        <f aca="false">IF(Assumptions!$B$20=1,E50/(Assumptions!$B$5*(1-Assumptions!$B$21-Assumptions!$B$22)),(E50+(Assumptions!$B$26*Assumptions!$B$27*Assumptions!$B$23+Assumptions!$B$27*Assumptions!$B$24+Assumptions!$B$26*Assumptions!$B$28*Assumptions!$B$23*1.5)*(1+Assumptions!$B$25))/(Assumptions!$B$5*(1-Assumptions!$B$22)))</f>
        <v>935.725893977001</v>
      </c>
      <c r="F67" s="21" t="n">
        <f aca="false">IF(Assumptions!$B$20=1,F50/(Assumptions!$B$5*(1-Assumptions!$B$21-Assumptions!$B$22)),(F50+(Assumptions!$B$26*Assumptions!$B$27*Assumptions!$B$23+Assumptions!$B$27*Assumptions!$B$24+Assumptions!$B$26*Assumptions!$B$28*Assumptions!$B$23*1.5)*(1+Assumptions!$B$25))/(Assumptions!$B$5*(1-Assumptions!$B$22)))</f>
        <v>935.725893977001</v>
      </c>
      <c r="G67" s="21" t="n">
        <f aca="false">IF(Assumptions!$B$20=1,G50/(Assumptions!$B$5*(1-Assumptions!$B$21-Assumptions!$B$22)),(G50+(Assumptions!$B$26*Assumptions!$B$27*Assumptions!$B$23+Assumptions!$B$27*Assumptions!$B$24+Assumptions!$B$26*Assumptions!$B$28*Assumptions!$B$23*1.5)*(1+Assumptions!$B$25))/(Assumptions!$B$5*(1-Assumptions!$B$22)))</f>
        <v>935.725893977001</v>
      </c>
      <c r="H67" s="21" t="n">
        <f aca="false">IF(Assumptions!$B$20=1,H50/(Assumptions!$B$5*(1-Assumptions!$B$21-Assumptions!$B$22)),(H50+(Assumptions!$B$26*Assumptions!$B$27*Assumptions!$B$23+Assumptions!$B$27*Assumptions!$B$24+Assumptions!$B$26*Assumptions!$B$28*Assumptions!$B$23*1.5)*(1+Assumptions!$B$25))/(Assumptions!$B$5*(1-Assumptions!$B$22)))</f>
        <v>935.725893977001</v>
      </c>
      <c r="I67" s="21" t="n">
        <f aca="false">IF(Assumptions!$B$20=1,I50/(Assumptions!$B$5*(1-Assumptions!$B$21-Assumptions!$B$22)),(I50+(Assumptions!$B$26*Assumptions!$B$27*Assumptions!$B$23+Assumptions!$B$27*Assumptions!$B$24+Assumptions!$B$26*Assumptions!$B$28*Assumptions!$B$23*1.5)*(1+Assumptions!$B$25))/(Assumptions!$B$5*(1-Assumptions!$B$22)))</f>
        <v>935.725893977001</v>
      </c>
      <c r="J67" s="21" t="n">
        <f aca="false">IF(Assumptions!$B$20=1,J50/(Assumptions!$B$5*(1-Assumptions!$B$21-Assumptions!$B$22)),(J50+(Assumptions!$B$26*Assumptions!$B$27*Assumptions!$B$23+Assumptions!$B$27*Assumptions!$B$24+Assumptions!$B$26*Assumptions!$B$28*Assumptions!$B$23*1.5)*(1+Assumptions!$B$25))/(Assumptions!$B$5*(1-Assumptions!$B$22)))</f>
        <v>935.725893977001</v>
      </c>
      <c r="K67" s="21" t="n">
        <f aca="false">IF(Assumptions!$B$20=1,K50/(Assumptions!$B$5*(1-Assumptions!$B$21-Assumptions!$B$22)),(K50+(Assumptions!$B$26*Assumptions!$B$27*Assumptions!$B$23+Assumptions!$B$27*Assumptions!$B$24+Assumptions!$B$26*Assumptions!$B$28*Assumptions!$B$23*1.5)*(1+Assumptions!$B$25))/(Assumptions!$B$5*(1-Assumptions!$B$22)))</f>
        <v>935.725893977001</v>
      </c>
      <c r="L67" s="21" t="n">
        <f aca="false">IF(Assumptions!$B$20=1,L50/(Assumptions!$B$5*(1-Assumptions!$B$21-Assumptions!$B$22)),(L50+(Assumptions!$B$26*Assumptions!$B$27*Assumptions!$B$23+Assumptions!$B$27*Assumptions!$B$24+Assumptions!$B$26*Assumptions!$B$28*Assumptions!$B$23*1.5)*(1+Assumptions!$B$25))/(Assumptions!$B$5*(1-Assumptions!$B$22)))</f>
        <v>935.725893977001</v>
      </c>
      <c r="M67" s="21" t="n">
        <f aca="false">IF(Assumptions!$B$20=1,M50/(Assumptions!$B$5*(1-Assumptions!$B$21-Assumptions!$B$22)),(M50+(Assumptions!$B$26*Assumptions!$B$27*Assumptions!$B$23+Assumptions!$B$27*Assumptions!$B$24+Assumptions!$B$26*Assumptions!$B$28*Assumptions!$B$23*1.5)*(1+Assumptions!$B$25))/(Assumptions!$B$5*(1-Assumptions!$B$22)))</f>
        <v>935.725893977001</v>
      </c>
      <c r="N67" s="21" t="n">
        <f aca="false">IF(Assumptions!$B$20=1,N50/(Assumptions!$B$5*(1-Assumptions!$B$21-Assumptions!$B$22)),(N50+(Assumptions!$B$26*Assumptions!$B$27*Assumptions!$B$23+Assumptions!$B$27*Assumptions!$B$24+Assumptions!$B$26*Assumptions!$B$28*Assumptions!$B$23*1.5)*(1+Assumptions!$B$25))/(Assumptions!$B$5*(1-Assumptions!$B$22)))</f>
        <v>935.725893977001</v>
      </c>
      <c r="O67" s="21" t="n">
        <f aca="false">IF(Assumptions!$B$20=1,O50/(Assumptions!$B$5*(1-Assumptions!$B$21-Assumptions!$B$22)),(O50+(Assumptions!$B$26*Assumptions!$B$27*Assumptions!$B$23+Assumptions!$B$27*Assumptions!$B$24+Assumptions!$B$26*Assumptions!$B$28*Assumptions!$B$23*1.5)*(1+Assumptions!$B$25))/(Assumptions!$B$5*(1-Assumptions!$B$22)))</f>
        <v>935.725893977001</v>
      </c>
      <c r="P67" s="21" t="n">
        <f aca="false">IF(Assumptions!$B$20=1,P50/(Assumptions!$B$5*(1-Assumptions!$B$21-Assumptions!$B$22)),(P50+(Assumptions!$B$26*Assumptions!$B$27*Assumptions!$B$23+Assumptions!$B$27*Assumptions!$B$24+Assumptions!$B$26*Assumptions!$B$28*Assumptions!$B$23*1.5)*(1+Assumptions!$B$25))/(Assumptions!$B$5*(1-Assumptions!$B$22)))</f>
        <v>935.725893977001</v>
      </c>
      <c r="Q67" s="21" t="n">
        <f aca="false">IF(Assumptions!$B$20=1,Q50/(Assumptions!$B$5*(1-Assumptions!$B$21-Assumptions!$B$22)),(Q50+(Assumptions!$B$26*Assumptions!$B$27*Assumptions!$B$23+Assumptions!$B$27*Assumptions!$B$24+Assumptions!$B$26*Assumptions!$B$28*Assumptions!$B$23*1.5)*(1+Assumptions!$B$25))/(Assumptions!$B$5*(1-Assumptions!$B$22)))</f>
        <v>935.725893977001</v>
      </c>
      <c r="R67" s="21" t="n">
        <f aca="false">IF(Assumptions!$B$20=1,R50/(Assumptions!$B$5*(1-Assumptions!$B$21-Assumptions!$B$22)),(R50+(Assumptions!$B$26*Assumptions!$B$27*Assumptions!$B$23+Assumptions!$B$27*Assumptions!$B$24+Assumptions!$B$26*Assumptions!$B$28*Assumptions!$B$23*1.5)*(1+Assumptions!$B$25))/(Assumptions!$B$5*(1-Assumptions!$B$22)))</f>
        <v>935.725893977001</v>
      </c>
      <c r="S67" s="21" t="n">
        <f aca="false">IF(Assumptions!$B$20=1,S50/(Assumptions!$B$5*(1-Assumptions!$B$21-Assumptions!$B$22)),(S50+(Assumptions!$B$26*Assumptions!$B$27*Assumptions!$B$23+Assumptions!$B$27*Assumptions!$B$24+Assumptions!$B$26*Assumptions!$B$28*Assumptions!$B$23*1.5)*(1+Assumptions!$B$25))/(Assumptions!$B$5*(1-Assumptions!$B$22)))</f>
        <v>935.725893977001</v>
      </c>
      <c r="T67" s="21" t="n">
        <f aca="false">IF(Assumptions!$B$20=1,T50/(Assumptions!$B$5*(1-Assumptions!$B$21-Assumptions!$B$22)),(T50+(Assumptions!$B$26*Assumptions!$B$27*Assumptions!$B$23+Assumptions!$B$27*Assumptions!$B$24+Assumptions!$B$26*Assumptions!$B$28*Assumptions!$B$23*1.5)*(1+Assumptions!$B$25))/(Assumptions!$B$5*(1-Assumptions!$B$22)))</f>
        <v>935.725893977001</v>
      </c>
      <c r="U67" s="21" t="n">
        <f aca="false">IF(Assumptions!$B$20=1,U50/(Assumptions!$B$5*(1-Assumptions!$B$21-Assumptions!$B$22)),(U50+(Assumptions!$B$26*Assumptions!$B$27*Assumptions!$B$23+Assumptions!$B$27*Assumptions!$B$24+Assumptions!$B$26*Assumptions!$B$28*Assumptions!$B$23*1.5)*(1+Assumptions!$B$25))/(Assumptions!$B$5*(1-Assumptions!$B$22)))</f>
        <v>935.725893977001</v>
      </c>
      <c r="V67" s="21" t="n">
        <f aca="false">IF(Assumptions!$B$20=1,V50/(Assumptions!$B$5*(1-Assumptions!$B$21-Assumptions!$B$22)),(V50+(Assumptions!$B$26*Assumptions!$B$27*Assumptions!$B$23+Assumptions!$B$27*Assumptions!$B$24+Assumptions!$B$26*Assumptions!$B$28*Assumptions!$B$23*1.5)*(1+Assumptions!$B$25))/(Assumptions!$B$5*(1-Assumptions!$B$22)))</f>
        <v>935.725893977001</v>
      </c>
      <c r="W67" s="21" t="n">
        <f aca="false">IF(Assumptions!$B$20=1,W50/(Assumptions!$B$5*(1-Assumptions!$B$21-Assumptions!$B$22)),(W50+(Assumptions!$B$26*Assumptions!$B$27*Assumptions!$B$23+Assumptions!$B$27*Assumptions!$B$24+Assumptions!$B$26*Assumptions!$B$28*Assumptions!$B$23*1.5)*(1+Assumptions!$B$25))/(Assumptions!$B$5*(1-Assumptions!$B$22)))</f>
        <v>935.725893977001</v>
      </c>
      <c r="X67" s="21" t="n">
        <f aca="false">IF(Assumptions!$B$20=1,X50/(Assumptions!$B$5*(1-Assumptions!$B$21-Assumptions!$B$22)),(X50+(Assumptions!$B$26*Assumptions!$B$27*Assumptions!$B$23+Assumptions!$B$27*Assumptions!$B$24+Assumptions!$B$26*Assumptions!$B$28*Assumptions!$B$23*1.5)*(1+Assumptions!$B$25))/(Assumptions!$B$5*(1-Assumptions!$B$22)))</f>
        <v>935.725893977001</v>
      </c>
      <c r="Y67" s="21" t="n">
        <f aca="false">IF(Assumptions!$B$20=1,Y50/(Assumptions!$B$5*(1-Assumptions!$B$21-Assumptions!$B$22)),(Y50+(Assumptions!$B$26*Assumptions!$B$27*Assumptions!$B$23+Assumptions!$B$27*Assumptions!$B$24+Assumptions!$B$26*Assumptions!$B$28*Assumptions!$B$23*1.5)*(1+Assumptions!$B$25))/(Assumptions!$B$5*(1-Assumptions!$B$22)))</f>
        <v>935.725893977001</v>
      </c>
      <c r="Z67" s="3"/>
      <c r="AA67" s="3"/>
      <c r="AB67" s="3"/>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6"/>
    <col collapsed="false" customWidth="true" hidden="false" outlineLevel="0" max="3" min="3" style="1" width="60"/>
  </cols>
  <sheetData>
    <row r="1" customFormat="false" ht="17.35" hidden="false" customHeight="false" outlineLevel="0" collapsed="false">
      <c r="A1" s="2" t="s">
        <v>401</v>
      </c>
      <c r="B1" s="3"/>
      <c r="C1" s="3"/>
    </row>
    <row r="2" customFormat="false" ht="15" hidden="false" customHeight="false" outlineLevel="0" collapsed="false">
      <c r="A2" s="5" t="s">
        <v>402</v>
      </c>
      <c r="B2" s="6"/>
      <c r="C2" s="3"/>
    </row>
    <row r="3" customFormat="false" ht="15" hidden="false" customHeight="false" outlineLevel="0" collapsed="false">
      <c r="A3" s="3" t="s">
        <v>403</v>
      </c>
      <c r="B3" s="26" t="n">
        <f aca="false">Assumptions!$B$17</f>
        <v>100</v>
      </c>
      <c r="C3" s="3"/>
    </row>
    <row r="4" customFormat="false" ht="15" hidden="false" customHeight="false" outlineLevel="0" collapsed="false">
      <c r="A4" s="3" t="s">
        <v>404</v>
      </c>
      <c r="B4" s="27" t="n">
        <f aca="false">B3*Assumptions!$B$5</f>
        <v>5000</v>
      </c>
      <c r="C4" s="3"/>
    </row>
    <row r="5" customFormat="false" ht="15" hidden="false" customHeight="false" outlineLevel="0" collapsed="false">
      <c r="A5" s="3" t="s">
        <v>405</v>
      </c>
      <c r="B5" s="27" t="n">
        <f aca="false">B3/Assumptions!$B$13*(Assumptions!$B$26*Assumptions!$B$27*Assumptions!$B$23+Assumptions!$B$27*Assumptions!$B$24+Assumptions!$B$26*Assumptions!$B$28*Assumptions!$B$23*1.5)*(1+Assumptions!$B$25)</f>
        <v>1544.89</v>
      </c>
      <c r="C5" s="3"/>
    </row>
    <row r="6" customFormat="false" ht="15" hidden="false" customHeight="false" outlineLevel="0" collapsed="false">
      <c r="A6" s="3" t="s">
        <v>406</v>
      </c>
      <c r="B6" s="27" t="n">
        <f aca="false">B4*Assumptions!$B$22</f>
        <v>1000</v>
      </c>
      <c r="C6" s="3"/>
    </row>
    <row r="7" customFormat="false" ht="15" hidden="false" customHeight="false" outlineLevel="0" collapsed="false">
      <c r="A7" s="3" t="s">
        <v>407</v>
      </c>
      <c r="B7" s="17" t="n">
        <f aca="false">B4-B5-B6</f>
        <v>2455.11</v>
      </c>
      <c r="C7" s="3"/>
    </row>
    <row r="8" customFormat="false" ht="15" hidden="false" customHeight="false" outlineLevel="0" collapsed="false">
      <c r="A8" s="3" t="s">
        <v>408</v>
      </c>
      <c r="B8" s="23" t="n">
        <f aca="false">B7/B4</f>
        <v>0.491022</v>
      </c>
      <c r="C8" s="3"/>
    </row>
    <row r="9" customFormat="false" ht="15" hidden="false" customHeight="false" outlineLevel="0" collapsed="false">
      <c r="A9" s="3" t="s">
        <v>409</v>
      </c>
      <c r="B9" s="28" t="n">
        <f aca="false">B3/(Assumptions!$B$13/Assumptions!$B$10)</f>
        <v>2.33333333333333</v>
      </c>
      <c r="C9" s="3"/>
    </row>
    <row r="10" customFormat="false" ht="15" hidden="false" customHeight="false" outlineLevel="0" collapsed="false">
      <c r="A10" s="5" t="s">
        <v>410</v>
      </c>
      <c r="B10" s="6"/>
      <c r="C10" s="3"/>
    </row>
    <row r="11" customFormat="false" ht="15" hidden="false" customHeight="false" outlineLevel="0" collapsed="false">
      <c r="A11" s="3" t="s">
        <v>411</v>
      </c>
      <c r="B11" s="26" t="n">
        <f aca="false">Assumptions!$B$13</f>
        <v>900</v>
      </c>
      <c r="C11" s="3"/>
    </row>
    <row r="12" customFormat="false" ht="15" hidden="false" customHeight="false" outlineLevel="0" collapsed="false">
      <c r="A12" s="3" t="s">
        <v>393</v>
      </c>
      <c r="B12" s="27" t="n">
        <f aca="false">B11*Assumptions!$B$5</f>
        <v>45000</v>
      </c>
      <c r="C12" s="3"/>
    </row>
    <row r="13" customFormat="false" ht="15" hidden="false" customHeight="false" outlineLevel="0" collapsed="false">
      <c r="A13" s="3" t="s">
        <v>412</v>
      </c>
      <c r="B13" s="27" t="n">
        <f aca="false">Assumptions!$B$26*Assumptions!$B$27*Assumptions!$B$23+Assumptions!$B$27*Assumptions!$B$24+Assumptions!$B$26*Assumptions!$B$28*Assumptions!$B$23*1.5</f>
        <v>12196.5</v>
      </c>
      <c r="C13" s="3"/>
    </row>
    <row r="14" customFormat="false" ht="15" hidden="false" customHeight="false" outlineLevel="0" collapsed="false">
      <c r="A14" s="3" t="s">
        <v>413</v>
      </c>
      <c r="B14" s="27" t="n">
        <f aca="false">B13*(1+Assumptions!$B$25)</f>
        <v>13904.01</v>
      </c>
      <c r="C14" s="3"/>
    </row>
    <row r="15" customFormat="false" ht="15" hidden="false" customHeight="false" outlineLevel="0" collapsed="false">
      <c r="A15" s="3" t="s">
        <v>414</v>
      </c>
      <c r="B15" s="23" t="n">
        <f aca="false">B14/B12</f>
        <v>0.308978</v>
      </c>
      <c r="C15" s="8" t="s">
        <v>415</v>
      </c>
    </row>
    <row r="16" customFormat="false" ht="15" hidden="false" customHeight="false" outlineLevel="0" collapsed="false">
      <c r="A16" s="3" t="s">
        <v>416</v>
      </c>
      <c r="B16" s="27" t="n">
        <f aca="false">B12*(1-Assumptions!$B$22)-B14</f>
        <v>22095.99</v>
      </c>
      <c r="C16" s="3"/>
    </row>
    <row r="17" customFormat="false" ht="15" hidden="false" customHeight="false" outlineLevel="0" collapsed="false">
      <c r="A17" s="5" t="s">
        <v>417</v>
      </c>
      <c r="B17" s="6"/>
      <c r="C17" s="3"/>
    </row>
    <row r="18" customFormat="false" ht="15" hidden="false" customHeight="false" outlineLevel="0" collapsed="false">
      <c r="A18" s="3" t="s">
        <v>418</v>
      </c>
      <c r="B18" s="27" t="n">
        <f aca="false">Assumptions!$B$30</f>
        <v>249</v>
      </c>
      <c r="C18" s="3"/>
    </row>
    <row r="19" customFormat="false" ht="15" hidden="false" customHeight="false" outlineLevel="0" collapsed="false">
      <c r="A19" s="3" t="s">
        <v>419</v>
      </c>
      <c r="B19" s="27" t="n">
        <f aca="false">Assumptions!$B$37</f>
        <v>70</v>
      </c>
      <c r="C19" s="3"/>
    </row>
    <row r="20" customFormat="false" ht="15" hidden="false" customHeight="false" outlineLevel="0" collapsed="false">
      <c r="A20" s="3" t="s">
        <v>420</v>
      </c>
      <c r="B20" s="17" t="n">
        <f aca="false">B18-B19</f>
        <v>179</v>
      </c>
      <c r="C20" s="3"/>
    </row>
    <row r="21" customFormat="false" ht="15" hidden="false" customHeight="false" outlineLevel="0" collapsed="false">
      <c r="A21" s="3" t="s">
        <v>421</v>
      </c>
      <c r="B21" s="23" t="n">
        <f aca="false">B20/B18</f>
        <v>0.718875502008032</v>
      </c>
      <c r="C21" s="3"/>
    </row>
    <row r="22" customFormat="false" ht="15" hidden="false" customHeight="false" outlineLevel="0" collapsed="false">
      <c r="A22" s="3" t="s">
        <v>422</v>
      </c>
      <c r="B22" s="26" t="n">
        <f aca="false">5*Assumptions!$B$33</f>
        <v>3.75</v>
      </c>
      <c r="C22" s="3"/>
    </row>
    <row r="23" customFormat="false" ht="15" hidden="false" customHeight="false" outlineLevel="0" collapsed="false">
      <c r="A23" s="3" t="s">
        <v>423</v>
      </c>
      <c r="B23" s="17" t="n">
        <f aca="false">B20*B22</f>
        <v>671.25</v>
      </c>
      <c r="C23" s="3"/>
    </row>
    <row r="24" customFormat="false" ht="15" hidden="false" customHeight="false" outlineLevel="0" collapsed="false">
      <c r="A24" s="3" t="s">
        <v>424</v>
      </c>
      <c r="B24" s="17" t="n">
        <f aca="false">0.25*B7</f>
        <v>613.7775</v>
      </c>
      <c r="C24" s="8" t="s">
        <v>425</v>
      </c>
    </row>
    <row r="25" customFormat="false" ht="15" hidden="false" customHeight="false" outlineLevel="0" collapsed="false">
      <c r="A25" s="5" t="s">
        <v>426</v>
      </c>
      <c r="B25" s="6"/>
      <c r="C25" s="3"/>
    </row>
    <row r="26" customFormat="false" ht="15" hidden="false" customHeight="false" outlineLevel="0" collapsed="false">
      <c r="A26" s="3" t="s">
        <v>427</v>
      </c>
      <c r="B26" s="26" t="n">
        <f aca="false">Assumptions!$B$6</f>
        <v>400</v>
      </c>
      <c r="C26" s="3"/>
    </row>
    <row r="27" customFormat="false" ht="15" hidden="false" customHeight="false" outlineLevel="0" collapsed="false">
      <c r="A27" s="3" t="s">
        <v>428</v>
      </c>
      <c r="B27" s="27" t="n">
        <f aca="false">B26*Assumptions!$B$5+MAX(0,Assumptions!$B$10-B26/Assumptions!$B$11)*Assumptions!$B$12</f>
        <v>31697.6744186047</v>
      </c>
      <c r="C27" s="3"/>
    </row>
    <row r="28" customFormat="false" ht="15" hidden="false" customHeight="false" outlineLevel="0" collapsed="false">
      <c r="A28" s="3" t="s">
        <v>429</v>
      </c>
      <c r="B28" s="27" t="n">
        <f aca="false">B27/Assumptions!$B$10</f>
        <v>1509.4130675526</v>
      </c>
      <c r="C28" s="3" t="s">
        <v>430</v>
      </c>
    </row>
    <row r="29" customFormat="false" ht="15" hidden="false" customHeight="false" outlineLevel="0" collapsed="false">
      <c r="A29" s="3" t="s">
        <v>431</v>
      </c>
      <c r="B29" s="23" t="n">
        <f aca="false">B14/B27</f>
        <v>0.438644482758621</v>
      </c>
      <c r="C29" s="3" t="s">
        <v>432</v>
      </c>
    </row>
    <row r="30" customFormat="false" ht="15" hidden="false" customHeight="false" outlineLevel="0" collapsed="false">
      <c r="A30" s="3" t="s">
        <v>433</v>
      </c>
      <c r="B30" s="23" t="n">
        <f aca="false">B15</f>
        <v>0.308978</v>
      </c>
      <c r="C30" s="3"/>
    </row>
    <row r="31" customFormat="false" ht="15" hidden="false" customHeight="false" outlineLevel="0" collapsed="false">
      <c r="A31" s="3" t="s">
        <v>434</v>
      </c>
      <c r="B31" s="27" t="n">
        <f aca="false">Assumptions!$B$78+Assumptions!$B$80+Assumptions!$B$81+Assumptions!$B$82+Assumptions!$B$83</f>
        <v>15500</v>
      </c>
      <c r="C31" s="3"/>
    </row>
    <row r="32" customFormat="false" ht="15" hidden="false" customHeight="false" outlineLevel="0" collapsed="false">
      <c r="A32" s="3" t="s">
        <v>435</v>
      </c>
      <c r="B32" s="26" t="n">
        <f aca="false">(B31+B14+Assumptions!$B$79)/(Assumptions!$B$5*(1-Assumptions!$B$22))</f>
        <v>757.60025</v>
      </c>
      <c r="C32" s="3"/>
    </row>
    <row r="33" customFormat="false" ht="15" hidden="false" customHeight="false" outlineLevel="0" collapsed="false">
      <c r="A33" s="3" t="s">
        <v>436</v>
      </c>
      <c r="B33" s="29" t="n">
        <f aca="false">B32/Assumptions!$B$13</f>
        <v>0.841778055555556</v>
      </c>
      <c r="C33" s="3"/>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4" min="2" style="1" width="18"/>
  </cols>
  <sheetData>
    <row r="1" customFormat="false" ht="17.35" hidden="false" customHeight="false" outlineLevel="0" collapsed="false">
      <c r="A1" s="2" t="s">
        <v>437</v>
      </c>
      <c r="B1" s="3"/>
      <c r="C1" s="3"/>
      <c r="D1" s="3"/>
    </row>
    <row r="2" customFormat="false" ht="15" hidden="false" customHeight="false" outlineLevel="0" collapsed="false">
      <c r="A2" s="4" t="s">
        <v>438</v>
      </c>
      <c r="B2" s="3"/>
      <c r="C2" s="3"/>
      <c r="D2" s="3"/>
    </row>
    <row r="3" customFormat="false" ht="15" hidden="false" customHeight="false" outlineLevel="0" collapsed="false">
      <c r="A3" s="3"/>
      <c r="B3" s="3"/>
      <c r="C3" s="3"/>
      <c r="D3" s="3"/>
    </row>
    <row r="4" customFormat="false" ht="15" hidden="false" customHeight="false" outlineLevel="0" collapsed="false">
      <c r="A4" s="30"/>
      <c r="B4" s="30" t="s">
        <v>439</v>
      </c>
      <c r="C4" s="30" t="s">
        <v>440</v>
      </c>
      <c r="D4" s="30" t="s">
        <v>441</v>
      </c>
    </row>
    <row r="5" customFormat="false" ht="15" hidden="false" customHeight="false" outlineLevel="0" collapsed="false">
      <c r="A5" s="3" t="s">
        <v>442</v>
      </c>
      <c r="B5" s="13" t="n">
        <v>700</v>
      </c>
      <c r="C5" s="13" t="n">
        <v>900</v>
      </c>
      <c r="D5" s="13" t="n">
        <v>1000</v>
      </c>
    </row>
    <row r="6" customFormat="false" ht="15" hidden="false" customHeight="false" outlineLevel="0" collapsed="false">
      <c r="A6" s="3" t="s">
        <v>443</v>
      </c>
      <c r="B6" s="13" t="n">
        <v>1</v>
      </c>
      <c r="C6" s="13" t="n">
        <v>2</v>
      </c>
      <c r="D6" s="13" t="n">
        <v>2</v>
      </c>
    </row>
    <row r="7" customFormat="false" ht="15" hidden="false" customHeight="false" outlineLevel="0" collapsed="false">
      <c r="A7" s="3" t="s">
        <v>444</v>
      </c>
      <c r="B7" s="11" t="n">
        <v>45</v>
      </c>
      <c r="C7" s="11" t="n">
        <v>50</v>
      </c>
      <c r="D7" s="11" t="n">
        <v>55</v>
      </c>
    </row>
    <row r="8" customFormat="false" ht="15" hidden="false" customHeight="false" outlineLevel="0" collapsed="false">
      <c r="A8" s="3" t="s">
        <v>445</v>
      </c>
      <c r="B8" s="13" t="n">
        <v>40</v>
      </c>
      <c r="C8" s="13" t="n">
        <v>90</v>
      </c>
      <c r="D8" s="13" t="n">
        <v>140</v>
      </c>
    </row>
    <row r="9" customFormat="false" ht="15" hidden="false" customHeight="false" outlineLevel="0" collapsed="false">
      <c r="A9" s="3" t="s">
        <v>446</v>
      </c>
      <c r="B9" s="17" t="n">
        <f aca="false">B5*B6*B7</f>
        <v>31500</v>
      </c>
      <c r="C9" s="17" t="n">
        <f aca="false">C5*C6*C7</f>
        <v>90000</v>
      </c>
      <c r="D9" s="17" t="n">
        <f aca="false">D5*D6*D7</f>
        <v>110000</v>
      </c>
    </row>
    <row r="10" customFormat="false" ht="15" hidden="false" customHeight="false" outlineLevel="0" collapsed="false">
      <c r="A10" s="3" t="s">
        <v>447</v>
      </c>
      <c r="B10" s="17" t="n">
        <f aca="false">B8/12*Assumptions!$B$33*Assumptions!$B$30</f>
        <v>622.5</v>
      </c>
      <c r="C10" s="17" t="n">
        <f aca="false">C8/12*Assumptions!$B$33*Assumptions!$B$30</f>
        <v>1400.625</v>
      </c>
      <c r="D10" s="17" t="n">
        <f aca="false">D8/12*Assumptions!$B$33*Assumptions!$B$30</f>
        <v>2178.75</v>
      </c>
    </row>
    <row r="11" customFormat="false" ht="15" hidden="false" customHeight="false" outlineLevel="0" collapsed="false">
      <c r="A11" s="3" t="s">
        <v>448</v>
      </c>
      <c r="B11" s="17" t="n">
        <f aca="false">B9+B10</f>
        <v>32122.5</v>
      </c>
      <c r="C11" s="17" t="n">
        <f aca="false">C9+C10</f>
        <v>91400.625</v>
      </c>
      <c r="D11" s="17" t="n">
        <f aca="false">D9+D10</f>
        <v>112178.75</v>
      </c>
    </row>
    <row r="12" customFormat="false" ht="15" hidden="false" customHeight="false" outlineLevel="0" collapsed="false">
      <c r="A12" s="3" t="s">
        <v>449</v>
      </c>
      <c r="B12" s="24" t="n">
        <f aca="false">B9*(1-Assumptions!$B$22)-B6*(Assumptions!$B$26*Assumptions!$B$27*Assumptions!$B$23+Assumptions!$B$27*Assumptions!$B$24+Assumptions!$B$26*Assumptions!$B$28*Assumptions!$B$23*1.5)*(1+Assumptions!$B$25)+B10*(1-Assumptions!$B$37/Assumptions!$B$30)</f>
        <v>11743.49</v>
      </c>
      <c r="C12" s="24" t="n">
        <f aca="false">C9*(1-Assumptions!$B$22)-C6*(Assumptions!$B$26*Assumptions!$B$27*Assumptions!$B$23+Assumptions!$B$27*Assumptions!$B$24+Assumptions!$B$26*Assumptions!$B$28*Assumptions!$B$23*1.5)*(1+Assumptions!$B$25)+C10*(1-Assumptions!$B$37/Assumptions!$B$30)</f>
        <v>45198.855</v>
      </c>
      <c r="D12" s="24" t="n">
        <f aca="false">D9*(1-Assumptions!$B$22)-D6*(Assumptions!$B$26*Assumptions!$B$27*Assumptions!$B$23+Assumptions!$B$27*Assumptions!$B$24+Assumptions!$B$26*Assumptions!$B$28*Assumptions!$B$23*1.5)*(1+Assumptions!$B$25)+D10*(1-Assumptions!$B$37/Assumptions!$B$30)</f>
        <v>61758.23</v>
      </c>
    </row>
    <row r="13" customFormat="false" ht="15" hidden="false" customHeight="false" outlineLevel="0" collapsed="false">
      <c r="A13" s="3" t="s">
        <v>450</v>
      </c>
      <c r="B13" s="17" t="n">
        <f aca="false">IF(B6=1,'Proforma 24 mo'!D50,'Proforma 24 mo'!Y50)</f>
        <v>25763.6375511447</v>
      </c>
      <c r="C13" s="17" t="n">
        <f aca="false">IF(C6=1,'Proforma 24 mo'!D50,'Proforma 24 mo'!Y50)</f>
        <v>23525.02575908</v>
      </c>
      <c r="D13" s="17" t="n">
        <f aca="false">IF(D6=1,'Proforma 24 mo'!D50,'Proforma 24 mo'!Y50)</f>
        <v>23525.02575908</v>
      </c>
    </row>
    <row r="14" customFormat="false" ht="15" hidden="false" customHeight="false" outlineLevel="0" collapsed="false">
      <c r="A14" s="3" t="s">
        <v>451</v>
      </c>
      <c r="B14" s="24" t="n">
        <f aca="false">B12-B13</f>
        <v>-14020.1475511447</v>
      </c>
      <c r="C14" s="24" t="n">
        <f aca="false">C12-C13</f>
        <v>21673.82924092</v>
      </c>
      <c r="D14" s="24" t="n">
        <f aca="false">D12-D13</f>
        <v>38233.20424092</v>
      </c>
    </row>
    <row r="15" customFormat="false" ht="15" hidden="false" customHeight="false" outlineLevel="0" collapsed="false">
      <c r="A15" s="3" t="s">
        <v>452</v>
      </c>
      <c r="B15" s="24" t="n">
        <f aca="false">B14*12</f>
        <v>-168241.770613736</v>
      </c>
      <c r="C15" s="24" t="n">
        <f aca="false">C14*12</f>
        <v>260085.95089104</v>
      </c>
      <c r="D15" s="24" t="n">
        <f aca="false">D14*12</f>
        <v>458798.45089104</v>
      </c>
    </row>
    <row r="16" customFormat="false" ht="15" hidden="false" customHeight="false" outlineLevel="0" collapsed="false">
      <c r="A16" s="3" t="s">
        <v>453</v>
      </c>
      <c r="B16" s="23" t="n">
        <f aca="false">IF(B11=0,0,B14/B11)</f>
        <v>-0.436458792159536</v>
      </c>
      <c r="C16" s="23" t="n">
        <f aca="false">IF(C11=0,0,C14/C11)</f>
        <v>0.237129989438475</v>
      </c>
      <c r="D16" s="23" t="n">
        <f aca="false">IF(D11=0,0,D14/D11)</f>
        <v>0.340823946076418</v>
      </c>
    </row>
    <row r="17" customFormat="false" ht="15" hidden="false" customHeight="false" outlineLevel="0" collapsed="false">
      <c r="A17" s="3" t="s">
        <v>454</v>
      </c>
      <c r="B17" s="21" t="n">
        <f aca="false">B5*B6/Assumptions!$B$17/Assumptions!$B$74</f>
        <v>10</v>
      </c>
      <c r="C17" s="21" t="n">
        <f aca="false">C5*C6/Assumptions!$B$17/Assumptions!$B$74</f>
        <v>25.7142857142857</v>
      </c>
      <c r="D17" s="21" t="n">
        <f aca="false">D5*D6/Assumptions!$B$17/Assumptions!$B$74</f>
        <v>28.5714285714286</v>
      </c>
    </row>
    <row r="18" customFormat="false" ht="15" hidden="false" customHeight="false" outlineLevel="0" collapsed="false">
      <c r="A18" s="3" t="s">
        <v>455</v>
      </c>
      <c r="B18" s="21" t="n">
        <f aca="false">B17/0.45</f>
        <v>22.2222222222222</v>
      </c>
      <c r="C18" s="21" t="n">
        <f aca="false">C17/0.45</f>
        <v>57.1428571428571</v>
      </c>
      <c r="D18" s="21" t="n">
        <f aca="false">D17/0.45</f>
        <v>63.4920634920635</v>
      </c>
    </row>
    <row r="19" customFormat="false" ht="15" hidden="false" customHeight="false" outlineLevel="0" collapsed="false">
      <c r="A19" s="31" t="s">
        <v>456</v>
      </c>
      <c r="B19" s="3"/>
      <c r="C19" s="3"/>
      <c r="D19" s="3"/>
    </row>
    <row r="20" customFormat="false" ht="15" hidden="false" customHeight="false" outlineLevel="0" collapsed="false">
      <c r="A20" s="8" t="s">
        <v>457</v>
      </c>
      <c r="B20" s="3"/>
      <c r="C20" s="3"/>
      <c r="D20" s="3"/>
    </row>
    <row r="21" customFormat="false" ht="15" hidden="false" customHeight="false" outlineLevel="0" collapsed="false">
      <c r="A21" s="8" t="s">
        <v>458</v>
      </c>
      <c r="B21" s="3"/>
      <c r="C21" s="3"/>
      <c r="D21" s="3"/>
    </row>
    <row r="22" customFormat="false" ht="15" hidden="false" customHeight="false" outlineLevel="0" collapsed="false">
      <c r="A22" s="8" t="s">
        <v>459</v>
      </c>
      <c r="B22" s="3"/>
      <c r="C22" s="3"/>
      <c r="D22" s="3"/>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10" min="2" style="1" width="15"/>
  </cols>
  <sheetData>
    <row r="1" customFormat="false" ht="17.35" hidden="false" customHeight="false" outlineLevel="0" collapsed="false">
      <c r="A1" s="2" t="s">
        <v>460</v>
      </c>
      <c r="B1" s="3"/>
      <c r="C1" s="3"/>
      <c r="D1" s="3"/>
      <c r="E1" s="3"/>
      <c r="F1" s="3"/>
      <c r="G1" s="3"/>
      <c r="H1" s="3"/>
      <c r="I1" s="3"/>
      <c r="J1" s="3"/>
    </row>
    <row r="2" customFormat="false" ht="15" hidden="false" customHeight="false" outlineLevel="0" collapsed="false">
      <c r="A2" s="4" t="s">
        <v>461</v>
      </c>
      <c r="B2" s="3"/>
      <c r="C2" s="3"/>
      <c r="D2" s="3"/>
      <c r="E2" s="3"/>
      <c r="F2" s="3"/>
      <c r="G2" s="3"/>
      <c r="H2" s="3"/>
      <c r="I2" s="3"/>
      <c r="J2" s="3"/>
    </row>
    <row r="3" customFormat="false" ht="15" hidden="false" customHeight="false" outlineLevel="0" collapsed="false">
      <c r="A3" s="3"/>
      <c r="B3" s="3"/>
      <c r="C3" s="3"/>
      <c r="D3" s="3"/>
      <c r="E3" s="3"/>
      <c r="F3" s="3"/>
      <c r="G3" s="3"/>
      <c r="H3" s="3"/>
      <c r="I3" s="3"/>
      <c r="J3" s="3"/>
    </row>
    <row r="4" customFormat="false" ht="35.05" hidden="false" customHeight="false" outlineLevel="0" collapsed="false">
      <c r="A4" s="32" t="s">
        <v>462</v>
      </c>
      <c r="B4" s="32" t="s">
        <v>463</v>
      </c>
      <c r="C4" s="32" t="s">
        <v>464</v>
      </c>
      <c r="D4" s="32" t="s">
        <v>465</v>
      </c>
      <c r="E4" s="32" t="s">
        <v>466</v>
      </c>
      <c r="F4" s="32" t="s">
        <v>467</v>
      </c>
      <c r="G4" s="32" t="s">
        <v>468</v>
      </c>
      <c r="H4" s="32" t="s">
        <v>469</v>
      </c>
      <c r="I4" s="32" t="s">
        <v>470</v>
      </c>
      <c r="J4" s="32" t="s">
        <v>471</v>
      </c>
    </row>
    <row r="5" customFormat="false" ht="15" hidden="false" customHeight="false" outlineLevel="0" collapsed="false">
      <c r="A5" s="3" t="s">
        <v>472</v>
      </c>
      <c r="B5" s="27" t="n">
        <f aca="false">Assumptions!$B$90</f>
        <v>50000</v>
      </c>
      <c r="C5" s="27" t="n">
        <f aca="false">Assumptions!$B$91</f>
        <v>2000</v>
      </c>
      <c r="D5" s="26" t="n">
        <f aca="false">Assumptions!$B$92</f>
        <v>3</v>
      </c>
      <c r="E5" s="17" t="n">
        <f aca="false">C5*D5</f>
        <v>6000</v>
      </c>
      <c r="F5" s="21" t="n">
        <f aca="false">Assumptions!$B$14+D5</f>
        <v>4</v>
      </c>
      <c r="G5" s="17" t="n">
        <f aca="false">B5*(1-Assumptions!$B$105)</f>
        <v>10000</v>
      </c>
      <c r="H5" s="17" t="n">
        <f aca="false">-PMT(Assumptions!$B$106/12,Assumptions!$B$107,B5*Assumptions!$B$105)</f>
        <v>830.33420905416</v>
      </c>
      <c r="I5" s="21" t="n">
        <f aca="false">F5+Assumptions!$B$107</f>
        <v>64</v>
      </c>
      <c r="J5" s="21" t="n">
        <f aca="false">IF(C5=0,"n/a",B5/C5)</f>
        <v>25</v>
      </c>
    </row>
    <row r="6" customFormat="false" ht="15" hidden="false" customHeight="false" outlineLevel="0" collapsed="false">
      <c r="A6" s="3" t="s">
        <v>473</v>
      </c>
      <c r="B6" s="27" t="n">
        <f aca="false">Assumptions!$B$93</f>
        <v>38000</v>
      </c>
      <c r="C6" s="27" t="n">
        <f aca="false">Assumptions!$B$94</f>
        <v>1700</v>
      </c>
      <c r="D6" s="26" t="n">
        <f aca="false">Assumptions!$B$95</f>
        <v>3</v>
      </c>
      <c r="E6" s="17" t="n">
        <f aca="false">C6*D6</f>
        <v>5100</v>
      </c>
      <c r="F6" s="21" t="n">
        <f aca="false">Assumptions!$B$14+D6</f>
        <v>4</v>
      </c>
      <c r="G6" s="17" t="n">
        <f aca="false">B6*(1-Assumptions!$B$105)</f>
        <v>7600</v>
      </c>
      <c r="H6" s="17" t="n">
        <f aca="false">-PMT(Assumptions!$B$106/12,Assumptions!$B$107,B6*Assumptions!$B$105)</f>
        <v>631.053998881162</v>
      </c>
      <c r="I6" s="21" t="n">
        <f aca="false">F6+Assumptions!$B$107</f>
        <v>64</v>
      </c>
      <c r="J6" s="21" t="n">
        <f aca="false">IF(C6=0,"n/a",B6/C6)</f>
        <v>22.3529411764706</v>
      </c>
    </row>
    <row r="7" customFormat="false" ht="15" hidden="false" customHeight="false" outlineLevel="0" collapsed="false">
      <c r="A7" s="3" t="s">
        <v>474</v>
      </c>
      <c r="B7" s="27" t="n">
        <f aca="false">Assumptions!$B$96</f>
        <v>9500</v>
      </c>
      <c r="C7" s="27" t="n">
        <f aca="false">Assumptions!$B$97</f>
        <v>600</v>
      </c>
      <c r="D7" s="26" t="n">
        <f aca="false">Assumptions!$B$98</f>
        <v>0</v>
      </c>
      <c r="E7" s="17" t="n">
        <f aca="false">C7*D7</f>
        <v>0</v>
      </c>
      <c r="F7" s="21" t="n">
        <f aca="false">Assumptions!$B$14+D7</f>
        <v>1</v>
      </c>
      <c r="G7" s="17" t="n">
        <f aca="false">B7*(1-Assumptions!$B$105)</f>
        <v>1900</v>
      </c>
      <c r="H7" s="17" t="n">
        <f aca="false">-PMT(Assumptions!$B$106/12,Assumptions!$B$107,B7*Assumptions!$B$105)</f>
        <v>157.76349972029</v>
      </c>
      <c r="I7" s="21" t="n">
        <f aca="false">F7+Assumptions!$B$107</f>
        <v>61</v>
      </c>
      <c r="J7" s="21" t="n">
        <f aca="false">IF(C7=0,"n/a",B7/C7)</f>
        <v>15.8333333333333</v>
      </c>
    </row>
    <row r="8" customFormat="false" ht="15" hidden="false" customHeight="false" outlineLevel="0" collapsed="false">
      <c r="A8" s="3" t="s">
        <v>475</v>
      </c>
      <c r="B8" s="27" t="n">
        <f aca="false">Assumptions!$B$99</f>
        <v>35000</v>
      </c>
      <c r="C8" s="27" t="n">
        <f aca="false">Assumptions!$B$100</f>
        <v>0</v>
      </c>
      <c r="D8" s="26" t="n">
        <f aca="false">Assumptions!$B$101</f>
        <v>0</v>
      </c>
      <c r="E8" s="17" t="n">
        <f aca="false">C8*D8</f>
        <v>0</v>
      </c>
      <c r="F8" s="21" t="n">
        <f aca="false">Assumptions!$B$14+D8</f>
        <v>1</v>
      </c>
      <c r="G8" s="17" t="n">
        <f aca="false">B8*(1-Assumptions!$B$105)</f>
        <v>7000</v>
      </c>
      <c r="H8" s="17" t="n">
        <f aca="false">-PMT(Assumptions!$B$106/12,Assumptions!$B$107,B8*Assumptions!$B$105)</f>
        <v>581.233946337912</v>
      </c>
      <c r="I8" s="21" t="n">
        <f aca="false">F8+Assumptions!$B$107</f>
        <v>61</v>
      </c>
      <c r="J8" s="21" t="str">
        <f aca="false">IF(C8=0,"n/a",B8/C8)</f>
        <v>n/a</v>
      </c>
    </row>
    <row r="9" customFormat="false" ht="15" hidden="false" customHeight="false" outlineLevel="0" collapsed="false">
      <c r="A9" s="3" t="s">
        <v>476</v>
      </c>
      <c r="B9" s="27" t="n">
        <f aca="false">Assumptions!$B$102</f>
        <v>6000</v>
      </c>
      <c r="C9" s="27" t="n">
        <f aca="false">Assumptions!$B$103</f>
        <v>0</v>
      </c>
      <c r="D9" s="26" t="n">
        <f aca="false">Assumptions!$B$104</f>
        <v>0</v>
      </c>
      <c r="E9" s="17" t="n">
        <f aca="false">C9*D9</f>
        <v>0</v>
      </c>
      <c r="F9" s="21" t="n">
        <f aca="false">Assumptions!$B$14+D9</f>
        <v>1</v>
      </c>
      <c r="G9" s="17" t="n">
        <f aca="false">B9*(1-Assumptions!$B$105)</f>
        <v>1200</v>
      </c>
      <c r="H9" s="17" t="n">
        <f aca="false">-PMT(Assumptions!$B$106/12,Assumptions!$B$107,B9*Assumptions!$B$105)</f>
        <v>99.6401050864993</v>
      </c>
      <c r="I9" s="21" t="n">
        <f aca="false">F9+Assumptions!$B$107</f>
        <v>61</v>
      </c>
      <c r="J9" s="21" t="str">
        <f aca="false">IF(C9=0,"n/a",B9/C9)</f>
        <v>n/a</v>
      </c>
    </row>
    <row r="10" customFormat="false" ht="15" hidden="false" customHeight="false" outlineLevel="0" collapsed="false">
      <c r="A10" s="18" t="s">
        <v>477</v>
      </c>
      <c r="B10" s="24" t="n">
        <f aca="false">SUM(B5:B9)</f>
        <v>138500</v>
      </c>
      <c r="C10" s="3"/>
      <c r="D10" s="3"/>
      <c r="E10" s="24" t="n">
        <f aca="false">SUM(E5:E9)</f>
        <v>11100</v>
      </c>
      <c r="F10" s="3"/>
      <c r="G10" s="24" t="n">
        <f aca="false">SUM(G5:G9)</f>
        <v>27700</v>
      </c>
      <c r="H10" s="24" t="n">
        <f aca="false">SUM(H5:H9)</f>
        <v>2300.02575908002</v>
      </c>
      <c r="I10" s="3"/>
      <c r="J10" s="3"/>
    </row>
    <row r="11" customFormat="false" ht="15" hidden="false" customHeight="false" outlineLevel="0" collapsed="false">
      <c r="A11" s="3"/>
      <c r="B11" s="3"/>
      <c r="C11" s="3"/>
      <c r="D11" s="3"/>
      <c r="E11" s="3"/>
      <c r="F11" s="3"/>
      <c r="G11" s="3"/>
      <c r="H11" s="3"/>
      <c r="I11" s="3"/>
      <c r="J11" s="3"/>
    </row>
    <row r="12" customFormat="false" ht="15" hidden="false" customHeight="false" outlineLevel="0" collapsed="false">
      <c r="A12" s="31" t="s">
        <v>478</v>
      </c>
      <c r="B12" s="3"/>
      <c r="C12" s="3"/>
      <c r="D12" s="3"/>
      <c r="E12" s="3"/>
      <c r="F12" s="3"/>
      <c r="G12" s="3"/>
      <c r="H12" s="3"/>
      <c r="I12" s="3"/>
      <c r="J12" s="3"/>
    </row>
    <row r="13" customFormat="false" ht="30" hidden="false" customHeight="true" outlineLevel="0" collapsed="false">
      <c r="A13" s="33" t="s">
        <v>479</v>
      </c>
      <c r="B13" s="33"/>
      <c r="C13" s="33"/>
      <c r="D13" s="33"/>
      <c r="E13" s="33"/>
      <c r="F13" s="33"/>
      <c r="G13" s="33"/>
      <c r="H13" s="33"/>
      <c r="I13" s="33"/>
      <c r="J13" s="33"/>
    </row>
    <row r="14" customFormat="false" ht="30" hidden="false" customHeight="true" outlineLevel="0" collapsed="false">
      <c r="A14" s="33" t="s">
        <v>480</v>
      </c>
      <c r="B14" s="33"/>
      <c r="C14" s="33"/>
      <c r="D14" s="33"/>
      <c r="E14" s="33"/>
      <c r="F14" s="33"/>
      <c r="G14" s="33"/>
      <c r="H14" s="33"/>
      <c r="I14" s="33"/>
      <c r="J14" s="33"/>
    </row>
    <row r="15" customFormat="false" ht="30" hidden="false" customHeight="true" outlineLevel="0" collapsed="false">
      <c r="A15" s="33" t="s">
        <v>481</v>
      </c>
      <c r="B15" s="33"/>
      <c r="C15" s="33"/>
      <c r="D15" s="33"/>
      <c r="E15" s="33"/>
      <c r="F15" s="33"/>
      <c r="G15" s="33"/>
      <c r="H15" s="33"/>
      <c r="I15" s="33"/>
      <c r="J15" s="33"/>
    </row>
    <row r="16" customFormat="false" ht="30" hidden="false" customHeight="true" outlineLevel="0" collapsed="false">
      <c r="A16" s="33" t="s">
        <v>482</v>
      </c>
      <c r="B16" s="33"/>
      <c r="C16" s="33"/>
      <c r="D16" s="33"/>
      <c r="E16" s="33"/>
      <c r="F16" s="33"/>
      <c r="G16" s="33"/>
      <c r="H16" s="33"/>
      <c r="I16" s="33"/>
      <c r="J16" s="33"/>
    </row>
    <row r="17" customFormat="false" ht="30" hidden="false" customHeight="true" outlineLevel="0" collapsed="false">
      <c r="A17" s="33" t="s">
        <v>483</v>
      </c>
      <c r="B17" s="33"/>
      <c r="C17" s="33"/>
      <c r="D17" s="33"/>
      <c r="E17" s="33"/>
      <c r="F17" s="33"/>
      <c r="G17" s="33"/>
      <c r="H17" s="33"/>
      <c r="I17" s="33"/>
      <c r="J17" s="33"/>
    </row>
  </sheetData>
  <sheetProtection sheet="true" password="ef11" formatCells="false" formatColumns="false" formatRows="false"/>
  <mergeCells count="5">
    <mergeCell ref="A13:J13"/>
    <mergeCell ref="A14:J14"/>
    <mergeCell ref="A15:J15"/>
    <mergeCell ref="A16:J16"/>
    <mergeCell ref="A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7" min="2" style="1" width="15"/>
    <col collapsed="false" customWidth="true" hidden="false" outlineLevel="0" max="8" min="8" style="1" width="60"/>
  </cols>
  <sheetData>
    <row r="1" customFormat="false" ht="17.35" hidden="false" customHeight="false" outlineLevel="0" collapsed="false">
      <c r="A1" s="2" t="s">
        <v>484</v>
      </c>
      <c r="B1" s="3"/>
      <c r="C1" s="3"/>
      <c r="D1" s="3"/>
      <c r="E1" s="3"/>
      <c r="F1" s="3"/>
      <c r="G1" s="3"/>
      <c r="H1" s="3"/>
    </row>
    <row r="2" customFormat="false" ht="15" hidden="false" customHeight="false" outlineLevel="0" collapsed="false">
      <c r="A2" s="4" t="s">
        <v>485</v>
      </c>
      <c r="B2" s="3"/>
      <c r="C2" s="3"/>
      <c r="D2" s="3"/>
      <c r="E2" s="3"/>
      <c r="F2" s="3"/>
      <c r="G2" s="3"/>
      <c r="H2" s="3"/>
    </row>
    <row r="3" customFormat="false" ht="15" hidden="false" customHeight="false" outlineLevel="0" collapsed="false">
      <c r="A3" s="3"/>
      <c r="B3" s="3"/>
      <c r="C3" s="3"/>
      <c r="D3" s="3"/>
      <c r="E3" s="3"/>
      <c r="F3" s="3"/>
      <c r="G3" s="3"/>
      <c r="H3" s="3"/>
    </row>
    <row r="4" customFormat="false" ht="15" hidden="false" customHeight="false" outlineLevel="0" collapsed="false">
      <c r="A4" s="30"/>
      <c r="B4" s="30" t="s">
        <v>486</v>
      </c>
      <c r="C4" s="30" t="s">
        <v>335</v>
      </c>
      <c r="D4" s="30" t="s">
        <v>336</v>
      </c>
      <c r="E4" s="30" t="s">
        <v>487</v>
      </c>
      <c r="F4" s="30" t="s">
        <v>488</v>
      </c>
      <c r="G4" s="30" t="s">
        <v>489</v>
      </c>
      <c r="H4" s="30" t="s">
        <v>490</v>
      </c>
    </row>
    <row r="5" customFormat="false" ht="15" hidden="false" customHeight="false" outlineLevel="0" collapsed="false">
      <c r="A5" s="5" t="s">
        <v>491</v>
      </c>
      <c r="B5" s="6"/>
      <c r="C5" s="6"/>
      <c r="D5" s="6"/>
      <c r="E5" s="6"/>
      <c r="F5" s="6"/>
      <c r="G5" s="6"/>
      <c r="H5" s="6"/>
    </row>
    <row r="6" customFormat="false" ht="15" hidden="false" customHeight="false" outlineLevel="0" collapsed="false">
      <c r="A6" s="20" t="s">
        <v>492</v>
      </c>
      <c r="B6" s="13" t="n">
        <v>1</v>
      </c>
      <c r="C6" s="13" t="n">
        <v>2</v>
      </c>
      <c r="D6" s="13" t="n">
        <v>2</v>
      </c>
      <c r="E6" s="13" t="n">
        <v>3</v>
      </c>
      <c r="F6" s="13" t="n">
        <v>4</v>
      </c>
      <c r="G6" s="13" t="n">
        <v>4</v>
      </c>
      <c r="H6" s="8" t="s">
        <v>493</v>
      </c>
    </row>
    <row r="7" customFormat="false" ht="15" hidden="false" customHeight="false" outlineLevel="0" collapsed="false">
      <c r="A7" s="20" t="s">
        <v>494</v>
      </c>
      <c r="B7" s="34" t="n">
        <v>1</v>
      </c>
      <c r="C7" s="34" t="n">
        <v>2</v>
      </c>
      <c r="D7" s="34" t="n">
        <v>2</v>
      </c>
      <c r="E7" s="34" t="n">
        <v>2.5</v>
      </c>
      <c r="F7" s="34" t="n">
        <v>3.5</v>
      </c>
      <c r="G7" s="34" t="n">
        <v>4</v>
      </c>
      <c r="H7" s="8" t="s">
        <v>495</v>
      </c>
    </row>
    <row r="8" customFormat="false" ht="15" hidden="false" customHeight="false" outlineLevel="0" collapsed="false">
      <c r="A8" s="20" t="s">
        <v>496</v>
      </c>
      <c r="B8" s="13" t="n">
        <v>4800</v>
      </c>
      <c r="C8" s="26" t="n">
        <f aca="false">'Proforma 24 mo'!Z17/C7</f>
        <v>9444.17070223944</v>
      </c>
      <c r="D8" s="26" t="n">
        <f aca="false">'Proforma 24 mo'!AA17/D7</f>
        <v>10785.0561897461</v>
      </c>
      <c r="E8" s="26" t="n">
        <f aca="false">Assumptions!$B$13*12*0.95</f>
        <v>10260</v>
      </c>
      <c r="F8" s="26" t="n">
        <f aca="false">Assumptions!$B$13*12*0.95</f>
        <v>10260</v>
      </c>
      <c r="G8" s="26" t="n">
        <f aca="false">Assumptions!$B$13*12*0.95</f>
        <v>10260</v>
      </c>
      <c r="H8" s="8" t="s">
        <v>497</v>
      </c>
    </row>
    <row r="9" customFormat="false" ht="15" hidden="false" customHeight="false" outlineLevel="0" collapsed="false">
      <c r="A9" s="18" t="s">
        <v>498</v>
      </c>
      <c r="B9" s="22" t="n">
        <f aca="false">B7*B8</f>
        <v>4800</v>
      </c>
      <c r="C9" s="26" t="n">
        <f aca="false">'Proforma 24 mo'!Z17</f>
        <v>18888.3414044789</v>
      </c>
      <c r="D9" s="26" t="n">
        <f aca="false">'Proforma 24 mo'!AA17</f>
        <v>21570.1123794922</v>
      </c>
      <c r="E9" s="22" t="n">
        <f aca="false">E7*E8</f>
        <v>25650</v>
      </c>
      <c r="F9" s="22" t="n">
        <f aca="false">F7*F8</f>
        <v>35910</v>
      </c>
      <c r="G9" s="22" t="n">
        <f aca="false">G7*G8</f>
        <v>41040</v>
      </c>
      <c r="H9" s="3"/>
    </row>
    <row r="10" customFormat="false" ht="15" hidden="false" customHeight="false" outlineLevel="0" collapsed="false">
      <c r="A10" s="5" t="s">
        <v>353</v>
      </c>
      <c r="B10" s="6"/>
      <c r="C10" s="6"/>
      <c r="D10" s="6"/>
      <c r="E10" s="6"/>
      <c r="F10" s="6"/>
      <c r="G10" s="6"/>
      <c r="H10" s="6"/>
    </row>
    <row r="11" customFormat="false" ht="15" hidden="false" customHeight="false" outlineLevel="0" collapsed="false">
      <c r="A11" s="20" t="s">
        <v>499</v>
      </c>
      <c r="B11" s="27" t="n">
        <f aca="false">Assumptions!$B$5</f>
        <v>50</v>
      </c>
      <c r="C11" s="27" t="n">
        <f aca="false">Assumptions!$B$5</f>
        <v>50</v>
      </c>
      <c r="D11" s="27" t="n">
        <f aca="false">Assumptions!$B$5</f>
        <v>50</v>
      </c>
      <c r="E11" s="17" t="n">
        <f aca="false">D11*1.03</f>
        <v>51.5</v>
      </c>
      <c r="F11" s="17" t="n">
        <f aca="false">E11*1.03</f>
        <v>53.045</v>
      </c>
      <c r="G11" s="17" t="n">
        <f aca="false">F11*1.03</f>
        <v>54.63635</v>
      </c>
      <c r="H11" s="3"/>
    </row>
    <row r="12" customFormat="false" ht="15" hidden="false" customHeight="false" outlineLevel="0" collapsed="false">
      <c r="A12" s="20" t="s">
        <v>500</v>
      </c>
      <c r="B12" s="17" t="n">
        <f aca="false">'Unit economics'!B27*12</f>
        <v>380372.093023256</v>
      </c>
      <c r="C12" s="27" t="n">
        <f aca="false">'Proforma 24 mo'!Z23</f>
        <v>944417.070223944</v>
      </c>
      <c r="D12" s="27" t="n">
        <f aca="false">'Proforma 24 mo'!AA23</f>
        <v>1078505.61897461</v>
      </c>
      <c r="E12" s="17" t="n">
        <f aca="false">E9*E11</f>
        <v>1320975</v>
      </c>
      <c r="F12" s="17" t="n">
        <f aca="false">F9*F11</f>
        <v>1904845.95</v>
      </c>
      <c r="G12" s="17" t="n">
        <f aca="false">G9*G11</f>
        <v>2242275.804</v>
      </c>
      <c r="H12" s="8" t="s">
        <v>501</v>
      </c>
    </row>
    <row r="13" customFormat="false" ht="15" hidden="false" customHeight="false" outlineLevel="0" collapsed="false">
      <c r="A13" s="20" t="s">
        <v>502</v>
      </c>
      <c r="B13" s="13" t="n">
        <v>0</v>
      </c>
      <c r="C13" s="26" t="n">
        <f aca="false">'Proforma 24 mo'!M25</f>
        <v>112.904581425641</v>
      </c>
      <c r="D13" s="26" t="n">
        <f aca="false">'Proforma 24 mo'!Y25</f>
        <v>232.477256082116</v>
      </c>
      <c r="E13" s="13" t="n">
        <v>355</v>
      </c>
      <c r="F13" s="13" t="n">
        <v>540</v>
      </c>
      <c r="G13" s="13" t="n">
        <v>745</v>
      </c>
      <c r="H13" s="8" t="s">
        <v>503</v>
      </c>
    </row>
    <row r="14" customFormat="false" ht="15" hidden="false" customHeight="false" outlineLevel="0" collapsed="false">
      <c r="A14" s="20" t="s">
        <v>504</v>
      </c>
      <c r="B14" s="35" t="n">
        <v>0</v>
      </c>
      <c r="C14" s="27" t="n">
        <f aca="false">'Proforma 24 mo'!Z26</f>
        <v>9579.7241478134</v>
      </c>
      <c r="D14" s="27" t="n">
        <f aca="false">'Proforma 24 mo'!AA26</f>
        <v>33603.6801133928</v>
      </c>
      <c r="E14" s="27" t="n">
        <f aca="false">(D13+E13)/2*Assumptions!$B$30</f>
        <v>73140.9183822235</v>
      </c>
      <c r="F14" s="27" t="n">
        <f aca="false">(E13+F13)/2*Assumptions!$B$30*1.03</f>
        <v>114770.325</v>
      </c>
      <c r="G14" s="27" t="n">
        <f aca="false">(F13+G13)/2*Assumptions!$B$30*1.06</f>
        <v>169581.45</v>
      </c>
      <c r="H14" s="3"/>
    </row>
    <row r="15" customFormat="false" ht="15" hidden="false" customHeight="false" outlineLevel="0" collapsed="false">
      <c r="A15" s="18" t="s">
        <v>360</v>
      </c>
      <c r="B15" s="24" t="n">
        <f aca="false">B12+B14</f>
        <v>380372.093023256</v>
      </c>
      <c r="C15" s="24" t="n">
        <f aca="false">C12+C14</f>
        <v>953996.794371757</v>
      </c>
      <c r="D15" s="24" t="n">
        <f aca="false">D12+D14</f>
        <v>1112109.299088</v>
      </c>
      <c r="E15" s="24" t="n">
        <f aca="false">E12+E14</f>
        <v>1394115.91838222</v>
      </c>
      <c r="F15" s="24" t="n">
        <f aca="false">F12+F14</f>
        <v>2019616.275</v>
      </c>
      <c r="G15" s="24" t="n">
        <f aca="false">G12+G14</f>
        <v>2411857.254</v>
      </c>
      <c r="H15" s="3"/>
    </row>
    <row r="16" customFormat="false" ht="15" hidden="false" customHeight="false" outlineLevel="0" collapsed="false">
      <c r="A16" s="5" t="s">
        <v>361</v>
      </c>
      <c r="B16" s="6"/>
      <c r="C16" s="6"/>
      <c r="D16" s="6"/>
      <c r="E16" s="6"/>
      <c r="F16" s="6"/>
      <c r="G16" s="6"/>
      <c r="H16" s="6"/>
    </row>
    <row r="17" customFormat="false" ht="15" hidden="false" customHeight="false" outlineLevel="0" collapsed="false">
      <c r="A17" s="20" t="s">
        <v>505</v>
      </c>
      <c r="B17" s="27" t="n">
        <f aca="false">B7*(Assumptions!$B$26*Assumptions!$B$27*Assumptions!$B$23+Assumptions!$B$27*Assumptions!$B$24)*(1+Assumptions!$B$25)*12</f>
        <v>166848.12</v>
      </c>
      <c r="C17" s="27" t="n">
        <f aca="false">'Proforma 24 mo'!Z30</f>
        <v>333696.24</v>
      </c>
      <c r="D17" s="27" t="n">
        <f aca="false">'Proforma 24 mo'!AA30</f>
        <v>333696.24</v>
      </c>
      <c r="E17" s="27" t="n">
        <f aca="false">E7*(Assumptions!$B$26*Assumptions!$B$27*Assumptions!$B$23+Assumptions!$B$27*Assumptions!$B$24)*(1+Assumptions!$B$25)*12*1.03</f>
        <v>429633.909</v>
      </c>
      <c r="F17" s="27" t="n">
        <f aca="false">F7*(Assumptions!$B$26*Assumptions!$B$27*Assumptions!$B$23+Assumptions!$B$27*Assumptions!$B$24)*(1+Assumptions!$B$25)*12*1.03^2</f>
        <v>619532.096778</v>
      </c>
      <c r="G17" s="27" t="n">
        <f aca="false">G7*(Assumptions!$B$26*Assumptions!$B$27*Assumptions!$B$23+Assumptions!$B$27*Assumptions!$B$24)*(1+Assumptions!$B$25)*12*1.03^3</f>
        <v>729277.78249296</v>
      </c>
      <c r="H17" s="8" t="s">
        <v>506</v>
      </c>
    </row>
    <row r="18" customFormat="false" ht="15" hidden="false" customHeight="false" outlineLevel="0" collapsed="false">
      <c r="A18" s="20" t="s">
        <v>364</v>
      </c>
      <c r="B18" s="27" t="n">
        <f aca="false">B12*Assumptions!$B$22</f>
        <v>76074.4186046512</v>
      </c>
      <c r="C18" s="27" t="n">
        <f aca="false">'Proforma 24 mo'!Z31</f>
        <v>188883.414044789</v>
      </c>
      <c r="D18" s="27" t="n">
        <f aca="false">'Proforma 24 mo'!AA31</f>
        <v>215701.123794922</v>
      </c>
      <c r="E18" s="27" t="n">
        <f aca="false">E12*Assumptions!$B$22</f>
        <v>264195</v>
      </c>
      <c r="F18" s="27" t="n">
        <f aca="false">F12*Assumptions!$B$22</f>
        <v>380969.19</v>
      </c>
      <c r="G18" s="27" t="n">
        <f aca="false">G12*Assumptions!$B$22</f>
        <v>448455.1608</v>
      </c>
      <c r="H18" s="3"/>
    </row>
    <row r="19" customFormat="false" ht="15" hidden="false" customHeight="false" outlineLevel="0" collapsed="false">
      <c r="A19" s="20" t="s">
        <v>507</v>
      </c>
      <c r="B19" s="35" t="n">
        <v>0</v>
      </c>
      <c r="C19" s="27" t="n">
        <f aca="false">'Proforma 24 mo'!Z32</f>
        <v>2693.09514195557</v>
      </c>
      <c r="D19" s="27" t="n">
        <f aca="false">'Proforma 24 mo'!AA32</f>
        <v>9446.81770256023</v>
      </c>
      <c r="E19" s="27" t="n">
        <f aca="false">E14/Assumptions!$B$30*Assumptions!$B$37</f>
        <v>20561.7039628741</v>
      </c>
      <c r="F19" s="27" t="n">
        <f aca="false">F14/Assumptions!$B$30/1.03*Assumptions!$B$37</f>
        <v>31325</v>
      </c>
      <c r="G19" s="27" t="n">
        <f aca="false">G14/Assumptions!$B$30/1.06*Assumptions!$B$37</f>
        <v>44975</v>
      </c>
      <c r="H19" s="3"/>
    </row>
    <row r="20" customFormat="false" ht="15" hidden="false" customHeight="false" outlineLevel="0" collapsed="false">
      <c r="A20" s="18" t="s">
        <v>367</v>
      </c>
      <c r="B20" s="24" t="n">
        <f aca="false">B15-B17-B18-B19</f>
        <v>137449.554418605</v>
      </c>
      <c r="C20" s="24" t="n">
        <f aca="false">C15-C17-C18-C19</f>
        <v>428724.045185013</v>
      </c>
      <c r="D20" s="24" t="n">
        <f aca="false">D15-D17-D18-D19</f>
        <v>553265.117590519</v>
      </c>
      <c r="E20" s="24" t="n">
        <f aca="false">E15-E17-E18-E19</f>
        <v>679725.30541935</v>
      </c>
      <c r="F20" s="24" t="n">
        <f aca="false">F15-F17-F18-F19</f>
        <v>987789.988222</v>
      </c>
      <c r="G20" s="24" t="n">
        <f aca="false">G15-G17-G18-G19</f>
        <v>1189149.31070704</v>
      </c>
      <c r="H20" s="3"/>
    </row>
    <row r="21" customFormat="false" ht="15" hidden="false" customHeight="false" outlineLevel="0" collapsed="false">
      <c r="A21" s="20" t="s">
        <v>408</v>
      </c>
      <c r="B21" s="23" t="n">
        <f aca="false">IF(B15=0,0,B20/B15)</f>
        <v>0.361355517241379</v>
      </c>
      <c r="C21" s="23" t="n">
        <f aca="false">IF(C15=0,0,C20/C15)</f>
        <v>0.449397783844068</v>
      </c>
      <c r="D21" s="23" t="n">
        <f aca="false">IF(D15=0,0,D20/D15)</f>
        <v>0.497491674644058</v>
      </c>
      <c r="E21" s="23" t="n">
        <f aca="false">IF(E15=0,0,E20/E15)</f>
        <v>0.487567279346558</v>
      </c>
      <c r="F21" s="23" t="n">
        <f aca="false">IF(F15=0,0,F20/F15)</f>
        <v>0.489097855097251</v>
      </c>
      <c r="G21" s="23" t="n">
        <f aca="false">IF(G15=0,0,G20/G15)</f>
        <v>0.493042989478282</v>
      </c>
      <c r="H21" s="3"/>
    </row>
    <row r="22" customFormat="false" ht="15" hidden="false" customHeight="false" outlineLevel="0" collapsed="false">
      <c r="A22" s="5" t="s">
        <v>508</v>
      </c>
      <c r="B22" s="6"/>
      <c r="C22" s="6"/>
      <c r="D22" s="6"/>
      <c r="E22" s="6"/>
      <c r="F22" s="6"/>
      <c r="G22" s="6"/>
      <c r="H22" s="6"/>
    </row>
    <row r="23" customFormat="false" ht="15" hidden="false" customHeight="false" outlineLevel="0" collapsed="false">
      <c r="A23" s="20" t="s">
        <v>509</v>
      </c>
      <c r="B23" s="27" t="n">
        <f aca="false">Assumptions!$B$78*12</f>
        <v>150000</v>
      </c>
      <c r="C23" s="27" t="n">
        <f aca="false">Assumptions!$B$78*12</f>
        <v>150000</v>
      </c>
      <c r="D23" s="27" t="n">
        <f aca="false">Assumptions!$B$78*12</f>
        <v>150000</v>
      </c>
      <c r="E23" s="27" t="n">
        <f aca="false">Assumptions!$B$78*12*1.16667</f>
        <v>175000.5</v>
      </c>
      <c r="F23" s="27" t="n">
        <f aca="false">Assumptions!$B$78*12*1.33333</f>
        <v>199999.5</v>
      </c>
      <c r="G23" s="27" t="n">
        <f aca="false">Assumptions!$B$78*12*1.5</f>
        <v>225000</v>
      </c>
      <c r="H23" s="8" t="s">
        <v>510</v>
      </c>
    </row>
    <row r="24" customFormat="false" ht="15" hidden="false" customHeight="false" outlineLevel="0" collapsed="false">
      <c r="A24" s="20" t="s">
        <v>511</v>
      </c>
      <c r="B24" s="11" t="n">
        <v>0</v>
      </c>
      <c r="C24" s="11" t="n">
        <v>0</v>
      </c>
      <c r="D24" s="11" t="n">
        <v>24000</v>
      </c>
      <c r="E24" s="11" t="n">
        <v>42000</v>
      </c>
      <c r="F24" s="11" t="n">
        <v>48000</v>
      </c>
      <c r="G24" s="11" t="n">
        <v>50000</v>
      </c>
      <c r="H24" s="8" t="s">
        <v>512</v>
      </c>
    </row>
    <row r="25" customFormat="false" ht="15" hidden="false" customHeight="false" outlineLevel="0" collapsed="false">
      <c r="A25" s="20" t="s">
        <v>513</v>
      </c>
      <c r="B25" s="11" t="n">
        <v>0</v>
      </c>
      <c r="C25" s="11" t="n">
        <v>0</v>
      </c>
      <c r="D25" s="11" t="n">
        <v>0</v>
      </c>
      <c r="E25" s="11" t="n">
        <v>48750</v>
      </c>
      <c r="F25" s="11" t="n">
        <v>70000</v>
      </c>
      <c r="G25" s="11" t="n">
        <v>72000</v>
      </c>
      <c r="H25" s="8" t="s">
        <v>514</v>
      </c>
    </row>
    <row r="26" customFormat="false" ht="15" hidden="false" customHeight="false" outlineLevel="0" collapsed="false">
      <c r="A26" s="20" t="s">
        <v>515</v>
      </c>
      <c r="B26" s="11" t="n">
        <v>0</v>
      </c>
      <c r="C26" s="11" t="n">
        <v>0</v>
      </c>
      <c r="D26" s="11" t="n">
        <v>0</v>
      </c>
      <c r="E26" s="11" t="n">
        <v>0</v>
      </c>
      <c r="F26" s="11" t="n">
        <v>55000</v>
      </c>
      <c r="G26" s="11" t="n">
        <v>58000</v>
      </c>
      <c r="H26" s="8" t="s">
        <v>516</v>
      </c>
    </row>
    <row r="27" customFormat="false" ht="15" hidden="false" customHeight="false" outlineLevel="0" collapsed="false">
      <c r="A27" s="20" t="s">
        <v>517</v>
      </c>
      <c r="B27" s="11" t="n">
        <v>0</v>
      </c>
      <c r="C27" s="11" t="n">
        <v>0</v>
      </c>
      <c r="D27" s="11" t="n">
        <v>6000</v>
      </c>
      <c r="E27" s="11" t="n">
        <v>12000</v>
      </c>
      <c r="F27" s="11" t="n">
        <v>18000</v>
      </c>
      <c r="G27" s="11" t="n">
        <v>20000</v>
      </c>
      <c r="H27" s="8" t="s">
        <v>518</v>
      </c>
    </row>
    <row r="28" customFormat="false" ht="15" hidden="false" customHeight="false" outlineLevel="0" collapsed="false">
      <c r="A28" s="20" t="s">
        <v>519</v>
      </c>
      <c r="B28" s="27" t="n">
        <f aca="false">Assumptions!$B$79*12</f>
        <v>10800</v>
      </c>
      <c r="C28" s="27" t="n">
        <f aca="false">'Proforma 24 mo'!Z38</f>
        <v>10800</v>
      </c>
      <c r="D28" s="27" t="n">
        <f aca="false">'Proforma 24 mo'!AA38</f>
        <v>10800</v>
      </c>
      <c r="E28" s="27" t="n">
        <f aca="false">Assumptions!$B$79*12+9000*(E6-1)</f>
        <v>28800</v>
      </c>
      <c r="F28" s="27" t="n">
        <f aca="false">Assumptions!$B$79*12+9000*(F6-1)</f>
        <v>37800</v>
      </c>
      <c r="G28" s="27" t="n">
        <f aca="false">Assumptions!$B$79*12+9000*(G6-1)</f>
        <v>37800</v>
      </c>
      <c r="H28" s="8" t="s">
        <v>520</v>
      </c>
    </row>
    <row r="29" customFormat="false" ht="15" hidden="false" customHeight="false" outlineLevel="0" collapsed="false">
      <c r="A29" s="20" t="s">
        <v>521</v>
      </c>
      <c r="B29" s="27" t="n">
        <f aca="false">Assumptions!$B$80*12</f>
        <v>21600</v>
      </c>
      <c r="C29" s="27" t="n">
        <f aca="false">'Proforma 24 mo'!Z39+'Proforma 24 mo'!Z49</f>
        <v>44816.1444851543</v>
      </c>
      <c r="D29" s="27" t="n">
        <f aca="false">'Proforma 24 mo'!AA39+'Proforma 24 mo'!AA49</f>
        <v>49200.3091089603</v>
      </c>
      <c r="E29" s="27" t="n">
        <f aca="false">Assumptions!$B$80*12+'Equipment plan'!H10*12*(E6-1)</f>
        <v>76800.6182179206</v>
      </c>
      <c r="F29" s="27" t="n">
        <f aca="false">Assumptions!$B$80*12+'Equipment plan'!H10*12*(F6-1)</f>
        <v>104400.927326881</v>
      </c>
      <c r="G29" s="27" t="n">
        <f aca="false">Assumptions!$B$80*12+'Equipment plan'!H10*12*(G6-1)</f>
        <v>104400.927326881</v>
      </c>
      <c r="H29" s="8" t="s">
        <v>522</v>
      </c>
    </row>
    <row r="30" customFormat="false" ht="15" hidden="false" customHeight="false" outlineLevel="0" collapsed="false">
      <c r="A30" s="20" t="s">
        <v>523</v>
      </c>
      <c r="B30" s="13" t="n">
        <v>0</v>
      </c>
      <c r="C30" s="26" t="n">
        <f aca="false">Assumptions!$B$84</f>
        <v>2500</v>
      </c>
      <c r="D30" s="26" t="n">
        <f aca="false">Assumptions!$B$84</f>
        <v>2500</v>
      </c>
      <c r="E30" s="13" t="n">
        <v>3000</v>
      </c>
      <c r="F30" s="13" t="n">
        <v>4000</v>
      </c>
      <c r="G30" s="13" t="n">
        <v>4000</v>
      </c>
      <c r="H30" s="8" t="s">
        <v>524</v>
      </c>
    </row>
    <row r="31" customFormat="false" ht="15" hidden="false" customHeight="false" outlineLevel="0" collapsed="false">
      <c r="A31" s="20" t="s">
        <v>149</v>
      </c>
      <c r="B31" s="36" t="n">
        <v>0</v>
      </c>
      <c r="C31" s="37" t="n">
        <f aca="false">Assumptions!$B$85</f>
        <v>0.85</v>
      </c>
      <c r="D31" s="37" t="n">
        <f aca="false">Assumptions!$B$85</f>
        <v>0.85</v>
      </c>
      <c r="E31" s="38" t="n">
        <f aca="false">D31*1.05</f>
        <v>0.8925</v>
      </c>
      <c r="F31" s="38" t="n">
        <f aca="false">E31*1.05</f>
        <v>0.937125</v>
      </c>
      <c r="G31" s="38" t="n">
        <f aca="false">F31*1.05</f>
        <v>0.98398125</v>
      </c>
      <c r="H31" s="8" t="s">
        <v>525</v>
      </c>
    </row>
    <row r="32" customFormat="false" ht="15" hidden="false" customHeight="false" outlineLevel="0" collapsed="false">
      <c r="A32" s="20" t="s">
        <v>526</v>
      </c>
      <c r="B32" s="17" t="n">
        <f aca="false">B30*B31*12</f>
        <v>0</v>
      </c>
      <c r="C32" s="27" t="n">
        <f aca="false">'Proforma 24 mo'!Z43</f>
        <v>25500</v>
      </c>
      <c r="D32" s="27" t="n">
        <f aca="false">'Proforma 24 mo'!AA43</f>
        <v>25500</v>
      </c>
      <c r="E32" s="17" t="n">
        <f aca="false">E30*E31*12</f>
        <v>32130</v>
      </c>
      <c r="F32" s="17" t="n">
        <f aca="false">F30*F31*12</f>
        <v>44982</v>
      </c>
      <c r="G32" s="17" t="n">
        <f aca="false">G30*G31*12</f>
        <v>47231.1</v>
      </c>
      <c r="H32" s="8" t="s">
        <v>527</v>
      </c>
    </row>
    <row r="33" customFormat="false" ht="15" hidden="false" customHeight="false" outlineLevel="0" collapsed="false">
      <c r="A33" s="20" t="s">
        <v>528</v>
      </c>
      <c r="B33" s="27" t="n">
        <f aca="false">Assumptions!$B$81*12</f>
        <v>4200</v>
      </c>
      <c r="C33" s="27" t="n">
        <f aca="false">'Proforma 24 mo'!Z40</f>
        <v>4200</v>
      </c>
      <c r="D33" s="27" t="n">
        <f aca="false">'Proforma 24 mo'!AA40</f>
        <v>4200</v>
      </c>
      <c r="E33" s="17" t="n">
        <f aca="false">4200+1200*E6</f>
        <v>7800</v>
      </c>
      <c r="F33" s="17" t="n">
        <f aca="false">4200+1200*F6</f>
        <v>9000</v>
      </c>
      <c r="G33" s="17" t="n">
        <f aca="false">4200+1200*G6</f>
        <v>9000</v>
      </c>
      <c r="H33" s="3"/>
    </row>
    <row r="34" customFormat="false" ht="15" hidden="false" customHeight="false" outlineLevel="0" collapsed="false">
      <c r="A34" s="20" t="s">
        <v>529</v>
      </c>
      <c r="B34" s="27" t="n">
        <f aca="false">Assumptions!$B$82*12</f>
        <v>3000</v>
      </c>
      <c r="C34" s="27" t="n">
        <f aca="false">'Proforma 24 mo'!Z41</f>
        <v>3000</v>
      </c>
      <c r="D34" s="27" t="n">
        <f aca="false">'Proforma 24 mo'!AA41</f>
        <v>3000</v>
      </c>
      <c r="E34" s="11" t="n">
        <v>7200</v>
      </c>
      <c r="F34" s="11" t="n">
        <v>9000</v>
      </c>
      <c r="G34" s="11" t="n">
        <v>9600</v>
      </c>
      <c r="H34" s="8" t="s">
        <v>530</v>
      </c>
    </row>
    <row r="35" customFormat="false" ht="15" hidden="false" customHeight="false" outlineLevel="0" collapsed="false">
      <c r="A35" s="20" t="s">
        <v>531</v>
      </c>
      <c r="B35" s="27" t="n">
        <f aca="false">(Assumptions!$B$64+Assumptions!$B$67+Assumptions!$B$76)*12</f>
        <v>21600</v>
      </c>
      <c r="C35" s="27" t="n">
        <f aca="false">'Proforma 24 mo'!Z45+'Proforma 24 mo'!Z46+'Proforma 24 mo'!Z47</f>
        <v>31440</v>
      </c>
      <c r="D35" s="27" t="n">
        <f aca="false">'Proforma 24 mo'!AA45+'Proforma 24 mo'!AA46+'Proforma 24 mo'!AA47</f>
        <v>32400</v>
      </c>
      <c r="E35" s="17" t="n">
        <f aca="false">E15*0.05</f>
        <v>69705.7959191112</v>
      </c>
      <c r="F35" s="17" t="n">
        <f aca="false">F15*0.05</f>
        <v>100980.81375</v>
      </c>
      <c r="G35" s="17" t="n">
        <f aca="false">G15*0.045</f>
        <v>108533.57643</v>
      </c>
      <c r="H35" s="8" t="s">
        <v>532</v>
      </c>
    </row>
    <row r="36" customFormat="false" ht="15" hidden="false" customHeight="false" outlineLevel="0" collapsed="false">
      <c r="A36" s="20" t="s">
        <v>533</v>
      </c>
      <c r="B36" s="27" t="n">
        <f aca="false">Assumptions!$B$83*12</f>
        <v>7200</v>
      </c>
      <c r="C36" s="27" t="n">
        <f aca="false">'Proforma 24 mo'!Z42</f>
        <v>7200</v>
      </c>
      <c r="D36" s="27" t="n">
        <f aca="false">'Proforma 24 mo'!AA42</f>
        <v>7200</v>
      </c>
      <c r="E36" s="17" t="n">
        <f aca="false">7200+3000*E6</f>
        <v>16200</v>
      </c>
      <c r="F36" s="17" t="n">
        <f aca="false">7200+3000*F6</f>
        <v>19200</v>
      </c>
      <c r="G36" s="17" t="n">
        <f aca="false">7200+3000*G6</f>
        <v>19200</v>
      </c>
      <c r="H36" s="3"/>
    </row>
    <row r="37" customFormat="false" ht="15" hidden="false" customHeight="false" outlineLevel="0" collapsed="false">
      <c r="A37" s="20" t="s">
        <v>534</v>
      </c>
      <c r="B37" s="35" t="n">
        <v>0</v>
      </c>
      <c r="C37" s="27" t="n">
        <f aca="false">'Proforma 24 mo'!Z48</f>
        <v>15600</v>
      </c>
      <c r="D37" s="27" t="n">
        <f aca="false">'Proforma 24 mo'!AA48</f>
        <v>0</v>
      </c>
      <c r="E37" s="27" t="n">
        <f aca="false">(E6-D6)*('Equipment plan'!E10+Assumptions!$B$108)</f>
        <v>15600</v>
      </c>
      <c r="F37" s="27" t="n">
        <f aca="false">(F6-E6)*('Equipment plan'!E10+Assumptions!$B$108)</f>
        <v>15600</v>
      </c>
      <c r="G37" s="27" t="n">
        <f aca="false">(G6-F6)*('Equipment plan'!E10+Assumptions!$B$108)</f>
        <v>0</v>
      </c>
      <c r="H37" s="3"/>
    </row>
    <row r="38" customFormat="false" ht="15" hidden="false" customHeight="false" outlineLevel="0" collapsed="false">
      <c r="A38" s="5" t="s">
        <v>535</v>
      </c>
      <c r="B38" s="6"/>
      <c r="C38" s="6"/>
      <c r="D38" s="6"/>
      <c r="E38" s="6"/>
      <c r="F38" s="6"/>
      <c r="G38" s="6"/>
      <c r="H38" s="6"/>
    </row>
    <row r="39" customFormat="false" ht="15" hidden="false" customHeight="false" outlineLevel="0" collapsed="false">
      <c r="A39" s="20" t="s">
        <v>536</v>
      </c>
      <c r="B39" s="35" t="n">
        <v>0</v>
      </c>
      <c r="C39" s="27" t="n">
        <f aca="false">Assumptions!$B$144</f>
        <v>60000</v>
      </c>
      <c r="D39" s="27" t="n">
        <f aca="false">Assumptions!$B$144</f>
        <v>60000</v>
      </c>
      <c r="E39" s="27" t="n">
        <f aca="false">Assumptions!$B$145</f>
        <v>66000</v>
      </c>
      <c r="F39" s="27" t="n">
        <f aca="false">Assumptions!$B$146</f>
        <v>72000</v>
      </c>
      <c r="G39" s="27" t="n">
        <f aca="false">Assumptions!$B$146</f>
        <v>72000</v>
      </c>
      <c r="H39" s="8" t="s">
        <v>537</v>
      </c>
    </row>
    <row r="40" customFormat="false" ht="15" hidden="false" customHeight="false" outlineLevel="0" collapsed="false">
      <c r="A40" s="20" t="s">
        <v>538</v>
      </c>
      <c r="B40" s="39" t="n">
        <v>0</v>
      </c>
      <c r="C40" s="29" t="n">
        <f aca="false">Assumptions!$B$121</f>
        <v>0.1</v>
      </c>
      <c r="D40" s="29" t="n">
        <f aca="false">Assumptions!$B$121</f>
        <v>0.1</v>
      </c>
      <c r="E40" s="29" t="n">
        <f aca="false">Assumptions!$B$121</f>
        <v>0.1</v>
      </c>
      <c r="F40" s="29" t="n">
        <f aca="false">Assumptions!$B$121</f>
        <v>0.1</v>
      </c>
      <c r="G40" s="29" t="n">
        <f aca="false">Assumptions!$B$121</f>
        <v>0.1</v>
      </c>
      <c r="H40" s="8" t="s">
        <v>539</v>
      </c>
    </row>
    <row r="41" customFormat="false" ht="15" hidden="false" customHeight="false" outlineLevel="0" collapsed="false">
      <c r="A41" s="20" t="s">
        <v>540</v>
      </c>
      <c r="B41" s="17" t="n">
        <f aca="false">MAX(0,B45)</f>
        <v>0</v>
      </c>
      <c r="C41" s="17" t="n">
        <f aca="false">MAX(0,B45)</f>
        <v>0</v>
      </c>
      <c r="D41" s="17" t="n">
        <f aca="false">MAX(0,B45)</f>
        <v>0</v>
      </c>
      <c r="E41" s="17" t="n">
        <f aca="false">MAX(0,B45)</f>
        <v>0</v>
      </c>
      <c r="F41" s="17" t="n">
        <f aca="false">MAX(0,B45)</f>
        <v>0</v>
      </c>
      <c r="G41" s="17" t="n">
        <f aca="false">MAX(0,B45)</f>
        <v>0</v>
      </c>
      <c r="H41" s="8" t="s">
        <v>541</v>
      </c>
    </row>
    <row r="42" customFormat="false" ht="15" hidden="false" customHeight="false" outlineLevel="0" collapsed="false">
      <c r="A42" s="20" t="s">
        <v>542</v>
      </c>
      <c r="B42" s="35" t="n">
        <v>0</v>
      </c>
      <c r="C42" s="17" t="n">
        <f aca="false">C39+C40*MAX(0,C44-C41)</f>
        <v>73616.7900699858</v>
      </c>
      <c r="D42" s="17" t="n">
        <f aca="false">D39+D40*MAX(0,D44-D41)</f>
        <v>84096.4808481558</v>
      </c>
      <c r="E42" s="17" t="n">
        <f aca="false">E39+E40*MAX(0,E44-E41)</f>
        <v>80773.8391282318</v>
      </c>
      <c r="F42" s="17" t="n">
        <f aca="false">F39+F40*MAX(0,F44-F41)</f>
        <v>97582.6747145119</v>
      </c>
      <c r="G42" s="17" t="n">
        <f aca="false">G39+G40*MAX(0,G44-G41)</f>
        <v>114838.370695016</v>
      </c>
      <c r="H42" s="8" t="s">
        <v>543</v>
      </c>
    </row>
    <row r="43" customFormat="false" ht="15" hidden="false" customHeight="false" outlineLevel="0" collapsed="false">
      <c r="A43" s="18" t="s">
        <v>544</v>
      </c>
      <c r="B43" s="24" t="n">
        <f aca="false">SUM(B23:B37)-B30-B31</f>
        <v>218400</v>
      </c>
      <c r="C43" s="24" t="n">
        <f aca="false">SUM(C23:C37)-C30-C31</f>
        <v>292556.144485154</v>
      </c>
      <c r="D43" s="24" t="n">
        <f aca="false">SUM(D23:D37)-D30-D31</f>
        <v>312300.30910896</v>
      </c>
      <c r="E43" s="24" t="n">
        <f aca="false">SUM(E23:E37)-E30-E31</f>
        <v>531986.914137032</v>
      </c>
      <c r="F43" s="24" t="n">
        <f aca="false">SUM(F23:F37)-F30-F31</f>
        <v>731963.241076881</v>
      </c>
      <c r="G43" s="24" t="n">
        <f aca="false">SUM(G23:G37)-G30-G31</f>
        <v>760765.603756881</v>
      </c>
      <c r="H43" s="3"/>
    </row>
    <row r="44" customFormat="false" ht="15" hidden="false" customHeight="false" outlineLevel="0" collapsed="false">
      <c r="A44" s="18" t="s">
        <v>545</v>
      </c>
      <c r="B44" s="24" t="n">
        <f aca="false">B20-B43</f>
        <v>-80950.4455813954</v>
      </c>
      <c r="C44" s="24" t="n">
        <f aca="false">C20-C43</f>
        <v>136167.900699858</v>
      </c>
      <c r="D44" s="24" t="n">
        <f aca="false">D20-D43</f>
        <v>240964.808481558</v>
      </c>
      <c r="E44" s="24" t="n">
        <f aca="false">E20-E43</f>
        <v>147738.391282318</v>
      </c>
      <c r="F44" s="24" t="n">
        <f aca="false">F20-F43</f>
        <v>255826.747145119</v>
      </c>
      <c r="G44" s="24" t="n">
        <f aca="false">G20-G43</f>
        <v>428383.706950159</v>
      </c>
      <c r="H44" s="3"/>
    </row>
    <row r="45" customFormat="false" ht="15" hidden="false" customHeight="false" outlineLevel="0" collapsed="false">
      <c r="A45" s="18" t="s">
        <v>546</v>
      </c>
      <c r="B45" s="24" t="n">
        <f aca="false">B44-B42</f>
        <v>-80950.4455813954</v>
      </c>
      <c r="C45" s="24" t="n">
        <f aca="false">C44-C42</f>
        <v>62551.1106298725</v>
      </c>
      <c r="D45" s="24" t="n">
        <f aca="false">D44-D42</f>
        <v>156868.327633403</v>
      </c>
      <c r="E45" s="24" t="n">
        <f aca="false">E44-E42</f>
        <v>66964.5521540859</v>
      </c>
      <c r="F45" s="24" t="n">
        <f aca="false">F44-F42</f>
        <v>158244.072430607</v>
      </c>
      <c r="G45" s="24" t="n">
        <f aca="false">G44-G42</f>
        <v>313545.336255143</v>
      </c>
      <c r="H45" s="3"/>
    </row>
    <row r="46" customFormat="false" ht="15" hidden="false" customHeight="false" outlineLevel="0" collapsed="false">
      <c r="A46" s="20" t="s">
        <v>453</v>
      </c>
      <c r="B46" s="23" t="n">
        <f aca="false">IF(B15=0,0,B45/B15)</f>
        <v>-0.21281909757887</v>
      </c>
      <c r="C46" s="23" t="n">
        <f aca="false">IF(C15=0,0,C45/C15)</f>
        <v>0.0655674222375818</v>
      </c>
      <c r="D46" s="23" t="n">
        <f aca="false">IF(D15=0,0,D45/D15)</f>
        <v>0.141054775607078</v>
      </c>
      <c r="E46" s="23" t="n">
        <f aca="false">IF(E15=0,0,E45/E15)</f>
        <v>0.0480337045658253</v>
      </c>
      <c r="F46" s="23" t="n">
        <f aca="false">IF(F15=0,0,F45/F15)</f>
        <v>0.0783535339804128</v>
      </c>
      <c r="G46" s="23" t="n">
        <f aca="false">IF(G15=0,0,G45/G15)</f>
        <v>0.130001614206287</v>
      </c>
      <c r="H46" s="3"/>
    </row>
    <row r="47" customFormat="false" ht="15" hidden="false" customHeight="false" outlineLevel="0" collapsed="false">
      <c r="A47" s="5" t="s">
        <v>547</v>
      </c>
      <c r="B47" s="6"/>
      <c r="C47" s="6"/>
      <c r="D47" s="6"/>
      <c r="E47" s="6"/>
      <c r="F47" s="6"/>
      <c r="G47" s="6"/>
      <c r="H47" s="6"/>
    </row>
    <row r="48" customFormat="false" ht="15" hidden="false" customHeight="false" outlineLevel="0" collapsed="false">
      <c r="A48" s="20" t="s">
        <v>548</v>
      </c>
      <c r="B48" s="35" t="n">
        <v>0</v>
      </c>
      <c r="C48" s="27" t="n">
        <f aca="false">'Proforma 24 mo'!Z56</f>
        <v>27700</v>
      </c>
      <c r="D48" s="27" t="n">
        <f aca="false">'Proforma 24 mo'!AA56</f>
        <v>0</v>
      </c>
      <c r="E48" s="17" t="n">
        <f aca="false">(E6-D6)*'Equipment plan'!G10</f>
        <v>27700</v>
      </c>
      <c r="F48" s="17" t="n">
        <f aca="false">(F6-E6)*'Equipment plan'!G10</f>
        <v>27700</v>
      </c>
      <c r="G48" s="17" t="n">
        <f aca="false">(G6-F6)*'Equipment plan'!G10</f>
        <v>0</v>
      </c>
      <c r="H48" s="3"/>
    </row>
    <row r="49" customFormat="false" ht="15" hidden="false" customHeight="false" outlineLevel="0" collapsed="false">
      <c r="A49" s="18" t="s">
        <v>549</v>
      </c>
      <c r="B49" s="27" t="n">
        <f aca="false">Assumptions!$B$62</f>
        <v>25000</v>
      </c>
      <c r="C49" s="24" t="n">
        <f aca="false">B49+C45-C48</f>
        <v>59851.1106298725</v>
      </c>
      <c r="D49" s="24" t="n">
        <f aca="false">C49+D45-D48</f>
        <v>216719.438263275</v>
      </c>
      <c r="E49" s="24" t="n">
        <f aca="false">D49+E45-E48</f>
        <v>255983.990417361</v>
      </c>
      <c r="F49" s="24" t="n">
        <f aca="false">E49+F45-F48</f>
        <v>386528.062847968</v>
      </c>
      <c r="G49" s="24" t="n">
        <f aca="false">F49+G45-G48</f>
        <v>700073.399103112</v>
      </c>
      <c r="H49" s="8" t="s">
        <v>550</v>
      </c>
    </row>
    <row r="50" customFormat="false" ht="15" hidden="false" customHeight="false" outlineLevel="0" collapsed="false">
      <c r="A50" s="20" t="s">
        <v>551</v>
      </c>
      <c r="B50" s="17" t="n">
        <f aca="false">B43/6</f>
        <v>36400</v>
      </c>
      <c r="C50" s="17" t="n">
        <f aca="false">C43/6</f>
        <v>48759.3574141924</v>
      </c>
      <c r="D50" s="17" t="n">
        <f aca="false">D43/6</f>
        <v>52050.0515181601</v>
      </c>
      <c r="E50" s="17" t="n">
        <f aca="false">E43/6</f>
        <v>88664.4856895053</v>
      </c>
      <c r="F50" s="17" t="n">
        <f aca="false">F43/6</f>
        <v>121993.873512813</v>
      </c>
      <c r="G50" s="17" t="n">
        <f aca="false">G43/6</f>
        <v>126794.267292813</v>
      </c>
      <c r="H50" s="8" t="s">
        <v>552</v>
      </c>
    </row>
    <row r="51" customFormat="false" ht="15" hidden="false" customHeight="false" outlineLevel="0" collapsed="false">
      <c r="A51" s="20" t="s">
        <v>553</v>
      </c>
      <c r="B51" s="40" t="str">
        <f aca="false">IF(B49&gt;=B50,"yes","NO")</f>
        <v>NO</v>
      </c>
      <c r="C51" s="40" t="str">
        <f aca="false">IF(C49&gt;=C50,"yes","NO")</f>
        <v>yes</v>
      </c>
      <c r="D51" s="40" t="str">
        <f aca="false">IF(D49&gt;=D50,"yes","NO")</f>
        <v>yes</v>
      </c>
      <c r="E51" s="40" t="str">
        <f aca="false">IF(E49&gt;=E50,"yes","NO")</f>
        <v>yes</v>
      </c>
      <c r="F51" s="40" t="str">
        <f aca="false">IF(F49&gt;=F50,"yes","NO")</f>
        <v>yes</v>
      </c>
      <c r="G51" s="40" t="str">
        <f aca="false">IF(G49&gt;=G50,"yes","NO")</f>
        <v>yes</v>
      </c>
      <c r="H51" s="3"/>
    </row>
    <row r="52" customFormat="false" ht="15" hidden="false" customHeight="false" outlineLevel="0" collapsed="false">
      <c r="A52" s="5" t="s">
        <v>554</v>
      </c>
      <c r="B52" s="6"/>
      <c r="C52" s="6"/>
      <c r="D52" s="6"/>
      <c r="E52" s="6"/>
      <c r="F52" s="6"/>
      <c r="G52" s="6"/>
      <c r="H52" s="6"/>
    </row>
    <row r="53" customFormat="false" ht="15" hidden="false" customHeight="false" outlineLevel="0" collapsed="false">
      <c r="A53" s="20" t="s">
        <v>555</v>
      </c>
      <c r="B53" s="17" t="n">
        <f aca="false">B45+B23</f>
        <v>69049.5544186047</v>
      </c>
      <c r="C53" s="17" t="n">
        <f aca="false">C45+C23</f>
        <v>212551.110629872</v>
      </c>
      <c r="D53" s="17" t="n">
        <f aca="false">D45+D23</f>
        <v>306868.327633403</v>
      </c>
      <c r="E53" s="17" t="n">
        <f aca="false">E45+E23</f>
        <v>241965.052154086</v>
      </c>
      <c r="F53" s="17" t="n">
        <f aca="false">F45+F23</f>
        <v>358243.572430607</v>
      </c>
      <c r="G53" s="17" t="n">
        <f aca="false">G45+G23</f>
        <v>538545.336255143</v>
      </c>
      <c r="H53" s="3"/>
    </row>
    <row r="54" customFormat="false" ht="15" hidden="false" customHeight="false" outlineLevel="0" collapsed="false">
      <c r="A54" s="20" t="s">
        <v>556</v>
      </c>
      <c r="B54" s="34" t="n">
        <v>2.46</v>
      </c>
      <c r="C54" s="34" t="n">
        <v>2.46</v>
      </c>
      <c r="D54" s="34" t="n">
        <v>2.46</v>
      </c>
      <c r="E54" s="34" t="n">
        <v>2.46</v>
      </c>
      <c r="F54" s="34" t="n">
        <v>2.46</v>
      </c>
      <c r="G54" s="34" t="n">
        <v>2.46</v>
      </c>
      <c r="H54" s="8" t="s">
        <v>557</v>
      </c>
    </row>
    <row r="55" customFormat="false" ht="15" hidden="false" customHeight="false" outlineLevel="0" collapsed="false">
      <c r="A55" s="18" t="s">
        <v>558</v>
      </c>
      <c r="B55" s="24" t="n">
        <f aca="false">B53*B54</f>
        <v>169861.903869767</v>
      </c>
      <c r="C55" s="24" t="n">
        <f aca="false">C53*C54</f>
        <v>522875.732149486</v>
      </c>
      <c r="D55" s="24" t="n">
        <f aca="false">D53*D54</f>
        <v>754896.08597817</v>
      </c>
      <c r="E55" s="24" t="n">
        <f aca="false">E53*E54</f>
        <v>595234.028299051</v>
      </c>
      <c r="F55" s="24" t="n">
        <f aca="false">F53*F54</f>
        <v>881279.188179294</v>
      </c>
      <c r="G55" s="24" t="n">
        <f aca="false">G53*G54</f>
        <v>1324821.52718765</v>
      </c>
      <c r="H55" s="8" t="s">
        <v>559</v>
      </c>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6" min="2" style="1" width="15"/>
    <col collapsed="false" customWidth="true" hidden="false" outlineLevel="0" max="7" min="7" style="1" width="3"/>
    <col collapsed="false" customWidth="true" hidden="false" outlineLevel="0" max="8" min="8" style="1" width="56"/>
  </cols>
  <sheetData>
    <row r="1" customFormat="false" ht="17.35" hidden="false" customHeight="false" outlineLevel="0" collapsed="false">
      <c r="A1" s="2" t="s">
        <v>560</v>
      </c>
      <c r="B1" s="3"/>
      <c r="C1" s="3"/>
      <c r="D1" s="3"/>
      <c r="E1" s="3"/>
      <c r="F1" s="3"/>
      <c r="G1" s="3"/>
      <c r="H1" s="3"/>
    </row>
    <row r="2" customFormat="false" ht="15" hidden="false" customHeight="false" outlineLevel="0" collapsed="false">
      <c r="A2" s="4" t="s">
        <v>561</v>
      </c>
      <c r="B2" s="3"/>
      <c r="C2" s="3"/>
      <c r="D2" s="3"/>
      <c r="E2" s="3"/>
      <c r="F2" s="3"/>
      <c r="G2" s="3"/>
      <c r="H2" s="3"/>
    </row>
    <row r="3" customFormat="false" ht="15" hidden="false" customHeight="false" outlineLevel="0" collapsed="false">
      <c r="A3" s="3"/>
      <c r="B3" s="3"/>
      <c r="C3" s="3"/>
      <c r="D3" s="3"/>
      <c r="E3" s="3"/>
      <c r="F3" s="3"/>
      <c r="G3" s="3"/>
      <c r="H3" s="3"/>
    </row>
    <row r="4" customFormat="false" ht="15" hidden="false" customHeight="false" outlineLevel="0" collapsed="false">
      <c r="A4" s="5" t="s">
        <v>562</v>
      </c>
      <c r="B4" s="6"/>
      <c r="C4" s="6"/>
      <c r="D4" s="6"/>
      <c r="E4" s="6"/>
      <c r="F4" s="6"/>
      <c r="G4" s="3"/>
      <c r="H4" s="6"/>
    </row>
    <row r="5" customFormat="false" ht="15" hidden="false" customHeight="false" outlineLevel="0" collapsed="false">
      <c r="A5" s="18"/>
      <c r="B5" s="30" t="s">
        <v>563</v>
      </c>
      <c r="C5" s="30" t="s">
        <v>439</v>
      </c>
      <c r="D5" s="30" t="s">
        <v>564</v>
      </c>
      <c r="E5" s="3"/>
      <c r="F5" s="3"/>
      <c r="G5" s="3"/>
      <c r="H5" s="3"/>
    </row>
    <row r="6" customFormat="false" ht="15" hidden="false" customHeight="false" outlineLevel="0" collapsed="false">
      <c r="A6" s="20" t="s">
        <v>565</v>
      </c>
      <c r="B6" s="17" t="n">
        <f aca="false">B37</f>
        <v>879315.75</v>
      </c>
      <c r="C6" s="17" t="n">
        <f aca="false">B69</f>
        <v>1101154.5</v>
      </c>
      <c r="D6" s="17" t="n">
        <f aca="false">B101</f>
        <v>1282261.5</v>
      </c>
      <c r="E6" s="3"/>
      <c r="F6" s="3"/>
      <c r="G6" s="3"/>
      <c r="H6" s="3"/>
    </row>
    <row r="7" customFormat="false" ht="15" hidden="false" customHeight="false" outlineLevel="0" collapsed="false">
      <c r="A7" s="20" t="s">
        <v>566</v>
      </c>
      <c r="B7" s="17" t="n">
        <f aca="false">F37</f>
        <v>1135327.5</v>
      </c>
      <c r="C7" s="17" t="n">
        <f aca="false">F69</f>
        <v>2578331.443032</v>
      </c>
      <c r="D7" s="17" t="n">
        <f aca="false">F101</f>
        <v>3717092.6870976</v>
      </c>
      <c r="E7" s="3"/>
      <c r="F7" s="3"/>
      <c r="G7" s="3"/>
      <c r="H7" s="3"/>
    </row>
    <row r="8" customFormat="false" ht="15" hidden="false" customHeight="false" outlineLevel="0" collapsed="false">
      <c r="A8" s="20" t="s">
        <v>567</v>
      </c>
      <c r="B8" s="21" t="n">
        <f aca="false">F34</f>
        <v>22680</v>
      </c>
      <c r="C8" s="21" t="n">
        <f aca="false">F66</f>
        <v>43344</v>
      </c>
      <c r="D8" s="21" t="n">
        <f aca="false">F98</f>
        <v>60480</v>
      </c>
      <c r="E8" s="3"/>
      <c r="F8" s="3"/>
      <c r="G8" s="3"/>
      <c r="H8" s="3"/>
    </row>
    <row r="9" customFormat="false" ht="15" hidden="false" customHeight="false" outlineLevel="0" collapsed="false">
      <c r="A9" s="20" t="s">
        <v>568</v>
      </c>
      <c r="B9" s="23" t="n">
        <f aca="false">F41</f>
        <v>0.383151053348181</v>
      </c>
      <c r="C9" s="23" t="n">
        <f aca="false">F73</f>
        <v>0.504288264401278</v>
      </c>
      <c r="D9" s="23" t="n">
        <f aca="false">F105</f>
        <v>0.543525995929879</v>
      </c>
      <c r="E9" s="3"/>
      <c r="F9" s="3"/>
      <c r="G9" s="3"/>
      <c r="H9" s="3"/>
    </row>
    <row r="10" customFormat="false" ht="15" hidden="false" customHeight="false" outlineLevel="0" collapsed="false">
      <c r="A10" s="20" t="s">
        <v>569</v>
      </c>
      <c r="B10" s="17" t="n">
        <f aca="false">B43</f>
        <v>16025.6196410397</v>
      </c>
      <c r="C10" s="17" t="n">
        <f aca="false">B75</f>
        <v>207645.22589104</v>
      </c>
      <c r="D10" s="17" t="n">
        <f aca="false">B107</f>
        <v>337341.38339104</v>
      </c>
      <c r="E10" s="3"/>
      <c r="F10" s="3"/>
      <c r="G10" s="3"/>
      <c r="H10" s="3"/>
    </row>
    <row r="11" customFormat="false" ht="15" hidden="false" customHeight="false" outlineLevel="0" collapsed="false">
      <c r="A11" s="18" t="s">
        <v>570</v>
      </c>
      <c r="B11" s="24" t="n">
        <f aca="false">B47</f>
        <v>-576.942323064275</v>
      </c>
      <c r="C11" s="24" t="n">
        <f aca="false">B79</f>
        <v>126880.703301936</v>
      </c>
      <c r="D11" s="24" t="n">
        <f aca="false">B111</f>
        <v>243607.245051936</v>
      </c>
      <c r="E11" s="3"/>
      <c r="F11" s="3"/>
      <c r="G11" s="3"/>
      <c r="H11" s="3"/>
    </row>
    <row r="12" customFormat="false" ht="15" hidden="false" customHeight="false" outlineLevel="0" collapsed="false">
      <c r="A12" s="18" t="s">
        <v>571</v>
      </c>
      <c r="B12" s="24" t="n">
        <f aca="false">F47</f>
        <v>-7048.09864328359</v>
      </c>
      <c r="C12" s="24" t="n">
        <f aca="false">F79</f>
        <v>458104.310081433</v>
      </c>
      <c r="D12" s="24" t="n">
        <f aca="false">F111</f>
        <v>946049.487626844</v>
      </c>
      <c r="E12" s="3"/>
      <c r="F12" s="3"/>
      <c r="G12" s="3"/>
      <c r="H12" s="3"/>
    </row>
    <row r="13" customFormat="false" ht="15" hidden="false" customHeight="false" outlineLevel="0" collapsed="false">
      <c r="A13" s="20" t="s">
        <v>572</v>
      </c>
      <c r="B13" s="17" t="n">
        <f aca="false">B46</f>
        <v>16602.561964104</v>
      </c>
      <c r="C13" s="17" t="n">
        <f aca="false">B78</f>
        <v>80764.522589104</v>
      </c>
      <c r="D13" s="17" t="n">
        <f aca="false">B110</f>
        <v>93734.138339104</v>
      </c>
      <c r="E13" s="3"/>
      <c r="F13" s="3"/>
      <c r="G13" s="3"/>
      <c r="H13" s="3"/>
    </row>
    <row r="14" customFormat="false" ht="15" hidden="false" customHeight="false" outlineLevel="0" collapsed="false">
      <c r="A14" s="20" t="s">
        <v>573</v>
      </c>
      <c r="B14" s="17" t="n">
        <f aca="false">F46</f>
        <v>0</v>
      </c>
      <c r="C14" s="17" t="n">
        <f aca="false">F78</f>
        <v>130900.478897937</v>
      </c>
      <c r="D14" s="17" t="n">
        <f aca="false">F110</f>
        <v>185116.609736316</v>
      </c>
      <c r="E14" s="3"/>
      <c r="F14" s="3"/>
      <c r="G14" s="3"/>
      <c r="H14" s="3"/>
    </row>
    <row r="15" customFormat="false" ht="15" hidden="false" customHeight="false" outlineLevel="0" collapsed="false">
      <c r="A15" s="18" t="s">
        <v>574</v>
      </c>
      <c r="B15" s="24" t="n">
        <f aca="false">F51</f>
        <v>142951.901356716</v>
      </c>
      <c r="C15" s="24" t="n">
        <f aca="false">F83</f>
        <v>608104.310081433</v>
      </c>
      <c r="D15" s="24" t="n">
        <f aca="false">F115</f>
        <v>1096049.48762684</v>
      </c>
      <c r="E15" s="3"/>
      <c r="F15" s="3"/>
      <c r="G15" s="3"/>
      <c r="H15" s="3"/>
    </row>
    <row r="16" customFormat="false" ht="15" hidden="false" customHeight="false" outlineLevel="0" collapsed="false">
      <c r="A16" s="20" t="s">
        <v>575</v>
      </c>
      <c r="B16" s="17" t="n">
        <f aca="false">F50</f>
        <v>-25205.336371809</v>
      </c>
      <c r="C16" s="17" t="n">
        <f aca="false">F82</f>
        <v>1148879.12987434</v>
      </c>
      <c r="D16" s="17" t="n">
        <f aca="false">F114</f>
        <v>3005513.91082809</v>
      </c>
      <c r="E16" s="3"/>
      <c r="F16" s="3"/>
      <c r="G16" s="3"/>
      <c r="H16" s="3"/>
    </row>
    <row r="17" customFormat="false" ht="15" hidden="false" customHeight="false" outlineLevel="0" collapsed="false">
      <c r="A17" s="18" t="s">
        <v>576</v>
      </c>
      <c r="B17" s="24" t="n">
        <f aca="false">F52</f>
        <v>351661.677337522</v>
      </c>
      <c r="C17" s="24" t="n">
        <f aca="false">F84</f>
        <v>1495936.60280033</v>
      </c>
      <c r="D17" s="24" t="n">
        <f aca="false">F116</f>
        <v>2696281.73956204</v>
      </c>
      <c r="E17" s="3"/>
      <c r="F17" s="3"/>
      <c r="G17" s="3"/>
      <c r="H17" s="3"/>
    </row>
    <row r="18" customFormat="false" ht="15" hidden="false" customHeight="false" outlineLevel="0" collapsed="false">
      <c r="A18" s="3"/>
      <c r="B18" s="3"/>
      <c r="C18" s="3"/>
      <c r="D18" s="3"/>
      <c r="E18" s="3"/>
      <c r="F18" s="3"/>
      <c r="G18" s="3"/>
      <c r="H18" s="3"/>
    </row>
    <row r="19" customFormat="false" ht="15" hidden="false" customHeight="false" outlineLevel="0" collapsed="false">
      <c r="A19" s="41" t="s">
        <v>577</v>
      </c>
      <c r="B19" s="3"/>
      <c r="C19" s="3"/>
      <c r="D19" s="3"/>
      <c r="E19" s="3"/>
      <c r="F19" s="3"/>
      <c r="G19" s="3"/>
      <c r="H19" s="3"/>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42" hidden="false" customHeight="true" outlineLevel="0" collapsed="false">
      <c r="A22" s="5" t="s">
        <v>578</v>
      </c>
      <c r="B22" s="6"/>
      <c r="C22" s="6"/>
      <c r="D22" s="6"/>
      <c r="E22" s="6"/>
      <c r="F22" s="6"/>
      <c r="G22" s="3"/>
      <c r="H22" s="42" t="s">
        <v>579</v>
      </c>
    </row>
    <row r="23" customFormat="false" ht="15" hidden="false" customHeight="false" outlineLevel="0" collapsed="false">
      <c r="A23" s="30" t="s">
        <v>580</v>
      </c>
      <c r="B23" s="30" t="s">
        <v>335</v>
      </c>
      <c r="C23" s="30" t="s">
        <v>336</v>
      </c>
      <c r="D23" s="30" t="s">
        <v>487</v>
      </c>
      <c r="E23" s="30" t="s">
        <v>488</v>
      </c>
      <c r="F23" s="30" t="s">
        <v>489</v>
      </c>
      <c r="G23" s="3"/>
      <c r="H23" s="3"/>
    </row>
    <row r="24" customFormat="false" ht="15" hidden="false" customHeight="false" outlineLevel="0" collapsed="false">
      <c r="A24" s="20" t="s">
        <v>494</v>
      </c>
      <c r="B24" s="34" t="n">
        <v>2</v>
      </c>
      <c r="C24" s="34" t="n">
        <v>2</v>
      </c>
      <c r="D24" s="34" t="n">
        <v>2</v>
      </c>
      <c r="E24" s="34" t="n">
        <v>2.5</v>
      </c>
      <c r="F24" s="34" t="n">
        <v>2.5</v>
      </c>
      <c r="G24" s="3"/>
      <c r="H24" s="8" t="s">
        <v>581</v>
      </c>
    </row>
    <row r="25" customFormat="false" ht="15" hidden="false" customHeight="false" outlineLevel="0" collapsed="false">
      <c r="A25" s="20" t="s">
        <v>582</v>
      </c>
      <c r="B25" s="13" t="n">
        <v>36</v>
      </c>
      <c r="C25" s="13" t="n">
        <v>36</v>
      </c>
      <c r="D25" s="13" t="n">
        <v>36</v>
      </c>
      <c r="E25" s="13" t="n">
        <v>36</v>
      </c>
      <c r="F25" s="13" t="n">
        <v>36</v>
      </c>
      <c r="G25" s="3"/>
      <c r="H25" s="8" t="s">
        <v>583</v>
      </c>
    </row>
    <row r="26" customFormat="false" ht="15" hidden="false" customHeight="false" outlineLevel="0" collapsed="false">
      <c r="A26" s="20" t="s">
        <v>444</v>
      </c>
      <c r="B26" s="11" t="n">
        <v>48</v>
      </c>
      <c r="C26" s="17" t="n">
        <f aca="false">B26*(1+$B$27)</f>
        <v>48</v>
      </c>
      <c r="D26" s="17" t="n">
        <f aca="false">C26*(1+$B$27)</f>
        <v>48</v>
      </c>
      <c r="E26" s="17" t="n">
        <f aca="false">D26*(1+$B$27)</f>
        <v>48</v>
      </c>
      <c r="F26" s="17" t="n">
        <f aca="false">E26*(1+$B$27)</f>
        <v>48</v>
      </c>
      <c r="G26" s="3"/>
      <c r="H26" s="3"/>
    </row>
    <row r="27" customFormat="false" ht="15" hidden="false" customHeight="false" outlineLevel="0" collapsed="false">
      <c r="A27" s="20" t="s">
        <v>584</v>
      </c>
      <c r="B27" s="14" t="n">
        <v>0</v>
      </c>
      <c r="C27" s="14" t="n">
        <v>0</v>
      </c>
      <c r="D27" s="14" t="n">
        <v>0</v>
      </c>
      <c r="E27" s="14" t="n">
        <v>0</v>
      </c>
      <c r="F27" s="14" t="n">
        <v>0</v>
      </c>
      <c r="G27" s="3"/>
      <c r="H27" s="3"/>
    </row>
    <row r="28" customFormat="false" ht="15" hidden="false" customHeight="false" outlineLevel="0" collapsed="false">
      <c r="A28" s="20" t="s">
        <v>585</v>
      </c>
      <c r="B28" s="13" t="n">
        <v>45</v>
      </c>
      <c r="C28" s="13" t="n">
        <v>95</v>
      </c>
      <c r="D28" s="13" t="n">
        <v>150</v>
      </c>
      <c r="E28" s="13" t="n">
        <v>200</v>
      </c>
      <c r="F28" s="13" t="n">
        <v>250</v>
      </c>
      <c r="G28" s="3"/>
      <c r="H28" s="3"/>
    </row>
    <row r="29" customFormat="false" ht="15" hidden="false" customHeight="false" outlineLevel="0" collapsed="false">
      <c r="A29" s="20" t="s">
        <v>586</v>
      </c>
      <c r="B29" s="14" t="n">
        <v>0.075</v>
      </c>
      <c r="C29" s="14" t="n">
        <v>0.075</v>
      </c>
      <c r="D29" s="14" t="n">
        <v>0.075</v>
      </c>
      <c r="E29" s="14" t="n">
        <v>0.075</v>
      </c>
      <c r="F29" s="14" t="n">
        <v>0.075</v>
      </c>
      <c r="G29" s="3"/>
      <c r="H29" s="3"/>
    </row>
    <row r="30" customFormat="false" ht="15" hidden="false" customHeight="false" outlineLevel="0" collapsed="false">
      <c r="A30" s="20" t="s">
        <v>587</v>
      </c>
      <c r="B30" s="11" t="n">
        <v>24000</v>
      </c>
      <c r="C30" s="11" t="n">
        <v>24000</v>
      </c>
      <c r="D30" s="11" t="n">
        <v>24000</v>
      </c>
      <c r="E30" s="11" t="n">
        <v>24000</v>
      </c>
      <c r="F30" s="11" t="n">
        <v>24000</v>
      </c>
      <c r="G30" s="3"/>
      <c r="H30" s="3"/>
    </row>
    <row r="31" customFormat="false" ht="15" hidden="false" customHeight="false" outlineLevel="0" collapsed="false">
      <c r="A31" s="20" t="s">
        <v>588</v>
      </c>
      <c r="B31" s="11" t="n">
        <v>0</v>
      </c>
      <c r="C31" s="11" t="n">
        <v>0</v>
      </c>
      <c r="D31" s="11" t="n">
        <v>24000</v>
      </c>
      <c r="E31" s="11" t="n">
        <v>42000</v>
      </c>
      <c r="F31" s="11" t="n">
        <v>44000</v>
      </c>
      <c r="G31" s="3"/>
      <c r="H31" s="8" t="s">
        <v>589</v>
      </c>
    </row>
    <row r="32" customFormat="false" ht="15" hidden="false" customHeight="false" outlineLevel="0" collapsed="false">
      <c r="A32" s="43" t="s">
        <v>590</v>
      </c>
      <c r="B32" s="44"/>
      <c r="C32" s="44"/>
      <c r="D32" s="44"/>
      <c r="E32" s="44"/>
      <c r="F32" s="44"/>
      <c r="G32" s="3"/>
      <c r="H32" s="44"/>
    </row>
    <row r="33" customFormat="false" ht="15" hidden="false" customHeight="false" outlineLevel="0" collapsed="false">
      <c r="A33" s="20" t="s">
        <v>591</v>
      </c>
      <c r="B33" s="21" t="n">
        <f aca="false">B24*Assumptions!$B$10*12</f>
        <v>504</v>
      </c>
      <c r="C33" s="21" t="n">
        <f aca="false">C24*Assumptions!$B$10*12</f>
        <v>504</v>
      </c>
      <c r="D33" s="21" t="n">
        <f aca="false">D24*Assumptions!$B$10*12</f>
        <v>504</v>
      </c>
      <c r="E33" s="21" t="n">
        <f aca="false">E24*Assumptions!$B$10*12</f>
        <v>630</v>
      </c>
      <c r="F33" s="21" t="n">
        <f aca="false">F24*Assumptions!$B$10*12</f>
        <v>630</v>
      </c>
      <c r="G33" s="3"/>
      <c r="H33" s="3"/>
    </row>
    <row r="34" customFormat="false" ht="15" hidden="false" customHeight="false" outlineLevel="0" collapsed="false">
      <c r="A34" s="18" t="s">
        <v>592</v>
      </c>
      <c r="B34" s="22" t="n">
        <f aca="false">B33*B25</f>
        <v>18144</v>
      </c>
      <c r="C34" s="22" t="n">
        <f aca="false">C33*C25</f>
        <v>18144</v>
      </c>
      <c r="D34" s="22" t="n">
        <f aca="false">D33*D25</f>
        <v>18144</v>
      </c>
      <c r="E34" s="22" t="n">
        <f aca="false">E33*E25</f>
        <v>22680</v>
      </c>
      <c r="F34" s="22" t="n">
        <f aca="false">F33*F25</f>
        <v>22680</v>
      </c>
      <c r="G34" s="3"/>
      <c r="H34" s="3"/>
    </row>
    <row r="35" customFormat="false" ht="15" hidden="false" customHeight="false" outlineLevel="0" collapsed="false">
      <c r="A35" s="20" t="s">
        <v>593</v>
      </c>
      <c r="B35" s="17" t="n">
        <f aca="false">B34*B26</f>
        <v>870912</v>
      </c>
      <c r="C35" s="17" t="n">
        <f aca="false">C34*C26</f>
        <v>870912</v>
      </c>
      <c r="D35" s="17" t="n">
        <f aca="false">D34*D26</f>
        <v>870912</v>
      </c>
      <c r="E35" s="17" t="n">
        <f aca="false">E34*E26</f>
        <v>1088640</v>
      </c>
      <c r="F35" s="17" t="n">
        <f aca="false">F34*F26</f>
        <v>1088640</v>
      </c>
      <c r="G35" s="3"/>
      <c r="H35" s="3"/>
    </row>
    <row r="36" customFormat="false" ht="15" hidden="false" customHeight="false" outlineLevel="0" collapsed="false">
      <c r="A36" s="20" t="s">
        <v>504</v>
      </c>
      <c r="B36" s="17" t="n">
        <f aca="false">B28*Assumptions!$B$30*Assumptions!$B$33</f>
        <v>8403.75</v>
      </c>
      <c r="C36" s="17" t="n">
        <f aca="false">C28*Assumptions!$B$30*Assumptions!$B$33</f>
        <v>17741.25</v>
      </c>
      <c r="D36" s="17" t="n">
        <f aca="false">D28*Assumptions!$B$30*Assumptions!$B$33</f>
        <v>28012.5</v>
      </c>
      <c r="E36" s="17" t="n">
        <f aca="false">E28*Assumptions!$B$30*Assumptions!$B$33</f>
        <v>37350</v>
      </c>
      <c r="F36" s="17" t="n">
        <f aca="false">F28*Assumptions!$B$30*Assumptions!$B$33</f>
        <v>46687.5</v>
      </c>
      <c r="G36" s="3"/>
      <c r="H36" s="3"/>
    </row>
    <row r="37" customFormat="false" ht="15" hidden="false" customHeight="false" outlineLevel="0" collapsed="false">
      <c r="A37" s="18" t="s">
        <v>360</v>
      </c>
      <c r="B37" s="24" t="n">
        <f aca="false">B35+B36</f>
        <v>879315.75</v>
      </c>
      <c r="C37" s="24" t="n">
        <f aca="false">C35+C36</f>
        <v>888653.25</v>
      </c>
      <c r="D37" s="24" t="n">
        <f aca="false">D35+D36</f>
        <v>898924.5</v>
      </c>
      <c r="E37" s="24" t="n">
        <f aca="false">E35+E36</f>
        <v>1125990</v>
      </c>
      <c r="F37" s="24" t="n">
        <f aca="false">F35+F36</f>
        <v>1135327.5</v>
      </c>
      <c r="G37" s="3"/>
      <c r="H37" s="3"/>
    </row>
    <row r="38" customFormat="false" ht="15" hidden="false" customHeight="false" outlineLevel="0" collapsed="false">
      <c r="A38" s="20" t="s">
        <v>594</v>
      </c>
      <c r="B38" s="17" t="n">
        <f aca="false">B24*(Assumptions!$B$26*Assumptions!$B$27*Assumptions!$B$23+Assumptions!$B$27*Assumptions!$B$24)*(1+Assumptions!$B$25)*12*1.03^MAX(0,COLUMN(B1)-2)</f>
        <v>333696.24</v>
      </c>
      <c r="C38" s="17" t="n">
        <f aca="false">C24*(Assumptions!$B$26*Assumptions!$B$27*Assumptions!$B$23+Assumptions!$B$27*Assumptions!$B$24)*(1+Assumptions!$B$25)*12*1.03^MAX(0,COLUMN(C1)-2)</f>
        <v>343707.1272</v>
      </c>
      <c r="D38" s="17" t="n">
        <f aca="false">D24*(Assumptions!$B$26*Assumptions!$B$27*Assumptions!$B$23+Assumptions!$B$27*Assumptions!$B$24)*(1+Assumptions!$B$25)*12*1.03^MAX(0,COLUMN(D1)-2)</f>
        <v>354018.341016</v>
      </c>
      <c r="E38" s="17" t="n">
        <f aca="false">E24*(Assumptions!$B$26*Assumptions!$B$27*Assumptions!$B$23+Assumptions!$B$27*Assumptions!$B$24)*(1+Assumptions!$B$25)*12*1.03^MAX(0,COLUMN(E1)-2)</f>
        <v>455798.6140581</v>
      </c>
      <c r="F38" s="17" t="n">
        <f aca="false">F24*(Assumptions!$B$26*Assumptions!$B$27*Assumptions!$B$23+Assumptions!$B$27*Assumptions!$B$24)*(1+Assumptions!$B$25)*12*1.03^MAX(0,COLUMN(F1)-2)</f>
        <v>469472.572479843</v>
      </c>
      <c r="G38" s="3"/>
      <c r="H38" s="3"/>
    </row>
    <row r="39" customFormat="false" ht="15" hidden="false" customHeight="false" outlineLevel="0" collapsed="false">
      <c r="A39" s="20" t="s">
        <v>595</v>
      </c>
      <c r="B39" s="17" t="n">
        <f aca="false">B35*Assumptions!$B$22+B28*Assumptions!$B$33*Assumptions!$B$37</f>
        <v>176544.9</v>
      </c>
      <c r="C39" s="17" t="n">
        <f aca="false">C35*Assumptions!$B$22+C28*Assumptions!$B$33*Assumptions!$B$37</f>
        <v>179169.9</v>
      </c>
      <c r="D39" s="17" t="n">
        <f aca="false">D35*Assumptions!$B$22+D28*Assumptions!$B$33*Assumptions!$B$37</f>
        <v>182057.4</v>
      </c>
      <c r="E39" s="17" t="n">
        <f aca="false">E35*Assumptions!$B$22+E28*Assumptions!$B$33*Assumptions!$B$37</f>
        <v>228228</v>
      </c>
      <c r="F39" s="17" t="n">
        <f aca="false">F35*Assumptions!$B$22+F28*Assumptions!$B$33*Assumptions!$B$37</f>
        <v>230853</v>
      </c>
      <c r="G39" s="3"/>
      <c r="H39" s="3"/>
    </row>
    <row r="40" customFormat="false" ht="15" hidden="false" customHeight="false" outlineLevel="0" collapsed="false">
      <c r="A40" s="18" t="s">
        <v>367</v>
      </c>
      <c r="B40" s="24" t="n">
        <f aca="false">B37-B38-B39</f>
        <v>369074.61</v>
      </c>
      <c r="C40" s="24" t="n">
        <f aca="false">C37-C38-C39</f>
        <v>365776.2228</v>
      </c>
      <c r="D40" s="24" t="n">
        <f aca="false">D37-D38-D39</f>
        <v>362848.758984</v>
      </c>
      <c r="E40" s="24" t="n">
        <f aca="false">E37-E38-E39</f>
        <v>441963.3859419</v>
      </c>
      <c r="F40" s="24" t="n">
        <f aca="false">F37-F38-F39</f>
        <v>435001.927520157</v>
      </c>
      <c r="G40" s="3"/>
      <c r="H40" s="3"/>
    </row>
    <row r="41" customFormat="false" ht="15" hidden="false" customHeight="false" outlineLevel="0" collapsed="false">
      <c r="A41" s="20" t="s">
        <v>408</v>
      </c>
      <c r="B41" s="23" t="n">
        <f aca="false">IF(B37=0,0,B40/B37)</f>
        <v>0.419729329310887</v>
      </c>
      <c r="C41" s="23" t="n">
        <f aca="false">IF(C37=0,0,C40/C37)</f>
        <v>0.411607365189966</v>
      </c>
      <c r="D41" s="23" t="n">
        <f aca="false">IF(D37=0,0,D40/D37)</f>
        <v>0.403647646697804</v>
      </c>
      <c r="E41" s="23" t="n">
        <f aca="false">IF(E37=0,0,E40/E37)</f>
        <v>0.392510933438041</v>
      </c>
      <c r="F41" s="23" t="n">
        <f aca="false">IF(F37=0,0,F40/F37)</f>
        <v>0.383151053348181</v>
      </c>
      <c r="G41" s="3"/>
      <c r="H41" s="3"/>
    </row>
    <row r="42" customFormat="false" ht="15" hidden="false" customHeight="false" outlineLevel="0" collapsed="false">
      <c r="A42" s="20" t="s">
        <v>596</v>
      </c>
      <c r="B42" s="17" t="n">
        <f aca="false">(Assumptions!$B$78+Assumptions!$B$80+Assumptions!$B$81+Assumptions!$B$82+Assumptions!$B$83)*12+B24*B30+B31+B37*B29+Assumptions!$B$84*Assumptions!$B$85*12+'Equipment plan'!$H$10*12*MAX(0,B24-1)</f>
        <v>353048.99035896</v>
      </c>
      <c r="C42" s="17" t="n">
        <f aca="false">(Assumptions!$B$78+Assumptions!$B$80+Assumptions!$B$81+Assumptions!$B$82+Assumptions!$B$83)*12+C24*C30+C31+C37*C29+Assumptions!$B$84*Assumptions!$B$85*12+'Equipment plan'!$H$10*12*MAX(0,C24-1)</f>
        <v>353749.30285896</v>
      </c>
      <c r="D42" s="17" t="n">
        <f aca="false">(Assumptions!$B$78+Assumptions!$B$80+Assumptions!$B$81+Assumptions!$B$82+Assumptions!$B$83)*12+D24*D30+D31+D37*D29+Assumptions!$B$84*Assumptions!$B$85*12+'Equipment plan'!$H$10*12*MAX(0,D24-1)</f>
        <v>378519.64660896</v>
      </c>
      <c r="E42" s="17" t="n">
        <f aca="false">(Assumptions!$B$78+Assumptions!$B$80+Assumptions!$B$81+Assumptions!$B$82+Assumptions!$B$83)*12+E24*E30+E31+E37*E29+Assumptions!$B$84*Assumptions!$B$85*12+'Equipment plan'!$H$10*12*MAX(0,E24-1)</f>
        <v>439349.71366344</v>
      </c>
      <c r="F42" s="17" t="n">
        <f aca="false">(Assumptions!$B$78+Assumptions!$B$80+Assumptions!$B$81+Assumptions!$B$82+Assumptions!$B$83)*12+F24*F30+F31+F37*F29+Assumptions!$B$84*Assumptions!$B$85*12+'Equipment plan'!$H$10*12*MAX(0,F24-1)</f>
        <v>442050.02616344</v>
      </c>
      <c r="G42" s="3"/>
      <c r="H42" s="8" t="s">
        <v>597</v>
      </c>
    </row>
    <row r="43" customFormat="false" ht="15" hidden="false" customHeight="false" outlineLevel="0" collapsed="false">
      <c r="A43" s="18" t="s">
        <v>598</v>
      </c>
      <c r="B43" s="24" t="n">
        <f aca="false">B40-B42</f>
        <v>16025.6196410397</v>
      </c>
      <c r="C43" s="24" t="n">
        <f aca="false">C40-C42</f>
        <v>12026.9199410397</v>
      </c>
      <c r="D43" s="24" t="n">
        <f aca="false">D40-D42</f>
        <v>-15670.8876249603</v>
      </c>
      <c r="E43" s="24" t="n">
        <f aca="false">E40-E42</f>
        <v>2613.67227845953</v>
      </c>
      <c r="F43" s="24" t="n">
        <f aca="false">F40-F42</f>
        <v>-7048.09864328359</v>
      </c>
      <c r="G43" s="3"/>
      <c r="H43" s="3"/>
    </row>
    <row r="44" customFormat="false" ht="15" hidden="false" customHeight="false" outlineLevel="0" collapsed="false">
      <c r="A44" s="20" t="s">
        <v>599</v>
      </c>
      <c r="B44" s="11" t="n">
        <v>15000</v>
      </c>
      <c r="C44" s="11" t="n">
        <v>0</v>
      </c>
      <c r="D44" s="11" t="n">
        <v>0</v>
      </c>
      <c r="E44" s="11" t="n">
        <v>0</v>
      </c>
      <c r="F44" s="11" t="n">
        <v>0</v>
      </c>
      <c r="G44" s="3"/>
      <c r="H44" s="8" t="s">
        <v>600</v>
      </c>
    </row>
    <row r="45" customFormat="false" ht="15" hidden="false" customHeight="false" outlineLevel="0" collapsed="false">
      <c r="A45" s="20" t="s">
        <v>601</v>
      </c>
      <c r="B45" s="14" t="n">
        <v>0.1</v>
      </c>
      <c r="C45" s="14" t="n">
        <v>0.1</v>
      </c>
      <c r="D45" s="14" t="n">
        <v>0.1</v>
      </c>
      <c r="E45" s="14" t="n">
        <v>0.1</v>
      </c>
      <c r="F45" s="14" t="n">
        <v>0.1</v>
      </c>
      <c r="G45" s="3"/>
      <c r="H45" s="8" t="s">
        <v>602</v>
      </c>
    </row>
    <row r="46" customFormat="false" ht="15" hidden="false" customHeight="false" outlineLevel="0" collapsed="false">
      <c r="A46" s="20" t="s">
        <v>603</v>
      </c>
      <c r="B46" s="17" t="n">
        <f aca="false">B44+IF(B44=0,0,B45*MAX(0,B43-MAX(0,'5-year plan'!$B$44)))</f>
        <v>16602.561964104</v>
      </c>
      <c r="C46" s="17" t="n">
        <f aca="false">C44+IF(C44=0,0,C45*MAX(0,C43-MAX(0,'5-year plan'!$B$44)))</f>
        <v>0</v>
      </c>
      <c r="D46" s="17" t="n">
        <f aca="false">D44+IF(D44=0,0,D45*MAX(0,D43-MAX(0,'5-year plan'!$B$44)))</f>
        <v>0</v>
      </c>
      <c r="E46" s="17" t="n">
        <f aca="false">E44+IF(E44=0,0,E45*MAX(0,E43-MAX(0,'5-year plan'!$B$44)))</f>
        <v>0</v>
      </c>
      <c r="F46" s="17" t="n">
        <f aca="false">F44+IF(F44=0,0,F45*MAX(0,F43-MAX(0,'5-year plan'!$B$44)))</f>
        <v>0</v>
      </c>
      <c r="G46" s="3"/>
      <c r="H46" s="3"/>
    </row>
    <row r="47" customFormat="false" ht="15" hidden="false" customHeight="false" outlineLevel="0" collapsed="false">
      <c r="A47" s="18" t="s">
        <v>604</v>
      </c>
      <c r="B47" s="24" t="n">
        <f aca="false">B43-B46</f>
        <v>-576.942323064275</v>
      </c>
      <c r="C47" s="24" t="n">
        <f aca="false">C43-C46</f>
        <v>12026.9199410397</v>
      </c>
      <c r="D47" s="24" t="n">
        <f aca="false">D43-D46</f>
        <v>-15670.8876249603</v>
      </c>
      <c r="E47" s="24" t="n">
        <f aca="false">E43-E46</f>
        <v>2613.67227845953</v>
      </c>
      <c r="F47" s="24" t="n">
        <f aca="false">F43-F46</f>
        <v>-7048.09864328359</v>
      </c>
      <c r="G47" s="3"/>
      <c r="H47" s="3"/>
    </row>
    <row r="48" customFormat="false" ht="15" hidden="false" customHeight="false" outlineLevel="0" collapsed="false">
      <c r="A48" s="20" t="s">
        <v>605</v>
      </c>
      <c r="B48" s="23" t="n">
        <f aca="false">IF(B37=0,0,B47/B37)</f>
        <v>-0.000656126451805594</v>
      </c>
      <c r="C48" s="23" t="n">
        <f aca="false">IF(C37=0,0,C47/C37)</f>
        <v>0.0135338726787301</v>
      </c>
      <c r="D48" s="23" t="n">
        <f aca="false">IF(D37=0,0,D47/D37)</f>
        <v>-0.017432929712073</v>
      </c>
      <c r="E48" s="23" t="n">
        <f aca="false">IF(E37=0,0,E47/E37)</f>
        <v>0.00232122157253575</v>
      </c>
      <c r="F48" s="23" t="n">
        <f aca="false">IF(F37=0,0,F47/F37)</f>
        <v>-0.00620798724886308</v>
      </c>
      <c r="G48" s="3"/>
      <c r="H48" s="3"/>
    </row>
    <row r="49" customFormat="false" ht="15" hidden="false" customHeight="false" outlineLevel="0" collapsed="false">
      <c r="A49" s="20" t="s">
        <v>606</v>
      </c>
      <c r="B49" s="17" t="n">
        <f aca="false">MAX(0,B24-1)*'Equipment plan'!$G$10</f>
        <v>27700</v>
      </c>
      <c r="C49" s="17" t="n">
        <f aca="false">MAX(0,C24-B24)*'Equipment plan'!$G$10</f>
        <v>0</v>
      </c>
      <c r="D49" s="17" t="n">
        <f aca="false">MAX(0,D24-C24)*'Equipment plan'!$G$10</f>
        <v>0</v>
      </c>
      <c r="E49" s="17" t="n">
        <f aca="false">MAX(0,E24-D24)*'Equipment plan'!$G$10</f>
        <v>13850</v>
      </c>
      <c r="F49" s="17" t="n">
        <f aca="false">MAX(0,F24-E24)*'Equipment plan'!$G$10</f>
        <v>0</v>
      </c>
      <c r="G49" s="3"/>
      <c r="H49" s="3"/>
    </row>
    <row r="50" customFormat="false" ht="15" hidden="false" customHeight="false" outlineLevel="0" collapsed="false">
      <c r="A50" s="18" t="s">
        <v>607</v>
      </c>
      <c r="B50" s="24" t="n">
        <f aca="false">Assumptions!$B$62+B47-B49</f>
        <v>-3276.94232306427</v>
      </c>
      <c r="C50" s="24" t="n">
        <f aca="false">B50+C47-C49</f>
        <v>8749.97761797543</v>
      </c>
      <c r="D50" s="24" t="n">
        <f aca="false">C50+D47-D49</f>
        <v>-6920.91000698491</v>
      </c>
      <c r="E50" s="24" t="n">
        <f aca="false">D50+E47-E49</f>
        <v>-18157.2377285254</v>
      </c>
      <c r="F50" s="24" t="n">
        <f aca="false">E50+F47-F49</f>
        <v>-25205.336371809</v>
      </c>
      <c r="G50" s="3"/>
      <c r="H50" s="8" t="s">
        <v>608</v>
      </c>
    </row>
    <row r="51" customFormat="false" ht="15" hidden="false" customHeight="false" outlineLevel="0" collapsed="false">
      <c r="A51" s="20" t="s">
        <v>609</v>
      </c>
      <c r="B51" s="17" t="n">
        <f aca="false">B47+Assumptions!$B$78*12</f>
        <v>149423.057676936</v>
      </c>
      <c r="C51" s="17" t="n">
        <f aca="false">C47+Assumptions!$B$78*12</f>
        <v>162026.91994104</v>
      </c>
      <c r="D51" s="17" t="n">
        <f aca="false">D47+Assumptions!$B$78*12</f>
        <v>134329.11237504</v>
      </c>
      <c r="E51" s="17" t="n">
        <f aca="false">E47+Assumptions!$B$78*12</f>
        <v>152613.67227846</v>
      </c>
      <c r="F51" s="17" t="n">
        <f aca="false">F47+Assumptions!$B$78*12</f>
        <v>142951.901356716</v>
      </c>
      <c r="G51" s="3"/>
      <c r="H51" s="3"/>
    </row>
    <row r="52" customFormat="false" ht="15" hidden="false" customHeight="false" outlineLevel="0" collapsed="false">
      <c r="A52" s="20" t="s">
        <v>610</v>
      </c>
      <c r="B52" s="17" t="n">
        <f aca="false">MAX(0,B51)*2.46</f>
        <v>367580.721885262</v>
      </c>
      <c r="C52" s="17" t="n">
        <f aca="false">MAX(0,C51)*2.46</f>
        <v>398586.223054958</v>
      </c>
      <c r="D52" s="17" t="n">
        <f aca="false">MAX(0,D51)*2.46</f>
        <v>330449.616442598</v>
      </c>
      <c r="E52" s="17" t="n">
        <f aca="false">MAX(0,E51)*2.46</f>
        <v>375429.63380501</v>
      </c>
      <c r="F52" s="17" t="n">
        <f aca="false">MAX(0,F51)*2.46</f>
        <v>351661.677337522</v>
      </c>
      <c r="G52" s="3"/>
      <c r="H52" s="8" t="s">
        <v>611</v>
      </c>
    </row>
    <row r="53" customFormat="false" ht="15" hidden="false" customHeight="false" outlineLevel="0" collapsed="false">
      <c r="A53" s="3"/>
      <c r="B53" s="3"/>
      <c r="C53" s="3"/>
      <c r="D53" s="3"/>
      <c r="E53" s="3"/>
      <c r="F53" s="3"/>
      <c r="G53" s="3"/>
      <c r="H53" s="3"/>
    </row>
    <row r="54" customFormat="false" ht="42" hidden="false" customHeight="true" outlineLevel="0" collapsed="false">
      <c r="A54" s="5" t="s">
        <v>612</v>
      </c>
      <c r="B54" s="6"/>
      <c r="C54" s="6"/>
      <c r="D54" s="6"/>
      <c r="E54" s="6"/>
      <c r="F54" s="6"/>
      <c r="G54" s="3"/>
      <c r="H54" s="42" t="s">
        <v>613</v>
      </c>
    </row>
    <row r="55" customFormat="false" ht="15" hidden="false" customHeight="false" outlineLevel="0" collapsed="false">
      <c r="A55" s="30" t="s">
        <v>580</v>
      </c>
      <c r="B55" s="30" t="s">
        <v>335</v>
      </c>
      <c r="C55" s="30" t="s">
        <v>336</v>
      </c>
      <c r="D55" s="30" t="s">
        <v>487</v>
      </c>
      <c r="E55" s="30" t="s">
        <v>488</v>
      </c>
      <c r="F55" s="30" t="s">
        <v>489</v>
      </c>
      <c r="G55" s="3"/>
      <c r="H55" s="3"/>
    </row>
    <row r="56" customFormat="false" ht="15" hidden="false" customHeight="false" outlineLevel="0" collapsed="false">
      <c r="A56" s="20" t="s">
        <v>494</v>
      </c>
      <c r="B56" s="34" t="n">
        <v>2</v>
      </c>
      <c r="C56" s="34" t="n">
        <v>2</v>
      </c>
      <c r="D56" s="34" t="n">
        <v>2.5</v>
      </c>
      <c r="E56" s="34" t="n">
        <v>3.5</v>
      </c>
      <c r="F56" s="34" t="n">
        <v>4</v>
      </c>
      <c r="G56" s="3"/>
      <c r="H56" s="8" t="s">
        <v>581</v>
      </c>
    </row>
    <row r="57" customFormat="false" ht="15" hidden="false" customHeight="false" outlineLevel="0" collapsed="false">
      <c r="A57" s="20" t="s">
        <v>582</v>
      </c>
      <c r="B57" s="13" t="n">
        <v>43</v>
      </c>
      <c r="C57" s="13" t="n">
        <v>43</v>
      </c>
      <c r="D57" s="13" t="n">
        <v>43</v>
      </c>
      <c r="E57" s="13" t="n">
        <v>43</v>
      </c>
      <c r="F57" s="13" t="n">
        <v>43</v>
      </c>
      <c r="G57" s="3"/>
      <c r="H57" s="8" t="s">
        <v>583</v>
      </c>
    </row>
    <row r="58" customFormat="false" ht="15" hidden="false" customHeight="false" outlineLevel="0" collapsed="false">
      <c r="A58" s="20" t="s">
        <v>444</v>
      </c>
      <c r="B58" s="11" t="n">
        <v>50</v>
      </c>
      <c r="C58" s="17" t="n">
        <f aca="false">B58*(1+$B$59)</f>
        <v>51.5</v>
      </c>
      <c r="D58" s="17" t="n">
        <f aca="false">C58*(1+$B$59)</f>
        <v>53.045</v>
      </c>
      <c r="E58" s="17" t="n">
        <f aca="false">D58*(1+$B$59)</f>
        <v>54.63635</v>
      </c>
      <c r="F58" s="17" t="n">
        <f aca="false">E58*(1+$B$59)</f>
        <v>56.2754405</v>
      </c>
      <c r="G58" s="3"/>
      <c r="H58" s="3"/>
    </row>
    <row r="59" customFormat="false" ht="15" hidden="false" customHeight="false" outlineLevel="0" collapsed="false">
      <c r="A59" s="20" t="s">
        <v>584</v>
      </c>
      <c r="B59" s="14" t="n">
        <v>0.03</v>
      </c>
      <c r="C59" s="14" t="n">
        <v>0.03</v>
      </c>
      <c r="D59" s="14" t="n">
        <v>0.03</v>
      </c>
      <c r="E59" s="14" t="n">
        <v>0.03</v>
      </c>
      <c r="F59" s="14" t="n">
        <v>0.03</v>
      </c>
      <c r="G59" s="3"/>
      <c r="H59" s="3"/>
    </row>
    <row r="60" customFormat="false" ht="15" hidden="false" customHeight="false" outlineLevel="0" collapsed="false">
      <c r="A60" s="20" t="s">
        <v>585</v>
      </c>
      <c r="B60" s="13" t="n">
        <v>94</v>
      </c>
      <c r="C60" s="13" t="n">
        <v>216</v>
      </c>
      <c r="D60" s="13" t="n">
        <v>355</v>
      </c>
      <c r="E60" s="13" t="n">
        <v>540</v>
      </c>
      <c r="F60" s="13" t="n">
        <v>745</v>
      </c>
      <c r="G60" s="3"/>
      <c r="H60" s="3"/>
    </row>
    <row r="61" customFormat="false" ht="15" hidden="false" customHeight="false" outlineLevel="0" collapsed="false">
      <c r="A61" s="20" t="s">
        <v>586</v>
      </c>
      <c r="B61" s="14" t="n">
        <v>0.05</v>
      </c>
      <c r="C61" s="14" t="n">
        <v>0.05</v>
      </c>
      <c r="D61" s="14" t="n">
        <v>0.05</v>
      </c>
      <c r="E61" s="14" t="n">
        <v>0.05</v>
      </c>
      <c r="F61" s="14" t="n">
        <v>0.05</v>
      </c>
      <c r="G61" s="3"/>
      <c r="H61" s="3"/>
    </row>
    <row r="62" customFormat="false" ht="15" hidden="false" customHeight="false" outlineLevel="0" collapsed="false">
      <c r="A62" s="20" t="s">
        <v>587</v>
      </c>
      <c r="B62" s="11" t="n">
        <v>22000</v>
      </c>
      <c r="C62" s="11" t="n">
        <v>22000</v>
      </c>
      <c r="D62" s="11" t="n">
        <v>22000</v>
      </c>
      <c r="E62" s="11" t="n">
        <v>22000</v>
      </c>
      <c r="F62" s="11" t="n">
        <v>22000</v>
      </c>
      <c r="G62" s="3"/>
      <c r="H62" s="3"/>
    </row>
    <row r="63" customFormat="false" ht="15" hidden="false" customHeight="false" outlineLevel="0" collapsed="false">
      <c r="A63" s="20" t="s">
        <v>588</v>
      </c>
      <c r="B63" s="11" t="n">
        <v>0</v>
      </c>
      <c r="C63" s="11" t="n">
        <v>30000</v>
      </c>
      <c r="D63" s="11" t="n">
        <v>102750</v>
      </c>
      <c r="E63" s="11" t="n">
        <v>191000</v>
      </c>
      <c r="F63" s="11" t="n">
        <v>200000</v>
      </c>
      <c r="G63" s="3"/>
      <c r="H63" s="8" t="s">
        <v>589</v>
      </c>
    </row>
    <row r="64" customFormat="false" ht="15" hidden="false" customHeight="false" outlineLevel="0" collapsed="false">
      <c r="A64" s="43" t="s">
        <v>590</v>
      </c>
      <c r="B64" s="44"/>
      <c r="C64" s="44"/>
      <c r="D64" s="44"/>
      <c r="E64" s="44"/>
      <c r="F64" s="44"/>
      <c r="G64" s="3"/>
      <c r="H64" s="44"/>
    </row>
    <row r="65" customFormat="false" ht="15" hidden="false" customHeight="false" outlineLevel="0" collapsed="false">
      <c r="A65" s="20" t="s">
        <v>591</v>
      </c>
      <c r="B65" s="21" t="n">
        <f aca="false">B56*Assumptions!$B$10*12</f>
        <v>504</v>
      </c>
      <c r="C65" s="21" t="n">
        <f aca="false">C56*Assumptions!$B$10*12</f>
        <v>504</v>
      </c>
      <c r="D65" s="21" t="n">
        <f aca="false">D56*Assumptions!$B$10*12</f>
        <v>630</v>
      </c>
      <c r="E65" s="21" t="n">
        <f aca="false">E56*Assumptions!$B$10*12</f>
        <v>882</v>
      </c>
      <c r="F65" s="21" t="n">
        <f aca="false">F56*Assumptions!$B$10*12</f>
        <v>1008</v>
      </c>
      <c r="G65" s="3"/>
      <c r="H65" s="3"/>
    </row>
    <row r="66" customFormat="false" ht="15" hidden="false" customHeight="false" outlineLevel="0" collapsed="false">
      <c r="A66" s="18" t="s">
        <v>592</v>
      </c>
      <c r="B66" s="22" t="n">
        <f aca="false">B65*B57</f>
        <v>21672</v>
      </c>
      <c r="C66" s="22" t="n">
        <f aca="false">C65*C57</f>
        <v>21672</v>
      </c>
      <c r="D66" s="22" t="n">
        <f aca="false">D65*D57</f>
        <v>27090</v>
      </c>
      <c r="E66" s="22" t="n">
        <f aca="false">E65*E57</f>
        <v>37926</v>
      </c>
      <c r="F66" s="22" t="n">
        <f aca="false">F65*F57</f>
        <v>43344</v>
      </c>
      <c r="G66" s="3"/>
      <c r="H66" s="3"/>
    </row>
    <row r="67" customFormat="false" ht="15" hidden="false" customHeight="false" outlineLevel="0" collapsed="false">
      <c r="A67" s="20" t="s">
        <v>593</v>
      </c>
      <c r="B67" s="17" t="n">
        <f aca="false">B66*B58</f>
        <v>1083600</v>
      </c>
      <c r="C67" s="17" t="n">
        <f aca="false">C66*C58</f>
        <v>1116108</v>
      </c>
      <c r="D67" s="17" t="n">
        <f aca="false">D66*D58</f>
        <v>1436989.05</v>
      </c>
      <c r="E67" s="17" t="n">
        <f aca="false">E66*E58</f>
        <v>2072138.2101</v>
      </c>
      <c r="F67" s="17" t="n">
        <f aca="false">F66*F58</f>
        <v>2439202.693032</v>
      </c>
      <c r="G67" s="3"/>
      <c r="H67" s="3"/>
    </row>
    <row r="68" customFormat="false" ht="15" hidden="false" customHeight="false" outlineLevel="0" collapsed="false">
      <c r="A68" s="20" t="s">
        <v>504</v>
      </c>
      <c r="B68" s="17" t="n">
        <f aca="false">B60*Assumptions!$B$30*Assumptions!$B$33</f>
        <v>17554.5</v>
      </c>
      <c r="C68" s="17" t="n">
        <f aca="false">C60*Assumptions!$B$30*Assumptions!$B$33</f>
        <v>40338</v>
      </c>
      <c r="D68" s="17" t="n">
        <f aca="false">D60*Assumptions!$B$30*Assumptions!$B$33</f>
        <v>66296.25</v>
      </c>
      <c r="E68" s="17" t="n">
        <f aca="false">E60*Assumptions!$B$30*Assumptions!$B$33</f>
        <v>100845</v>
      </c>
      <c r="F68" s="17" t="n">
        <f aca="false">F60*Assumptions!$B$30*Assumptions!$B$33</f>
        <v>139128.75</v>
      </c>
      <c r="G68" s="3"/>
      <c r="H68" s="3"/>
    </row>
    <row r="69" customFormat="false" ht="15" hidden="false" customHeight="false" outlineLevel="0" collapsed="false">
      <c r="A69" s="18" t="s">
        <v>360</v>
      </c>
      <c r="B69" s="24" t="n">
        <f aca="false">B67+B68</f>
        <v>1101154.5</v>
      </c>
      <c r="C69" s="24" t="n">
        <f aca="false">C67+C68</f>
        <v>1156446</v>
      </c>
      <c r="D69" s="24" t="n">
        <f aca="false">D67+D68</f>
        <v>1503285.3</v>
      </c>
      <c r="E69" s="24" t="n">
        <f aca="false">E67+E68</f>
        <v>2172983.2101</v>
      </c>
      <c r="F69" s="24" t="n">
        <f aca="false">F67+F68</f>
        <v>2578331.443032</v>
      </c>
      <c r="G69" s="3"/>
      <c r="H69" s="3"/>
    </row>
    <row r="70" customFormat="false" ht="15" hidden="false" customHeight="false" outlineLevel="0" collapsed="false">
      <c r="A70" s="20" t="s">
        <v>594</v>
      </c>
      <c r="B70" s="17" t="n">
        <f aca="false">B56*(Assumptions!$B$26*Assumptions!$B$27*Assumptions!$B$23+Assumptions!$B$27*Assumptions!$B$24)*(1+Assumptions!$B$25)*12*1.03^MAX(0,COLUMN(B1)-2)</f>
        <v>333696.24</v>
      </c>
      <c r="C70" s="17" t="n">
        <f aca="false">C56*(Assumptions!$B$26*Assumptions!$B$27*Assumptions!$B$23+Assumptions!$B$27*Assumptions!$B$24)*(1+Assumptions!$B$25)*12*1.03^MAX(0,COLUMN(C1)-2)</f>
        <v>343707.1272</v>
      </c>
      <c r="D70" s="17" t="n">
        <f aca="false">D56*(Assumptions!$B$26*Assumptions!$B$27*Assumptions!$B$23+Assumptions!$B$27*Assumptions!$B$24)*(1+Assumptions!$B$25)*12*1.03^MAX(0,COLUMN(D1)-2)</f>
        <v>442522.92627</v>
      </c>
      <c r="E70" s="17" t="n">
        <f aca="false">E56*(Assumptions!$B$26*Assumptions!$B$27*Assumptions!$B$23+Assumptions!$B$27*Assumptions!$B$24)*(1+Assumptions!$B$25)*12*1.03^MAX(0,COLUMN(E1)-2)</f>
        <v>638118.05968134</v>
      </c>
      <c r="F70" s="17" t="n">
        <f aca="false">F56*(Assumptions!$B$26*Assumptions!$B$27*Assumptions!$B$23+Assumptions!$B$27*Assumptions!$B$24)*(1+Assumptions!$B$25)*12*1.03^MAX(0,COLUMN(F1)-2)</f>
        <v>751156.115967749</v>
      </c>
      <c r="G70" s="3"/>
      <c r="H70" s="3"/>
    </row>
    <row r="71" customFormat="false" ht="15" hidden="false" customHeight="false" outlineLevel="0" collapsed="false">
      <c r="A71" s="20" t="s">
        <v>595</v>
      </c>
      <c r="B71" s="17" t="n">
        <f aca="false">B67*Assumptions!$B$22+B60*Assumptions!$B$33*Assumptions!$B$37</f>
        <v>221655</v>
      </c>
      <c r="C71" s="17" t="n">
        <f aca="false">C67*Assumptions!$B$22+C60*Assumptions!$B$33*Assumptions!$B$37</f>
        <v>234561.6</v>
      </c>
      <c r="D71" s="17" t="n">
        <f aca="false">D67*Assumptions!$B$22+D60*Assumptions!$B$33*Assumptions!$B$37</f>
        <v>306035.31</v>
      </c>
      <c r="E71" s="17" t="n">
        <f aca="false">E67*Assumptions!$B$22+E60*Assumptions!$B$33*Assumptions!$B$37</f>
        <v>442777.64202</v>
      </c>
      <c r="F71" s="17" t="n">
        <f aca="false">F67*Assumptions!$B$22+F60*Assumptions!$B$33*Assumptions!$B$37</f>
        <v>526953.0386064</v>
      </c>
      <c r="G71" s="3"/>
      <c r="H71" s="3"/>
    </row>
    <row r="72" customFormat="false" ht="15" hidden="false" customHeight="false" outlineLevel="0" collapsed="false">
      <c r="A72" s="18" t="s">
        <v>367</v>
      </c>
      <c r="B72" s="24" t="n">
        <f aca="false">B69-B70-B71</f>
        <v>545803.26</v>
      </c>
      <c r="C72" s="24" t="n">
        <f aca="false">C69-C70-C71</f>
        <v>578177.2728</v>
      </c>
      <c r="D72" s="24" t="n">
        <f aca="false">D69-D70-D71</f>
        <v>754727.06373</v>
      </c>
      <c r="E72" s="24" t="n">
        <f aca="false">E69-E70-E71</f>
        <v>1092087.50839866</v>
      </c>
      <c r="F72" s="24" t="n">
        <f aca="false">F69-F70-F71</f>
        <v>1300222.28845785</v>
      </c>
      <c r="G72" s="3"/>
      <c r="H72" s="3"/>
    </row>
    <row r="73" customFormat="false" ht="15" hidden="false" customHeight="false" outlineLevel="0" collapsed="false">
      <c r="A73" s="20" t="s">
        <v>408</v>
      </c>
      <c r="B73" s="23" t="n">
        <f aca="false">IF(B69=0,0,B72/B69)</f>
        <v>0.495664559332955</v>
      </c>
      <c r="C73" s="23" t="n">
        <f aca="false">IF(C69=0,0,C72/C69)</f>
        <v>0.49996045885411</v>
      </c>
      <c r="D73" s="23" t="n">
        <f aca="false">IF(D69=0,0,D72/D69)</f>
        <v>0.502051782007048</v>
      </c>
      <c r="E73" s="23" t="n">
        <f aca="false">IF(E69=0,0,E72/E69)</f>
        <v>0.502575217020845</v>
      </c>
      <c r="F73" s="23" t="n">
        <f aca="false">IF(F69=0,0,F72/F69)</f>
        <v>0.504288264401278</v>
      </c>
      <c r="G73" s="3"/>
      <c r="H73" s="3"/>
    </row>
    <row r="74" customFormat="false" ht="15" hidden="false" customHeight="false" outlineLevel="0" collapsed="false">
      <c r="A74" s="20" t="s">
        <v>596</v>
      </c>
      <c r="B74" s="17" t="n">
        <f aca="false">(Assumptions!$B$78+Assumptions!$B$80+Assumptions!$B$81+Assumptions!$B$82+Assumptions!$B$83)*12+B56*B62+B63+B69*B61+Assumptions!$B$84*Assumptions!$B$85*12+'Equipment plan'!$H$10*12*MAX(0,B56-1)</f>
        <v>338158.03410896</v>
      </c>
      <c r="C74" s="17" t="n">
        <f aca="false">(Assumptions!$B$78+Assumptions!$B$80+Assumptions!$B$81+Assumptions!$B$82+Assumptions!$B$83)*12+C56*C62+C63+C69*C61+Assumptions!$B$84*Assumptions!$B$85*12+'Equipment plan'!$H$10*12*MAX(0,C56-1)</f>
        <v>370922.60910896</v>
      </c>
      <c r="D74" s="17" t="n">
        <f aca="false">(Assumptions!$B$78+Assumptions!$B$80+Assumptions!$B$81+Assumptions!$B$82+Assumptions!$B$83)*12+D56*D62+D63+D69*D61+Assumptions!$B$84*Assumptions!$B$85*12+'Equipment plan'!$H$10*12*MAX(0,D56-1)</f>
        <v>485814.72866344</v>
      </c>
      <c r="E74" s="17" t="n">
        <f aca="false">(Assumptions!$B$78+Assumptions!$B$80+Assumptions!$B$81+Assumptions!$B$82+Assumptions!$B$83)*12+E56*E62+E63+E69*E61+Assumptions!$B$84*Assumptions!$B$85*12+'Equipment plan'!$H$10*12*MAX(0,E56-1)</f>
        <v>657149.933277401</v>
      </c>
      <c r="F74" s="17" t="n">
        <f aca="false">(Assumptions!$B$78+Assumptions!$B$80+Assumptions!$B$81+Assumptions!$B$82+Assumptions!$B$83)*12+F56*F62+F63+F69*F61+Assumptions!$B$84*Assumptions!$B$85*12+'Equipment plan'!$H$10*12*MAX(0,F56-1)</f>
        <v>711217.499478481</v>
      </c>
      <c r="G74" s="3"/>
      <c r="H74" s="8" t="s">
        <v>597</v>
      </c>
    </row>
    <row r="75" customFormat="false" ht="15" hidden="false" customHeight="false" outlineLevel="0" collapsed="false">
      <c r="A75" s="18" t="s">
        <v>598</v>
      </c>
      <c r="B75" s="24" t="n">
        <f aca="false">B72-B74</f>
        <v>207645.22589104</v>
      </c>
      <c r="C75" s="24" t="n">
        <f aca="false">C72-C74</f>
        <v>207254.66369104</v>
      </c>
      <c r="D75" s="24" t="n">
        <f aca="false">D72-D74</f>
        <v>268912.33506656</v>
      </c>
      <c r="E75" s="24" t="n">
        <f aca="false">E72-E74</f>
        <v>434937.575121259</v>
      </c>
      <c r="F75" s="24" t="n">
        <f aca="false">F72-F74</f>
        <v>589004.78897937</v>
      </c>
      <c r="G75" s="3"/>
      <c r="H75" s="3"/>
    </row>
    <row r="76" customFormat="false" ht="15" hidden="false" customHeight="false" outlineLevel="0" collapsed="false">
      <c r="A76" s="20" t="s">
        <v>599</v>
      </c>
      <c r="B76" s="11" t="n">
        <v>60000</v>
      </c>
      <c r="C76" s="11" t="n">
        <v>60000</v>
      </c>
      <c r="D76" s="11" t="n">
        <v>66000</v>
      </c>
      <c r="E76" s="11" t="n">
        <v>72000</v>
      </c>
      <c r="F76" s="11" t="n">
        <v>72000</v>
      </c>
      <c r="G76" s="3"/>
      <c r="H76" s="8" t="s">
        <v>600</v>
      </c>
    </row>
    <row r="77" customFormat="false" ht="15" hidden="false" customHeight="false" outlineLevel="0" collapsed="false">
      <c r="A77" s="20" t="s">
        <v>601</v>
      </c>
      <c r="B77" s="14" t="n">
        <v>0.1</v>
      </c>
      <c r="C77" s="14" t="n">
        <v>0.1</v>
      </c>
      <c r="D77" s="14" t="n">
        <v>0.1</v>
      </c>
      <c r="E77" s="14" t="n">
        <v>0.1</v>
      </c>
      <c r="F77" s="14" t="n">
        <v>0.1</v>
      </c>
      <c r="G77" s="3"/>
      <c r="H77" s="8" t="s">
        <v>602</v>
      </c>
    </row>
    <row r="78" customFormat="false" ht="15" hidden="false" customHeight="false" outlineLevel="0" collapsed="false">
      <c r="A78" s="20" t="s">
        <v>603</v>
      </c>
      <c r="B78" s="17" t="n">
        <f aca="false">B76+IF(B76=0,0,B77*MAX(0,B75-MAX(0,'5-year plan'!$B$44)))</f>
        <v>80764.522589104</v>
      </c>
      <c r="C78" s="17" t="n">
        <f aca="false">C76+IF(C76=0,0,C77*MAX(0,C75-MAX(0,'5-year plan'!$B$44)))</f>
        <v>80725.466369104</v>
      </c>
      <c r="D78" s="17" t="n">
        <f aca="false">D76+IF(D76=0,0,D77*MAX(0,D75-MAX(0,'5-year plan'!$B$44)))</f>
        <v>92891.233506656</v>
      </c>
      <c r="E78" s="17" t="n">
        <f aca="false">E76+IF(E76=0,0,E77*MAX(0,E75-MAX(0,'5-year plan'!$B$44)))</f>
        <v>115493.757512126</v>
      </c>
      <c r="F78" s="17" t="n">
        <f aca="false">F76+IF(F76=0,0,F77*MAX(0,F75-MAX(0,'5-year plan'!$B$44)))</f>
        <v>130900.478897937</v>
      </c>
      <c r="G78" s="3"/>
      <c r="H78" s="3"/>
    </row>
    <row r="79" customFormat="false" ht="15" hidden="false" customHeight="false" outlineLevel="0" collapsed="false">
      <c r="A79" s="18" t="s">
        <v>604</v>
      </c>
      <c r="B79" s="24" t="n">
        <f aca="false">B75-B78</f>
        <v>126880.703301936</v>
      </c>
      <c r="C79" s="24" t="n">
        <f aca="false">C75-C78</f>
        <v>126529.197321936</v>
      </c>
      <c r="D79" s="24" t="n">
        <f aca="false">D75-D78</f>
        <v>176021.101559904</v>
      </c>
      <c r="E79" s="24" t="n">
        <f aca="false">E75-E78</f>
        <v>319443.817609133</v>
      </c>
      <c r="F79" s="24" t="n">
        <f aca="false">F75-F78</f>
        <v>458104.310081433</v>
      </c>
      <c r="G79" s="3"/>
      <c r="H79" s="3"/>
    </row>
    <row r="80" customFormat="false" ht="15" hidden="false" customHeight="false" outlineLevel="0" collapsed="false">
      <c r="A80" s="20" t="s">
        <v>605</v>
      </c>
      <c r="B80" s="23" t="n">
        <f aca="false">IF(B69=0,0,B79/B69)</f>
        <v>0.115225159868062</v>
      </c>
      <c r="C80" s="23" t="n">
        <f aca="false">IF(C69=0,0,C79/C69)</f>
        <v>0.109412110312056</v>
      </c>
      <c r="D80" s="23" t="n">
        <f aca="false">IF(D69=0,0,D79/D69)</f>
        <v>0.117090948444652</v>
      </c>
      <c r="E80" s="23" t="n">
        <f aca="false">IF(E69=0,0,E79/E69)</f>
        <v>0.147007034442034</v>
      </c>
      <c r="F80" s="23" t="n">
        <f aca="false">IF(F69=0,0,F79/F69)</f>
        <v>0.177674717236013</v>
      </c>
      <c r="G80" s="3"/>
      <c r="H80" s="3"/>
    </row>
    <row r="81" customFormat="false" ht="15" hidden="false" customHeight="false" outlineLevel="0" collapsed="false">
      <c r="A81" s="20" t="s">
        <v>606</v>
      </c>
      <c r="B81" s="17" t="n">
        <f aca="false">MAX(0,B56-1)*'Equipment plan'!$G$10</f>
        <v>27700</v>
      </c>
      <c r="C81" s="17" t="n">
        <f aca="false">MAX(0,C56-B56)*'Equipment plan'!$G$10</f>
        <v>0</v>
      </c>
      <c r="D81" s="17" t="n">
        <f aca="false">MAX(0,D56-C56)*'Equipment plan'!$G$10</f>
        <v>13850</v>
      </c>
      <c r="E81" s="17" t="n">
        <f aca="false">MAX(0,E56-D56)*'Equipment plan'!$G$10</f>
        <v>27700</v>
      </c>
      <c r="F81" s="17" t="n">
        <f aca="false">MAX(0,F56-E56)*'Equipment plan'!$G$10</f>
        <v>13850</v>
      </c>
      <c r="G81" s="3"/>
      <c r="H81" s="3"/>
    </row>
    <row r="82" customFormat="false" ht="15" hidden="false" customHeight="false" outlineLevel="0" collapsed="false">
      <c r="A82" s="18" t="s">
        <v>607</v>
      </c>
      <c r="B82" s="24" t="n">
        <f aca="false">Assumptions!$B$62+B79-B81</f>
        <v>124180.703301936</v>
      </c>
      <c r="C82" s="24" t="n">
        <f aca="false">B82+C79-C81</f>
        <v>250709.900623872</v>
      </c>
      <c r="D82" s="24" t="n">
        <f aca="false">C82+D79-D81</f>
        <v>412881.002183775</v>
      </c>
      <c r="E82" s="24" t="n">
        <f aca="false">D82+E79-E81</f>
        <v>704624.819792908</v>
      </c>
      <c r="F82" s="24" t="n">
        <f aca="false">E82+F79-F81</f>
        <v>1148879.12987434</v>
      </c>
      <c r="G82" s="3"/>
      <c r="H82" s="8" t="s">
        <v>608</v>
      </c>
    </row>
    <row r="83" customFormat="false" ht="15" hidden="false" customHeight="false" outlineLevel="0" collapsed="false">
      <c r="A83" s="20" t="s">
        <v>609</v>
      </c>
      <c r="B83" s="17" t="n">
        <f aca="false">B79+Assumptions!$B$78*12</f>
        <v>276880.703301936</v>
      </c>
      <c r="C83" s="17" t="n">
        <f aca="false">C79+Assumptions!$B$78*12</f>
        <v>276529.197321936</v>
      </c>
      <c r="D83" s="17" t="n">
        <f aca="false">D79+Assumptions!$B$78*12</f>
        <v>326021.101559904</v>
      </c>
      <c r="E83" s="17" t="n">
        <f aca="false">E79+Assumptions!$B$78*12</f>
        <v>469443.817609133</v>
      </c>
      <c r="F83" s="17" t="n">
        <f aca="false">F79+Assumptions!$B$78*12</f>
        <v>608104.310081433</v>
      </c>
      <c r="G83" s="3"/>
      <c r="H83" s="3"/>
    </row>
    <row r="84" customFormat="false" ht="15" hidden="false" customHeight="false" outlineLevel="0" collapsed="false">
      <c r="A84" s="20" t="s">
        <v>610</v>
      </c>
      <c r="B84" s="17" t="n">
        <f aca="false">MAX(0,B83)*2.46</f>
        <v>681126.530122762</v>
      </c>
      <c r="C84" s="17" t="n">
        <f aca="false">MAX(0,C83)*2.46</f>
        <v>680261.825411962</v>
      </c>
      <c r="D84" s="17" t="n">
        <f aca="false">MAX(0,D83)*2.46</f>
        <v>802011.909837363</v>
      </c>
      <c r="E84" s="17" t="n">
        <f aca="false">MAX(0,E83)*2.46</f>
        <v>1154831.79131847</v>
      </c>
      <c r="F84" s="17" t="n">
        <f aca="false">MAX(0,F83)*2.46</f>
        <v>1495936.60280033</v>
      </c>
      <c r="G84" s="3"/>
      <c r="H84" s="8" t="s">
        <v>611</v>
      </c>
    </row>
    <row r="85" customFormat="false" ht="15" hidden="false" customHeight="false" outlineLevel="0" collapsed="false">
      <c r="A85" s="3"/>
      <c r="B85" s="3"/>
      <c r="C85" s="3"/>
      <c r="D85" s="3"/>
      <c r="E85" s="3"/>
      <c r="F85" s="3"/>
      <c r="G85" s="3"/>
      <c r="H85" s="3"/>
    </row>
    <row r="86" customFormat="false" ht="42" hidden="false" customHeight="true" outlineLevel="0" collapsed="false">
      <c r="A86" s="5" t="s">
        <v>614</v>
      </c>
      <c r="B86" s="6"/>
      <c r="C86" s="6"/>
      <c r="D86" s="6"/>
      <c r="E86" s="6"/>
      <c r="F86" s="6"/>
      <c r="G86" s="3"/>
      <c r="H86" s="42" t="s">
        <v>615</v>
      </c>
    </row>
    <row r="87" customFormat="false" ht="15" hidden="false" customHeight="false" outlineLevel="0" collapsed="false">
      <c r="A87" s="30" t="s">
        <v>580</v>
      </c>
      <c r="B87" s="30" t="s">
        <v>335</v>
      </c>
      <c r="C87" s="30" t="s">
        <v>336</v>
      </c>
      <c r="D87" s="30" t="s">
        <v>487</v>
      </c>
      <c r="E87" s="30" t="s">
        <v>488</v>
      </c>
      <c r="F87" s="30" t="s">
        <v>489</v>
      </c>
      <c r="G87" s="3"/>
      <c r="H87" s="3"/>
    </row>
    <row r="88" customFormat="false" ht="15" hidden="false" customHeight="false" outlineLevel="0" collapsed="false">
      <c r="A88" s="20" t="s">
        <v>494</v>
      </c>
      <c r="B88" s="34" t="n">
        <v>2</v>
      </c>
      <c r="C88" s="34" t="n">
        <v>3</v>
      </c>
      <c r="D88" s="34" t="n">
        <v>4</v>
      </c>
      <c r="E88" s="34" t="n">
        <v>4.5</v>
      </c>
      <c r="F88" s="34" t="n">
        <v>5</v>
      </c>
      <c r="G88" s="3"/>
      <c r="H88" s="8" t="s">
        <v>581</v>
      </c>
    </row>
    <row r="89" customFormat="false" ht="15" hidden="false" customHeight="false" outlineLevel="0" collapsed="false">
      <c r="A89" s="20" t="s">
        <v>582</v>
      </c>
      <c r="B89" s="13" t="n">
        <v>48</v>
      </c>
      <c r="C89" s="13" t="n">
        <v>48</v>
      </c>
      <c r="D89" s="13" t="n">
        <v>48</v>
      </c>
      <c r="E89" s="13" t="n">
        <v>48</v>
      </c>
      <c r="F89" s="13" t="n">
        <v>48</v>
      </c>
      <c r="G89" s="3"/>
      <c r="H89" s="8" t="s">
        <v>583</v>
      </c>
    </row>
    <row r="90" customFormat="false" ht="15" hidden="false" customHeight="false" outlineLevel="0" collapsed="false">
      <c r="A90" s="20" t="s">
        <v>444</v>
      </c>
      <c r="B90" s="11" t="n">
        <v>52</v>
      </c>
      <c r="C90" s="17" t="n">
        <f aca="false">B90*(1+$B$91)</f>
        <v>53.56</v>
      </c>
      <c r="D90" s="17" t="n">
        <f aca="false">C90*(1+$B$91)</f>
        <v>55.1668</v>
      </c>
      <c r="E90" s="17" t="n">
        <f aca="false">D90*(1+$B$91)</f>
        <v>56.821804</v>
      </c>
      <c r="F90" s="17" t="n">
        <f aca="false">E90*(1+$B$91)</f>
        <v>58.52645812</v>
      </c>
      <c r="G90" s="3"/>
      <c r="H90" s="3"/>
    </row>
    <row r="91" customFormat="false" ht="15" hidden="false" customHeight="false" outlineLevel="0" collapsed="false">
      <c r="A91" s="20" t="s">
        <v>584</v>
      </c>
      <c r="B91" s="14" t="n">
        <v>0.03</v>
      </c>
      <c r="C91" s="14" t="n">
        <v>0.03</v>
      </c>
      <c r="D91" s="14" t="n">
        <v>0.03</v>
      </c>
      <c r="E91" s="14" t="n">
        <v>0.03</v>
      </c>
      <c r="F91" s="14" t="n">
        <v>0.03</v>
      </c>
      <c r="G91" s="3"/>
      <c r="H91" s="3"/>
    </row>
    <row r="92" customFormat="false" ht="15" hidden="false" customHeight="false" outlineLevel="0" collapsed="false">
      <c r="A92" s="20" t="s">
        <v>585</v>
      </c>
      <c r="B92" s="13" t="n">
        <v>130</v>
      </c>
      <c r="C92" s="13" t="n">
        <v>300</v>
      </c>
      <c r="D92" s="13" t="n">
        <v>500</v>
      </c>
      <c r="E92" s="13" t="n">
        <v>720</v>
      </c>
      <c r="F92" s="13" t="n">
        <v>950</v>
      </c>
      <c r="G92" s="3"/>
      <c r="H92" s="3"/>
    </row>
    <row r="93" customFormat="false" ht="15" hidden="false" customHeight="false" outlineLevel="0" collapsed="false">
      <c r="A93" s="20" t="s">
        <v>586</v>
      </c>
      <c r="B93" s="14" t="n">
        <v>0.045</v>
      </c>
      <c r="C93" s="14" t="n">
        <v>0.045</v>
      </c>
      <c r="D93" s="14" t="n">
        <v>0.045</v>
      </c>
      <c r="E93" s="14" t="n">
        <v>0.045</v>
      </c>
      <c r="F93" s="14" t="n">
        <v>0.045</v>
      </c>
      <c r="G93" s="3"/>
      <c r="H93" s="3"/>
    </row>
    <row r="94" customFormat="false" ht="15" hidden="false" customHeight="false" outlineLevel="0" collapsed="false">
      <c r="A94" s="20" t="s">
        <v>587</v>
      </c>
      <c r="B94" s="11" t="n">
        <v>22000</v>
      </c>
      <c r="C94" s="11" t="n">
        <v>22000</v>
      </c>
      <c r="D94" s="11" t="n">
        <v>22000</v>
      </c>
      <c r="E94" s="11" t="n">
        <v>22000</v>
      </c>
      <c r="F94" s="11" t="n">
        <v>22000</v>
      </c>
      <c r="G94" s="3"/>
      <c r="H94" s="3"/>
    </row>
    <row r="95" customFormat="false" ht="15" hidden="false" customHeight="false" outlineLevel="0" collapsed="false">
      <c r="A95" s="20" t="s">
        <v>588</v>
      </c>
      <c r="B95" s="11" t="n">
        <v>12000</v>
      </c>
      <c r="C95" s="11" t="n">
        <v>54000</v>
      </c>
      <c r="D95" s="11" t="n">
        <v>191000</v>
      </c>
      <c r="E95" s="11" t="n">
        <v>265000</v>
      </c>
      <c r="F95" s="11" t="n">
        <v>290000</v>
      </c>
      <c r="G95" s="3"/>
      <c r="H95" s="8" t="s">
        <v>589</v>
      </c>
    </row>
    <row r="96" customFormat="false" ht="15" hidden="false" customHeight="false" outlineLevel="0" collapsed="false">
      <c r="A96" s="43" t="s">
        <v>590</v>
      </c>
      <c r="B96" s="44"/>
      <c r="C96" s="44"/>
      <c r="D96" s="44"/>
      <c r="E96" s="44"/>
      <c r="F96" s="44"/>
      <c r="G96" s="3"/>
      <c r="H96" s="44"/>
    </row>
    <row r="97" customFormat="false" ht="15" hidden="false" customHeight="false" outlineLevel="0" collapsed="false">
      <c r="A97" s="20" t="s">
        <v>591</v>
      </c>
      <c r="B97" s="21" t="n">
        <f aca="false">B88*Assumptions!$B$10*12</f>
        <v>504</v>
      </c>
      <c r="C97" s="21" t="n">
        <f aca="false">C88*Assumptions!$B$10*12</f>
        <v>756</v>
      </c>
      <c r="D97" s="21" t="n">
        <f aca="false">D88*Assumptions!$B$10*12</f>
        <v>1008</v>
      </c>
      <c r="E97" s="21" t="n">
        <f aca="false">E88*Assumptions!$B$10*12</f>
        <v>1134</v>
      </c>
      <c r="F97" s="21" t="n">
        <f aca="false">F88*Assumptions!$B$10*12</f>
        <v>1260</v>
      </c>
      <c r="G97" s="3"/>
      <c r="H97" s="3"/>
    </row>
    <row r="98" customFormat="false" ht="15" hidden="false" customHeight="false" outlineLevel="0" collapsed="false">
      <c r="A98" s="18" t="s">
        <v>592</v>
      </c>
      <c r="B98" s="22" t="n">
        <f aca="false">B97*B89</f>
        <v>24192</v>
      </c>
      <c r="C98" s="22" t="n">
        <f aca="false">C97*C89</f>
        <v>36288</v>
      </c>
      <c r="D98" s="22" t="n">
        <f aca="false">D97*D89</f>
        <v>48384</v>
      </c>
      <c r="E98" s="22" t="n">
        <f aca="false">E97*E89</f>
        <v>54432</v>
      </c>
      <c r="F98" s="22" t="n">
        <f aca="false">F97*F89</f>
        <v>60480</v>
      </c>
      <c r="G98" s="3"/>
      <c r="H98" s="3"/>
    </row>
    <row r="99" customFormat="false" ht="15" hidden="false" customHeight="false" outlineLevel="0" collapsed="false">
      <c r="A99" s="20" t="s">
        <v>593</v>
      </c>
      <c r="B99" s="17" t="n">
        <f aca="false">B98*B90</f>
        <v>1257984</v>
      </c>
      <c r="C99" s="17" t="n">
        <f aca="false">C98*C90</f>
        <v>1943585.28</v>
      </c>
      <c r="D99" s="17" t="n">
        <f aca="false">D98*D90</f>
        <v>2669190.4512</v>
      </c>
      <c r="E99" s="17" t="n">
        <f aca="false">E98*E90</f>
        <v>3092924.435328</v>
      </c>
      <c r="F99" s="17" t="n">
        <f aca="false">F98*F90</f>
        <v>3539680.1870976</v>
      </c>
      <c r="G99" s="3"/>
      <c r="H99" s="3"/>
    </row>
    <row r="100" customFormat="false" ht="15" hidden="false" customHeight="false" outlineLevel="0" collapsed="false">
      <c r="A100" s="20" t="s">
        <v>504</v>
      </c>
      <c r="B100" s="17" t="n">
        <f aca="false">B92*Assumptions!$B$30*Assumptions!$B$33</f>
        <v>24277.5</v>
      </c>
      <c r="C100" s="17" t="n">
        <f aca="false">C92*Assumptions!$B$30*Assumptions!$B$33</f>
        <v>56025</v>
      </c>
      <c r="D100" s="17" t="n">
        <f aca="false">D92*Assumptions!$B$30*Assumptions!$B$33</f>
        <v>93375</v>
      </c>
      <c r="E100" s="17" t="n">
        <f aca="false">E92*Assumptions!$B$30*Assumptions!$B$33</f>
        <v>134460</v>
      </c>
      <c r="F100" s="17" t="n">
        <f aca="false">F92*Assumptions!$B$30*Assumptions!$B$33</f>
        <v>177412.5</v>
      </c>
      <c r="G100" s="3"/>
      <c r="H100" s="3"/>
    </row>
    <row r="101" customFormat="false" ht="15" hidden="false" customHeight="false" outlineLevel="0" collapsed="false">
      <c r="A101" s="18" t="s">
        <v>360</v>
      </c>
      <c r="B101" s="24" t="n">
        <f aca="false">B99+B100</f>
        <v>1282261.5</v>
      </c>
      <c r="C101" s="24" t="n">
        <f aca="false">C99+C100</f>
        <v>1999610.28</v>
      </c>
      <c r="D101" s="24" t="n">
        <f aca="false">D99+D100</f>
        <v>2762565.4512</v>
      </c>
      <c r="E101" s="24" t="n">
        <f aca="false">E99+E100</f>
        <v>3227384.435328</v>
      </c>
      <c r="F101" s="24" t="n">
        <f aca="false">F99+F100</f>
        <v>3717092.6870976</v>
      </c>
      <c r="G101" s="3"/>
      <c r="H101" s="3"/>
    </row>
    <row r="102" customFormat="false" ht="15" hidden="false" customHeight="false" outlineLevel="0" collapsed="false">
      <c r="A102" s="20" t="s">
        <v>594</v>
      </c>
      <c r="B102" s="17" t="n">
        <f aca="false">B88*(Assumptions!$B$26*Assumptions!$B$27*Assumptions!$B$23+Assumptions!$B$27*Assumptions!$B$24)*(1+Assumptions!$B$25)*12*1.03^MAX(0,COLUMN(B1)-2)</f>
        <v>333696.24</v>
      </c>
      <c r="C102" s="17" t="n">
        <f aca="false">C88*(Assumptions!$B$26*Assumptions!$B$27*Assumptions!$B$23+Assumptions!$B$27*Assumptions!$B$24)*(1+Assumptions!$B$25)*12*1.03^MAX(0,COLUMN(C1)-2)</f>
        <v>515560.6908</v>
      </c>
      <c r="D102" s="17" t="n">
        <f aca="false">D88*(Assumptions!$B$26*Assumptions!$B$27*Assumptions!$B$23+Assumptions!$B$27*Assumptions!$B$24)*(1+Assumptions!$B$25)*12*1.03^MAX(0,COLUMN(D1)-2)</f>
        <v>708036.682032</v>
      </c>
      <c r="E102" s="17" t="n">
        <f aca="false">E88*(Assumptions!$B$26*Assumptions!$B$27*Assumptions!$B$23+Assumptions!$B$27*Assumptions!$B$24)*(1+Assumptions!$B$25)*12*1.03^MAX(0,COLUMN(E1)-2)</f>
        <v>820437.50530458</v>
      </c>
      <c r="F102" s="17" t="n">
        <f aca="false">F88*(Assumptions!$B$26*Assumptions!$B$27*Assumptions!$B$23+Assumptions!$B$27*Assumptions!$B$24)*(1+Assumptions!$B$25)*12*1.03^MAX(0,COLUMN(F1)-2)</f>
        <v>938945.144959686</v>
      </c>
      <c r="G102" s="3"/>
      <c r="H102" s="3"/>
    </row>
    <row r="103" customFormat="false" ht="15" hidden="false" customHeight="false" outlineLevel="0" collapsed="false">
      <c r="A103" s="20" t="s">
        <v>595</v>
      </c>
      <c r="B103" s="17" t="n">
        <f aca="false">B99*Assumptions!$B$22+B92*Assumptions!$B$33*Assumptions!$B$37</f>
        <v>258421.8</v>
      </c>
      <c r="C103" s="17" t="n">
        <f aca="false">C99*Assumptions!$B$22+C92*Assumptions!$B$33*Assumptions!$B$37</f>
        <v>404467.056</v>
      </c>
      <c r="D103" s="17" t="n">
        <f aca="false">D99*Assumptions!$B$22+D92*Assumptions!$B$33*Assumptions!$B$37</f>
        <v>560088.09024</v>
      </c>
      <c r="E103" s="17" t="n">
        <f aca="false">E99*Assumptions!$B$22+E92*Assumptions!$B$33*Assumptions!$B$37</f>
        <v>656384.8870656</v>
      </c>
      <c r="F103" s="17" t="n">
        <f aca="false">F99*Assumptions!$B$22+F92*Assumptions!$B$33*Assumptions!$B$37</f>
        <v>757811.03741952</v>
      </c>
      <c r="G103" s="3"/>
      <c r="H103" s="3"/>
    </row>
    <row r="104" customFormat="false" ht="15" hidden="false" customHeight="false" outlineLevel="0" collapsed="false">
      <c r="A104" s="18" t="s">
        <v>367</v>
      </c>
      <c r="B104" s="24" t="n">
        <f aca="false">B101-B102-B103</f>
        <v>690143.46</v>
      </c>
      <c r="C104" s="24" t="n">
        <f aca="false">C101-C102-C103</f>
        <v>1079582.5332</v>
      </c>
      <c r="D104" s="24" t="n">
        <f aca="false">D101-D102-D103</f>
        <v>1494440.678928</v>
      </c>
      <c r="E104" s="24" t="n">
        <f aca="false">E101-E102-E103</f>
        <v>1750562.04295782</v>
      </c>
      <c r="F104" s="24" t="n">
        <f aca="false">F101-F102-F103</f>
        <v>2020336.50471839</v>
      </c>
      <c r="G104" s="3"/>
      <c r="H104" s="3"/>
    </row>
    <row r="105" customFormat="false" ht="15" hidden="false" customHeight="false" outlineLevel="0" collapsed="false">
      <c r="A105" s="20" t="s">
        <v>408</v>
      </c>
      <c r="B105" s="23" t="n">
        <f aca="false">IF(B101=0,0,B104/B101)</f>
        <v>0.538223646268721</v>
      </c>
      <c r="C105" s="23" t="n">
        <f aca="false">IF(C101=0,0,C104/C101)</f>
        <v>0.539896470826305</v>
      </c>
      <c r="D105" s="23" t="n">
        <f aca="false">IF(D101=0,0,D104/D101)</f>
        <v>0.540961184568078</v>
      </c>
      <c r="E105" s="23" t="n">
        <f aca="false">IF(E101=0,0,E104/E101)</f>
        <v>0.542408900469246</v>
      </c>
      <c r="F105" s="23" t="n">
        <f aca="false">IF(F101=0,0,F104/F101)</f>
        <v>0.543525995929879</v>
      </c>
      <c r="G105" s="3"/>
      <c r="H105" s="3"/>
    </row>
    <row r="106" customFormat="false" ht="15" hidden="false" customHeight="false" outlineLevel="0" collapsed="false">
      <c r="A106" s="20" t="s">
        <v>596</v>
      </c>
      <c r="B106" s="17" t="n">
        <f aca="false">(Assumptions!$B$78+Assumptions!$B$80+Assumptions!$B$81+Assumptions!$B$82+Assumptions!$B$83)*12+B88*B94+B95+B101*B93+Assumptions!$B$84*Assumptions!$B$85*12+'Equipment plan'!$H$10*12*MAX(0,B88-1)</f>
        <v>352802.07660896</v>
      </c>
      <c r="C106" s="17" t="n">
        <f aca="false">(Assumptions!$B$78+Assumptions!$B$80+Assumptions!$B$81+Assumptions!$B$82+Assumptions!$B$83)*12+C88*C94+C95+C101*C93+Assumptions!$B$84*Assumptions!$B$85*12+'Equipment plan'!$H$10*12*MAX(0,C88-1)</f>
        <v>476683.080817921</v>
      </c>
      <c r="D106" s="17" t="n">
        <f aca="false">(Assumptions!$B$78+Assumptions!$B$80+Assumptions!$B$81+Assumptions!$B$82+Assumptions!$B$83)*12+D88*D94+D95+D101*D93+Assumptions!$B$84*Assumptions!$B$85*12+'Equipment plan'!$H$10*12*MAX(0,D88-1)</f>
        <v>697616.372630881</v>
      </c>
      <c r="E106" s="17" t="n">
        <f aca="false">(Assumptions!$B$78+Assumptions!$B$80+Assumptions!$B$81+Assumptions!$B$82+Assumptions!$B$83)*12+E88*E94+E95+E101*E93+Assumptions!$B$84*Assumptions!$B$85*12+'Equipment plan'!$H$10*12*MAX(0,E88-1)</f>
        <v>817333.381471121</v>
      </c>
      <c r="F106" s="17" t="n">
        <f aca="false">(Assumptions!$B$78+Assumptions!$B$80+Assumptions!$B$81+Assumptions!$B$82+Assumptions!$B$83)*12+F88*F94+F95+F101*F93+Assumptions!$B$84*Assumptions!$B$85*12+'Equipment plan'!$H$10*12*MAX(0,F88-1)</f>
        <v>889170.407355233</v>
      </c>
      <c r="G106" s="3"/>
      <c r="H106" s="8" t="s">
        <v>597</v>
      </c>
    </row>
    <row r="107" customFormat="false" ht="15" hidden="false" customHeight="false" outlineLevel="0" collapsed="false">
      <c r="A107" s="18" t="s">
        <v>598</v>
      </c>
      <c r="B107" s="24" t="n">
        <f aca="false">B104-B106</f>
        <v>337341.38339104</v>
      </c>
      <c r="C107" s="24" t="n">
        <f aca="false">C104-C106</f>
        <v>602899.452382079</v>
      </c>
      <c r="D107" s="24" t="n">
        <f aca="false">D104-D106</f>
        <v>796824.306297119</v>
      </c>
      <c r="E107" s="24" t="n">
        <f aca="false">E104-E106</f>
        <v>933228.661486699</v>
      </c>
      <c r="F107" s="24" t="n">
        <f aca="false">F104-F106</f>
        <v>1131166.09736316</v>
      </c>
      <c r="G107" s="3"/>
      <c r="H107" s="3"/>
    </row>
    <row r="108" customFormat="false" ht="15" hidden="false" customHeight="false" outlineLevel="0" collapsed="false">
      <c r="A108" s="20" t="s">
        <v>599</v>
      </c>
      <c r="B108" s="11" t="n">
        <v>60000</v>
      </c>
      <c r="C108" s="11" t="n">
        <v>60000</v>
      </c>
      <c r="D108" s="11" t="n">
        <v>66000</v>
      </c>
      <c r="E108" s="11" t="n">
        <v>72000</v>
      </c>
      <c r="F108" s="11" t="n">
        <v>72000</v>
      </c>
      <c r="G108" s="3"/>
      <c r="H108" s="8" t="s">
        <v>600</v>
      </c>
    </row>
    <row r="109" customFormat="false" ht="15" hidden="false" customHeight="false" outlineLevel="0" collapsed="false">
      <c r="A109" s="20" t="s">
        <v>601</v>
      </c>
      <c r="B109" s="14" t="n">
        <v>0.1</v>
      </c>
      <c r="C109" s="14" t="n">
        <v>0.1</v>
      </c>
      <c r="D109" s="14" t="n">
        <v>0.1</v>
      </c>
      <c r="E109" s="14" t="n">
        <v>0.1</v>
      </c>
      <c r="F109" s="14" t="n">
        <v>0.1</v>
      </c>
      <c r="G109" s="3"/>
      <c r="H109" s="8" t="s">
        <v>602</v>
      </c>
    </row>
    <row r="110" customFormat="false" ht="15" hidden="false" customHeight="false" outlineLevel="0" collapsed="false">
      <c r="A110" s="20" t="s">
        <v>603</v>
      </c>
      <c r="B110" s="17" t="n">
        <f aca="false">B108+IF(B108=0,0,B109*MAX(0,B107-MAX(0,'5-year plan'!$B$44)))</f>
        <v>93734.138339104</v>
      </c>
      <c r="C110" s="17" t="n">
        <f aca="false">C108+IF(C108=0,0,C109*MAX(0,C107-MAX(0,'5-year plan'!$B$44)))</f>
        <v>120289.945238208</v>
      </c>
      <c r="D110" s="17" t="n">
        <f aca="false">D108+IF(D108=0,0,D109*MAX(0,D107-MAX(0,'5-year plan'!$B$44)))</f>
        <v>145682.430629712</v>
      </c>
      <c r="E110" s="17" t="n">
        <f aca="false">E108+IF(E108=0,0,E109*MAX(0,E107-MAX(0,'5-year plan'!$B$44)))</f>
        <v>165322.86614867</v>
      </c>
      <c r="F110" s="17" t="n">
        <f aca="false">F108+IF(F108=0,0,F109*MAX(0,F107-MAX(0,'5-year plan'!$B$44)))</f>
        <v>185116.609736316</v>
      </c>
      <c r="G110" s="3"/>
      <c r="H110" s="3"/>
    </row>
    <row r="111" customFormat="false" ht="15" hidden="false" customHeight="false" outlineLevel="0" collapsed="false">
      <c r="A111" s="18" t="s">
        <v>604</v>
      </c>
      <c r="B111" s="24" t="n">
        <f aca="false">B107-B110</f>
        <v>243607.245051936</v>
      </c>
      <c r="C111" s="24" t="n">
        <f aca="false">C107-C110</f>
        <v>482609.507143871</v>
      </c>
      <c r="D111" s="24" t="n">
        <f aca="false">D107-D110</f>
        <v>651141.875667407</v>
      </c>
      <c r="E111" s="24" t="n">
        <f aca="false">E107-E110</f>
        <v>767905.795338029</v>
      </c>
      <c r="F111" s="24" t="n">
        <f aca="false">F107-F110</f>
        <v>946049.487626844</v>
      </c>
      <c r="G111" s="3"/>
      <c r="H111" s="3"/>
    </row>
    <row r="112" customFormat="false" ht="15" hidden="false" customHeight="false" outlineLevel="0" collapsed="false">
      <c r="A112" s="20" t="s">
        <v>605</v>
      </c>
      <c r="B112" s="23" t="n">
        <f aca="false">IF(B101=0,0,B111/B101)</f>
        <v>0.189982499710032</v>
      </c>
      <c r="C112" s="23" t="n">
        <f aca="false">IF(C101=0,0,C111/C101)</f>
        <v>0.241351783380445</v>
      </c>
      <c r="D112" s="23" t="n">
        <f aca="false">IF(D101=0,0,D111/D101)</f>
        <v>0.235701881881048</v>
      </c>
      <c r="E112" s="23" t="n">
        <f aca="false">IF(E101=0,0,E111/E101)</f>
        <v>0.237934405003718</v>
      </c>
      <c r="F112" s="23" t="n">
        <f aca="false">IF(F101=0,0,F111/F101)</f>
        <v>0.25451328962301</v>
      </c>
      <c r="G112" s="3"/>
      <c r="H112" s="3"/>
    </row>
    <row r="113" customFormat="false" ht="15" hidden="false" customHeight="false" outlineLevel="0" collapsed="false">
      <c r="A113" s="20" t="s">
        <v>606</v>
      </c>
      <c r="B113" s="17" t="n">
        <f aca="false">MAX(0,B88-1)*'Equipment plan'!$G$10</f>
        <v>27700</v>
      </c>
      <c r="C113" s="17" t="n">
        <f aca="false">MAX(0,C88-B88)*'Equipment plan'!$G$10</f>
        <v>27700</v>
      </c>
      <c r="D113" s="17" t="n">
        <f aca="false">MAX(0,D88-C88)*'Equipment plan'!$G$10</f>
        <v>27700</v>
      </c>
      <c r="E113" s="17" t="n">
        <f aca="false">MAX(0,E88-D88)*'Equipment plan'!$G$10</f>
        <v>13850</v>
      </c>
      <c r="F113" s="17" t="n">
        <f aca="false">MAX(0,F88-E88)*'Equipment plan'!$G$10</f>
        <v>13850</v>
      </c>
      <c r="G113" s="3"/>
      <c r="H113" s="3"/>
    </row>
    <row r="114" customFormat="false" ht="15" hidden="false" customHeight="false" outlineLevel="0" collapsed="false">
      <c r="A114" s="18" t="s">
        <v>607</v>
      </c>
      <c r="B114" s="24" t="n">
        <f aca="false">Assumptions!$B$62+B111-B113</f>
        <v>240907.245051936</v>
      </c>
      <c r="C114" s="24" t="n">
        <f aca="false">B114+C111-C113</f>
        <v>695816.752195807</v>
      </c>
      <c r="D114" s="24" t="n">
        <f aca="false">C114+D111-D113</f>
        <v>1319258.62786321</v>
      </c>
      <c r="E114" s="24" t="n">
        <f aca="false">D114+E111-E113</f>
        <v>2073314.42320124</v>
      </c>
      <c r="F114" s="24" t="n">
        <f aca="false">E114+F111-F113</f>
        <v>3005513.91082809</v>
      </c>
      <c r="G114" s="3"/>
      <c r="H114" s="8" t="s">
        <v>608</v>
      </c>
    </row>
    <row r="115" customFormat="false" ht="15" hidden="false" customHeight="false" outlineLevel="0" collapsed="false">
      <c r="A115" s="20" t="s">
        <v>609</v>
      </c>
      <c r="B115" s="17" t="n">
        <f aca="false">B111+Assumptions!$B$78*12</f>
        <v>393607.245051936</v>
      </c>
      <c r="C115" s="17" t="n">
        <f aca="false">C111+Assumptions!$B$78*12</f>
        <v>632609.507143871</v>
      </c>
      <c r="D115" s="17" t="n">
        <f aca="false">D111+Assumptions!$B$78*12</f>
        <v>801141.875667407</v>
      </c>
      <c r="E115" s="17" t="n">
        <f aca="false">E111+Assumptions!$B$78*12</f>
        <v>917905.795338029</v>
      </c>
      <c r="F115" s="17" t="n">
        <f aca="false">F111+Assumptions!$B$78*12</f>
        <v>1096049.48762684</v>
      </c>
      <c r="G115" s="3"/>
      <c r="H115" s="3"/>
    </row>
    <row r="116" customFormat="false" ht="15" hidden="false" customHeight="false" outlineLevel="0" collapsed="false">
      <c r="A116" s="20" t="s">
        <v>610</v>
      </c>
      <c r="B116" s="17" t="n">
        <f aca="false">MAX(0,B115)*2.46</f>
        <v>968273.822827762</v>
      </c>
      <c r="C116" s="17" t="n">
        <f aca="false">MAX(0,C115)*2.46</f>
        <v>1556219.38757392</v>
      </c>
      <c r="D116" s="17" t="n">
        <f aca="false">MAX(0,D115)*2.46</f>
        <v>1970809.01414182</v>
      </c>
      <c r="E116" s="17" t="n">
        <f aca="false">MAX(0,E115)*2.46</f>
        <v>2258048.25653155</v>
      </c>
      <c r="F116" s="17" t="n">
        <f aca="false">MAX(0,F115)*2.46</f>
        <v>2696281.73956204</v>
      </c>
      <c r="G116" s="3"/>
      <c r="H116" s="8" t="s">
        <v>611</v>
      </c>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5" topLeftCell="B16" activePane="bottomRight" state="frozen"/>
      <selection pane="topLeft" activeCell="A1" activeCellId="0" sqref="A1"/>
      <selection pane="topRight" activeCell="B1" activeCellId="0" sqref="B1"/>
      <selection pane="bottomLeft" activeCell="A16" activeCellId="0" sqref="A1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6" min="2" style="1" width="12"/>
    <col collapsed="false" customWidth="true" hidden="false" outlineLevel="0" max="18" min="18" style="1" width="54"/>
  </cols>
  <sheetData>
    <row r="1" customFormat="false" ht="17.35" hidden="false" customHeight="false" outlineLevel="0" collapsed="false">
      <c r="A1" s="2" t="s">
        <v>616</v>
      </c>
      <c r="B1" s="3"/>
      <c r="C1" s="3"/>
      <c r="D1" s="3"/>
      <c r="E1" s="3"/>
      <c r="F1" s="3"/>
      <c r="G1" s="3"/>
      <c r="H1" s="3"/>
      <c r="I1" s="3"/>
      <c r="J1" s="3"/>
      <c r="K1" s="3"/>
      <c r="L1" s="3"/>
      <c r="M1" s="3"/>
      <c r="N1" s="3"/>
      <c r="O1" s="3"/>
      <c r="P1" s="3"/>
      <c r="Q1" s="3"/>
      <c r="R1" s="3"/>
    </row>
    <row r="2" customFormat="false" ht="15" hidden="false" customHeight="false" outlineLevel="0" collapsed="false">
      <c r="A2" s="4" t="s">
        <v>617</v>
      </c>
      <c r="B2" s="3"/>
      <c r="C2" s="3"/>
      <c r="D2" s="3"/>
      <c r="E2" s="3"/>
      <c r="F2" s="3"/>
      <c r="G2" s="3"/>
      <c r="H2" s="3"/>
      <c r="I2" s="3"/>
      <c r="J2" s="3"/>
      <c r="K2" s="3"/>
      <c r="L2" s="3"/>
      <c r="M2" s="3"/>
      <c r="N2" s="3"/>
      <c r="O2" s="3"/>
      <c r="P2" s="3"/>
      <c r="Q2" s="3"/>
      <c r="R2" s="3"/>
    </row>
    <row r="3" customFormat="false" ht="15" hidden="false" customHeight="false" outlineLevel="0" collapsed="false">
      <c r="A3" s="3"/>
      <c r="B3" s="3"/>
      <c r="C3" s="3"/>
      <c r="D3" s="3"/>
      <c r="E3" s="3"/>
      <c r="F3" s="3"/>
      <c r="G3" s="3"/>
      <c r="H3" s="3"/>
      <c r="I3" s="3"/>
      <c r="J3" s="3"/>
      <c r="K3" s="3"/>
      <c r="L3" s="3"/>
      <c r="M3" s="3"/>
      <c r="N3" s="3"/>
      <c r="O3" s="3"/>
      <c r="P3" s="3"/>
      <c r="Q3" s="3"/>
      <c r="R3" s="3"/>
    </row>
    <row r="4" customFormat="false" ht="15" hidden="false" customHeight="false" outlineLevel="0" collapsed="false">
      <c r="A4" s="5" t="s">
        <v>618</v>
      </c>
      <c r="B4" s="6"/>
      <c r="C4" s="6"/>
      <c r="D4" s="6"/>
      <c r="E4" s="6"/>
      <c r="F4" s="6"/>
      <c r="G4" s="6"/>
      <c r="H4" s="6"/>
      <c r="I4" s="6"/>
      <c r="J4" s="6"/>
      <c r="K4" s="6"/>
      <c r="L4" s="6"/>
      <c r="M4" s="6"/>
      <c r="N4" s="6"/>
      <c r="O4" s="6"/>
      <c r="P4" s="6"/>
      <c r="Q4" s="3"/>
      <c r="R4" s="6"/>
    </row>
    <row r="5" customFormat="false" ht="15" hidden="false" customHeight="false" outlineLevel="0" collapsed="false">
      <c r="A5" s="8" t="s">
        <v>619</v>
      </c>
      <c r="B5" s="3"/>
      <c r="C5" s="3"/>
      <c r="D5" s="3"/>
      <c r="E5" s="8" t="s">
        <v>620</v>
      </c>
      <c r="F5" s="3"/>
      <c r="G5" s="3"/>
      <c r="H5" s="3"/>
      <c r="I5" s="8" t="s">
        <v>621</v>
      </c>
      <c r="J5" s="3"/>
      <c r="K5" s="3"/>
      <c r="L5" s="3"/>
      <c r="M5" s="8" t="s">
        <v>622</v>
      </c>
      <c r="N5" s="3"/>
      <c r="O5" s="3"/>
      <c r="P5" s="3"/>
      <c r="Q5" s="3"/>
      <c r="R5" s="3"/>
    </row>
    <row r="6" customFormat="false" ht="15" hidden="false" customHeight="false" outlineLevel="0" collapsed="false">
      <c r="A6" s="45" t="n">
        <f aca="false">Assumptions!$B$39</f>
        <v>10</v>
      </c>
      <c r="B6" s="3"/>
      <c r="C6" s="3"/>
      <c r="D6" s="3"/>
      <c r="E6" s="46" t="n">
        <f aca="false">INDEX(B17:P17,Assumptions!$B$39)</f>
        <v>6.5</v>
      </c>
      <c r="F6" s="3"/>
      <c r="G6" s="3"/>
      <c r="H6" s="3"/>
      <c r="I6" s="45" t="n">
        <f aca="false">INDEX(B34:P34,Assumptions!$B$39)</f>
        <v>30</v>
      </c>
      <c r="J6" s="3"/>
      <c r="K6" s="3"/>
      <c r="L6" s="3"/>
      <c r="M6" s="47" t="n">
        <f aca="false">INDEX(B36:P36,Assumptions!$B$39)</f>
        <v>4952082.94628947</v>
      </c>
      <c r="N6" s="3"/>
      <c r="O6" s="3"/>
      <c r="P6" s="3"/>
      <c r="Q6" s="3"/>
      <c r="R6" s="3"/>
    </row>
    <row r="7" customFormat="false" ht="15" hidden="false" customHeight="false" outlineLevel="0" collapsed="false">
      <c r="A7" s="8" t="s">
        <v>623</v>
      </c>
      <c r="B7" s="3"/>
      <c r="C7" s="3"/>
      <c r="D7" s="3"/>
      <c r="E7" s="8" t="s">
        <v>624</v>
      </c>
      <c r="F7" s="3"/>
      <c r="G7" s="3"/>
      <c r="H7" s="3"/>
      <c r="I7" s="8" t="s">
        <v>625</v>
      </c>
      <c r="J7" s="3"/>
      <c r="K7" s="3"/>
      <c r="L7" s="3"/>
      <c r="M7" s="8" t="s">
        <v>626</v>
      </c>
      <c r="N7" s="3"/>
      <c r="O7" s="3"/>
      <c r="P7" s="3"/>
      <c r="Q7" s="3"/>
      <c r="R7" s="3"/>
    </row>
    <row r="8" customFormat="false" ht="15" hidden="false" customHeight="false" outlineLevel="0" collapsed="false">
      <c r="A8" s="45" t="n">
        <f aca="false">INDEX(B31:P31,Assumptions!$B$39)</f>
        <v>2075.07366473612</v>
      </c>
      <c r="B8" s="3"/>
      <c r="C8" s="3"/>
      <c r="D8" s="3"/>
      <c r="E8" s="47" t="n">
        <f aca="false">INDEX(B51:P51,Assumptions!$B$39)</f>
        <v>879166.335282246</v>
      </c>
      <c r="F8" s="3"/>
      <c r="G8" s="3"/>
      <c r="H8" s="3"/>
      <c r="I8" s="47" t="n">
        <f aca="false">INDEX(B59:P59,Assumptions!$B$39)</f>
        <v>1576508.82807237</v>
      </c>
      <c r="J8" s="3"/>
      <c r="K8" s="3"/>
      <c r="L8" s="3"/>
      <c r="M8" s="47" t="n">
        <f aca="false">INDEX(B55:P55,Assumptions!$B$39)</f>
        <v>360470.908966258</v>
      </c>
      <c r="N8" s="3"/>
      <c r="O8" s="3"/>
      <c r="P8" s="3"/>
      <c r="Q8" s="3"/>
      <c r="R8" s="3"/>
    </row>
    <row r="9" customFormat="false" ht="15" hidden="false" customHeight="false" outlineLevel="0" collapsed="false">
      <c r="A9" s="8" t="s">
        <v>627</v>
      </c>
      <c r="B9" s="3"/>
      <c r="C9" s="3"/>
      <c r="D9" s="3"/>
      <c r="E9" s="8" t="s">
        <v>628</v>
      </c>
      <c r="F9" s="3"/>
      <c r="G9" s="3"/>
      <c r="H9" s="3"/>
      <c r="I9" s="8" t="s">
        <v>629</v>
      </c>
      <c r="J9" s="3"/>
      <c r="K9" s="3"/>
      <c r="L9" s="3"/>
      <c r="M9" s="8" t="s">
        <v>630</v>
      </c>
      <c r="N9" s="3"/>
      <c r="O9" s="3"/>
      <c r="P9" s="3"/>
      <c r="Q9" s="3"/>
      <c r="R9" s="3"/>
    </row>
    <row r="10" customFormat="false" ht="15" hidden="false" customHeight="false" outlineLevel="0" collapsed="false">
      <c r="A10" s="47" t="n">
        <f aca="false">INDEX(B58:P58,Assumptions!$B$39)</f>
        <v>2555788.24210856</v>
      </c>
      <c r="B10" s="3"/>
      <c r="C10" s="3"/>
      <c r="D10" s="3"/>
      <c r="E10" s="47" t="n">
        <f aca="false">INDEX(B62:P62,Assumptions!$B$39)</f>
        <v>3964469.45090018</v>
      </c>
      <c r="F10" s="3"/>
      <c r="G10" s="3"/>
      <c r="H10" s="3"/>
      <c r="I10" s="47" t="n">
        <f aca="false">INDEX(B63:P63,Assumptions!$B$39)</f>
        <v>2750692.41192436</v>
      </c>
      <c r="J10" s="3"/>
      <c r="K10" s="3"/>
      <c r="L10" s="3"/>
      <c r="M10" s="47" t="n">
        <f aca="false">INDEX(B64:P64,Assumptions!$B$39)</f>
        <v>1213777.03897582</v>
      </c>
      <c r="N10" s="3"/>
      <c r="O10" s="3"/>
      <c r="P10" s="3"/>
      <c r="Q10" s="3"/>
      <c r="R10" s="3"/>
    </row>
    <row r="11" customFormat="false" ht="15" hidden="false" customHeight="false" outlineLevel="0" collapsed="false">
      <c r="A11" s="3"/>
      <c r="B11" s="3"/>
      <c r="C11" s="3"/>
      <c r="D11" s="3"/>
      <c r="E11" s="3"/>
      <c r="F11" s="3"/>
      <c r="G11" s="3"/>
      <c r="H11" s="3"/>
      <c r="I11" s="3"/>
      <c r="J11" s="3"/>
      <c r="K11" s="3"/>
      <c r="L11" s="3"/>
      <c r="M11" s="3"/>
      <c r="N11" s="3"/>
      <c r="O11" s="3"/>
      <c r="P11" s="3"/>
      <c r="Q11" s="3"/>
      <c r="R11" s="3"/>
    </row>
    <row r="12" customFormat="false" ht="15" hidden="false" customHeight="false" outlineLevel="0" collapsed="false">
      <c r="A12" s="41" t="s">
        <v>631</v>
      </c>
      <c r="B12" s="3"/>
      <c r="C12" s="3"/>
      <c r="D12" s="3"/>
      <c r="E12" s="3"/>
      <c r="F12" s="3"/>
      <c r="G12" s="3"/>
      <c r="H12" s="3"/>
      <c r="I12" s="3"/>
      <c r="J12" s="3"/>
      <c r="K12" s="3"/>
      <c r="L12" s="3"/>
      <c r="M12" s="3"/>
      <c r="N12" s="3"/>
      <c r="O12" s="3"/>
      <c r="P12" s="3"/>
      <c r="Q12" s="3"/>
      <c r="R12" s="3"/>
    </row>
    <row r="13" customFormat="false" ht="15" hidden="false" customHeight="false" outlineLevel="0" collapsed="false">
      <c r="A13" s="3"/>
      <c r="B13" s="3"/>
      <c r="C13" s="3"/>
      <c r="D13" s="3"/>
      <c r="E13" s="3"/>
      <c r="F13" s="3"/>
      <c r="G13" s="3"/>
      <c r="H13" s="3"/>
      <c r="I13" s="3"/>
      <c r="J13" s="3"/>
      <c r="K13" s="3"/>
      <c r="L13" s="3"/>
      <c r="M13" s="3"/>
      <c r="N13" s="3"/>
      <c r="O13" s="3"/>
      <c r="P13" s="3"/>
      <c r="Q13" s="3"/>
      <c r="R13" s="3"/>
    </row>
    <row r="14" customFormat="false" ht="15" hidden="false" customHeight="false" outlineLevel="0" collapsed="false">
      <c r="A14" s="3"/>
      <c r="B14" s="3"/>
      <c r="C14" s="3"/>
      <c r="D14" s="3"/>
      <c r="E14" s="3"/>
      <c r="F14" s="3"/>
      <c r="G14" s="3"/>
      <c r="H14" s="3"/>
      <c r="I14" s="3"/>
      <c r="J14" s="3"/>
      <c r="K14" s="3"/>
      <c r="L14" s="3"/>
      <c r="M14" s="3"/>
      <c r="N14" s="3"/>
      <c r="O14" s="3"/>
      <c r="P14" s="3"/>
      <c r="Q14" s="3"/>
      <c r="R14" s="3"/>
    </row>
    <row r="15" customFormat="false" ht="15" hidden="false" customHeight="false" outlineLevel="0" collapsed="false">
      <c r="A15" s="18" t="s">
        <v>632</v>
      </c>
      <c r="B15" s="19" t="n">
        <v>1</v>
      </c>
      <c r="C15" s="19" t="n">
        <v>2</v>
      </c>
      <c r="D15" s="19" t="n">
        <v>3</v>
      </c>
      <c r="E15" s="19" t="n">
        <v>4</v>
      </c>
      <c r="F15" s="19" t="n">
        <v>5</v>
      </c>
      <c r="G15" s="19" t="n">
        <v>6</v>
      </c>
      <c r="H15" s="19" t="n">
        <v>7</v>
      </c>
      <c r="I15" s="19" t="n">
        <v>8</v>
      </c>
      <c r="J15" s="19" t="n">
        <v>9</v>
      </c>
      <c r="K15" s="19" t="n">
        <v>10</v>
      </c>
      <c r="L15" s="19" t="n">
        <v>11</v>
      </c>
      <c r="M15" s="19" t="n">
        <v>12</v>
      </c>
      <c r="N15" s="19" t="n">
        <v>13</v>
      </c>
      <c r="O15" s="19" t="n">
        <v>14</v>
      </c>
      <c r="P15" s="19" t="n">
        <v>15</v>
      </c>
      <c r="Q15" s="3"/>
      <c r="R15" s="18" t="s">
        <v>490</v>
      </c>
    </row>
    <row r="16" customFormat="false" ht="15" hidden="false" customHeight="false" outlineLevel="0" collapsed="false">
      <c r="A16" s="5" t="s">
        <v>633</v>
      </c>
      <c r="B16" s="6"/>
      <c r="C16" s="6"/>
      <c r="D16" s="6"/>
      <c r="E16" s="6"/>
      <c r="F16" s="6"/>
      <c r="G16" s="6"/>
      <c r="H16" s="6"/>
      <c r="I16" s="6"/>
      <c r="J16" s="6"/>
      <c r="K16" s="6"/>
      <c r="L16" s="6"/>
      <c r="M16" s="6"/>
      <c r="N16" s="6"/>
      <c r="O16" s="6"/>
      <c r="P16" s="6"/>
      <c r="Q16" s="3"/>
      <c r="R16" s="6"/>
    </row>
    <row r="17" customFormat="false" ht="15" hidden="false" customHeight="false" outlineLevel="0" collapsed="false">
      <c r="A17" s="20" t="s">
        <v>620</v>
      </c>
      <c r="B17" s="16" t="n">
        <f aca="false">'5-year plan'!C7</f>
        <v>2</v>
      </c>
      <c r="C17" s="16" t="n">
        <f aca="false">'5-year plan'!D7</f>
        <v>2</v>
      </c>
      <c r="D17" s="16" t="n">
        <f aca="false">'5-year plan'!E7</f>
        <v>2.5</v>
      </c>
      <c r="E17" s="16" t="n">
        <f aca="false">'5-year plan'!F7</f>
        <v>3.5</v>
      </c>
      <c r="F17" s="16" t="n">
        <f aca="false">'5-year plan'!G7</f>
        <v>4</v>
      </c>
      <c r="G17" s="16" t="n">
        <f aca="false">MIN(Assumptions!$B$41,F17+Assumptions!$B$40)</f>
        <v>4.5</v>
      </c>
      <c r="H17" s="16" t="n">
        <f aca="false">MIN(Assumptions!$B$41,G17+Assumptions!$B$40)</f>
        <v>5</v>
      </c>
      <c r="I17" s="16" t="n">
        <f aca="false">MIN(Assumptions!$B$41,H17+Assumptions!$B$40)</f>
        <v>5.5</v>
      </c>
      <c r="J17" s="16" t="n">
        <f aca="false">MIN(Assumptions!$B$41,I17+Assumptions!$B$40)</f>
        <v>6</v>
      </c>
      <c r="K17" s="16" t="n">
        <f aca="false">MIN(Assumptions!$B$41,J17+Assumptions!$B$40)</f>
        <v>6.5</v>
      </c>
      <c r="L17" s="16" t="n">
        <f aca="false">MIN(Assumptions!$B$41,K17+Assumptions!$B$40)</f>
        <v>7</v>
      </c>
      <c r="M17" s="16" t="n">
        <f aca="false">MIN(Assumptions!$B$41,L17+Assumptions!$B$40)</f>
        <v>7.5</v>
      </c>
      <c r="N17" s="16" t="n">
        <f aca="false">MIN(Assumptions!$B$41,M17+Assumptions!$B$40)</f>
        <v>8</v>
      </c>
      <c r="O17" s="16" t="n">
        <f aca="false">MIN(Assumptions!$B$41,N17+Assumptions!$B$40)</f>
        <v>8</v>
      </c>
      <c r="P17" s="16" t="n">
        <f aca="false">MIN(Assumptions!$B$41,O17+Assumptions!$B$40)</f>
        <v>8</v>
      </c>
      <c r="Q17" s="3"/>
      <c r="R17" s="8" t="s">
        <v>634</v>
      </c>
    </row>
    <row r="18" customFormat="false" ht="15" hidden="false" customHeight="false" outlineLevel="0" collapsed="false">
      <c r="A18" s="20" t="s">
        <v>582</v>
      </c>
      <c r="B18" s="21" t="n">
        <f aca="false">Assumptions!$B$11</f>
        <v>43</v>
      </c>
      <c r="C18" s="21" t="n">
        <f aca="false">B18</f>
        <v>43</v>
      </c>
      <c r="D18" s="21" t="n">
        <f aca="false">C18</f>
        <v>43</v>
      </c>
      <c r="E18" s="21" t="n">
        <f aca="false">D18</f>
        <v>43</v>
      </c>
      <c r="F18" s="21" t="n">
        <f aca="false">E18</f>
        <v>43</v>
      </c>
      <c r="G18" s="21" t="n">
        <f aca="false">F18</f>
        <v>43</v>
      </c>
      <c r="H18" s="21" t="n">
        <f aca="false">G18</f>
        <v>43</v>
      </c>
      <c r="I18" s="21" t="n">
        <f aca="false">H18</f>
        <v>43</v>
      </c>
      <c r="J18" s="21" t="n">
        <f aca="false">I18</f>
        <v>43</v>
      </c>
      <c r="K18" s="21" t="n">
        <f aca="false">J18</f>
        <v>43</v>
      </c>
      <c r="L18" s="21" t="n">
        <f aca="false">K18</f>
        <v>43</v>
      </c>
      <c r="M18" s="21" t="n">
        <f aca="false">L18</f>
        <v>43</v>
      </c>
      <c r="N18" s="21" t="n">
        <f aca="false">M18</f>
        <v>43</v>
      </c>
      <c r="O18" s="21" t="n">
        <f aca="false">N18</f>
        <v>43</v>
      </c>
      <c r="P18" s="21" t="n">
        <f aca="false">O18</f>
        <v>43</v>
      </c>
      <c r="Q18" s="3"/>
      <c r="R18" s="8" t="s">
        <v>635</v>
      </c>
    </row>
    <row r="19" customFormat="false" ht="15" hidden="false" customHeight="false" outlineLevel="0" collapsed="false">
      <c r="A19" s="20" t="s">
        <v>591</v>
      </c>
      <c r="B19" s="21" t="n">
        <f aca="false">B17*Assumptions!$B$10*12</f>
        <v>504</v>
      </c>
      <c r="C19" s="21" t="n">
        <f aca="false">C17*Assumptions!$B$10*12</f>
        <v>504</v>
      </c>
      <c r="D19" s="21" t="n">
        <f aca="false">D17*Assumptions!$B$10*12</f>
        <v>630</v>
      </c>
      <c r="E19" s="21" t="n">
        <f aca="false">E17*Assumptions!$B$10*12</f>
        <v>882</v>
      </c>
      <c r="F19" s="21" t="n">
        <f aca="false">F17*Assumptions!$B$10*12</f>
        <v>1008</v>
      </c>
      <c r="G19" s="21" t="n">
        <f aca="false">G17*Assumptions!$B$10*12</f>
        <v>1134</v>
      </c>
      <c r="H19" s="21" t="n">
        <f aca="false">H17*Assumptions!$B$10*12</f>
        <v>1260</v>
      </c>
      <c r="I19" s="21" t="n">
        <f aca="false">I17*Assumptions!$B$10*12</f>
        <v>1386</v>
      </c>
      <c r="J19" s="21" t="n">
        <f aca="false">J17*Assumptions!$B$10*12</f>
        <v>1512</v>
      </c>
      <c r="K19" s="21" t="n">
        <f aca="false">K17*Assumptions!$B$10*12</f>
        <v>1638</v>
      </c>
      <c r="L19" s="21" t="n">
        <f aca="false">L17*Assumptions!$B$10*12</f>
        <v>1764</v>
      </c>
      <c r="M19" s="21" t="n">
        <f aca="false">M17*Assumptions!$B$10*12</f>
        <v>1890</v>
      </c>
      <c r="N19" s="21" t="n">
        <f aca="false">N17*Assumptions!$B$10*12</f>
        <v>2016</v>
      </c>
      <c r="O19" s="21" t="n">
        <f aca="false">O17*Assumptions!$B$10*12</f>
        <v>2016</v>
      </c>
      <c r="P19" s="21" t="n">
        <f aca="false">P17*Assumptions!$B$10*12</f>
        <v>2016</v>
      </c>
      <c r="Q19" s="3"/>
      <c r="R19" s="3"/>
    </row>
    <row r="20" customFormat="false" ht="15" hidden="false" customHeight="false" outlineLevel="0" collapsed="false">
      <c r="A20" s="18" t="s">
        <v>592</v>
      </c>
      <c r="B20" s="22" t="n">
        <f aca="false">B19*B18</f>
        <v>21672</v>
      </c>
      <c r="C20" s="22" t="n">
        <f aca="false">C19*C18</f>
        <v>21672</v>
      </c>
      <c r="D20" s="22" t="n">
        <f aca="false">D19*D18</f>
        <v>27090</v>
      </c>
      <c r="E20" s="22" t="n">
        <f aca="false">E19*E18</f>
        <v>37926</v>
      </c>
      <c r="F20" s="22" t="n">
        <f aca="false">F19*F18</f>
        <v>43344</v>
      </c>
      <c r="G20" s="22" t="n">
        <f aca="false">G19*G18</f>
        <v>48762</v>
      </c>
      <c r="H20" s="22" t="n">
        <f aca="false">H19*H18</f>
        <v>54180</v>
      </c>
      <c r="I20" s="22" t="n">
        <f aca="false">I19*I18</f>
        <v>59598</v>
      </c>
      <c r="J20" s="22" t="n">
        <f aca="false">J19*J18</f>
        <v>65016</v>
      </c>
      <c r="K20" s="22" t="n">
        <f aca="false">K19*K18</f>
        <v>70434</v>
      </c>
      <c r="L20" s="22" t="n">
        <f aca="false">L19*L18</f>
        <v>75852</v>
      </c>
      <c r="M20" s="22" t="n">
        <f aca="false">M19*M18</f>
        <v>81270</v>
      </c>
      <c r="N20" s="22" t="n">
        <f aca="false">N19*N18</f>
        <v>86688</v>
      </c>
      <c r="O20" s="22" t="n">
        <f aca="false">O19*O18</f>
        <v>86688</v>
      </c>
      <c r="P20" s="22" t="n">
        <f aca="false">P19*P18</f>
        <v>86688</v>
      </c>
      <c r="Q20" s="3"/>
      <c r="R20" s="3"/>
    </row>
    <row r="21" customFormat="false" ht="15" hidden="false" customHeight="false" outlineLevel="0" collapsed="false">
      <c r="A21" s="43" t="s">
        <v>636</v>
      </c>
      <c r="B21" s="44"/>
      <c r="C21" s="44"/>
      <c r="D21" s="44"/>
      <c r="E21" s="44"/>
      <c r="F21" s="44"/>
      <c r="G21" s="44"/>
      <c r="H21" s="44"/>
      <c r="I21" s="44"/>
      <c r="J21" s="44"/>
      <c r="K21" s="44"/>
      <c r="L21" s="44"/>
      <c r="M21" s="44"/>
      <c r="N21" s="44"/>
      <c r="O21" s="44"/>
      <c r="P21" s="44"/>
      <c r="Q21" s="3"/>
      <c r="R21" s="44"/>
    </row>
    <row r="22" customFormat="false" ht="15" hidden="false" customHeight="false" outlineLevel="0" collapsed="false">
      <c r="A22" s="20" t="s">
        <v>637</v>
      </c>
      <c r="B22" s="21" t="n">
        <f aca="false">ROUND(B17*Assumptions!$B$26,0)</f>
        <v>6</v>
      </c>
      <c r="C22" s="21" t="n">
        <f aca="false">ROUND(C17*Assumptions!$B$26,0)</f>
        <v>6</v>
      </c>
      <c r="D22" s="21" t="n">
        <f aca="false">ROUND(D17*Assumptions!$B$26,0)</f>
        <v>8</v>
      </c>
      <c r="E22" s="21" t="n">
        <f aca="false">ROUND(E17*Assumptions!$B$26,0)</f>
        <v>11</v>
      </c>
      <c r="F22" s="21" t="n">
        <f aca="false">ROUND(F17*Assumptions!$B$26,0)</f>
        <v>12</v>
      </c>
      <c r="G22" s="21" t="n">
        <f aca="false">ROUND(G17*Assumptions!$B$26,0)</f>
        <v>14</v>
      </c>
      <c r="H22" s="21" t="n">
        <f aca="false">ROUND(H17*Assumptions!$B$26,0)</f>
        <v>15</v>
      </c>
      <c r="I22" s="21" t="n">
        <f aca="false">ROUND(I17*Assumptions!$B$26,0)</f>
        <v>17</v>
      </c>
      <c r="J22" s="21" t="n">
        <f aca="false">ROUND(J17*Assumptions!$B$26,0)</f>
        <v>18</v>
      </c>
      <c r="K22" s="21" t="n">
        <f aca="false">ROUND(K17*Assumptions!$B$26,0)</f>
        <v>20</v>
      </c>
      <c r="L22" s="21" t="n">
        <f aca="false">ROUND(L17*Assumptions!$B$26,0)</f>
        <v>21</v>
      </c>
      <c r="M22" s="21" t="n">
        <f aca="false">ROUND(M17*Assumptions!$B$26,0)</f>
        <v>23</v>
      </c>
      <c r="N22" s="21" t="n">
        <f aca="false">ROUND(N17*Assumptions!$B$26,0)</f>
        <v>24</v>
      </c>
      <c r="O22" s="21" t="n">
        <f aca="false">ROUND(O17*Assumptions!$B$26,0)</f>
        <v>24</v>
      </c>
      <c r="P22" s="21" t="n">
        <f aca="false">ROUND(P17*Assumptions!$B$26,0)</f>
        <v>24</v>
      </c>
      <c r="Q22" s="3"/>
      <c r="R22" s="3"/>
    </row>
    <row r="23" customFormat="false" ht="15" hidden="false" customHeight="false" outlineLevel="0" collapsed="false">
      <c r="A23" s="20" t="s">
        <v>638</v>
      </c>
      <c r="B23" s="21" t="n">
        <f aca="false">IF(B17&gt;=2,ROUNDUP(B17/(Assumptions!$B$51+(Assumptions!$B$180-Assumptions!$B$51)*0),0),0)</f>
        <v>1</v>
      </c>
      <c r="C23" s="21" t="n">
        <f aca="false">IF(C17&gt;=2,ROUNDUP(C17/(Assumptions!$B$51+(Assumptions!$B$180-Assumptions!$B$51)*0.071429),0),0)</f>
        <v>1</v>
      </c>
      <c r="D23" s="21" t="n">
        <f aca="false">IF(D17&gt;=2,ROUNDUP(D17/(Assumptions!$B$51+(Assumptions!$B$180-Assumptions!$B$51)*0.142857),0),0)</f>
        <v>2</v>
      </c>
      <c r="E23" s="21" t="n">
        <f aca="false">IF(E17&gt;=2,ROUNDUP(E17/(Assumptions!$B$51+(Assumptions!$B$180-Assumptions!$B$51)*0.214286),0),0)</f>
        <v>2</v>
      </c>
      <c r="F23" s="21" t="n">
        <f aca="false">IF(F17&gt;=2,ROUNDUP(F17/(Assumptions!$B$51+(Assumptions!$B$180-Assumptions!$B$51)*0.285714),0),0)</f>
        <v>2</v>
      </c>
      <c r="G23" s="21" t="n">
        <f aca="false">IF(G17&gt;=2,ROUNDUP(G17/(Assumptions!$B$51+(Assumptions!$B$180-Assumptions!$B$51)*0.357143),0),0)</f>
        <v>2</v>
      </c>
      <c r="H23" s="21" t="n">
        <f aca="false">IF(H17&gt;=2,ROUNDUP(H17/(Assumptions!$B$51+(Assumptions!$B$180-Assumptions!$B$51)*0.428571),0),0)</f>
        <v>2</v>
      </c>
      <c r="I23" s="21" t="n">
        <f aca="false">IF(I17&gt;=2,ROUNDUP(I17/(Assumptions!$B$51+(Assumptions!$B$180-Assumptions!$B$51)*0.5),0),0)</f>
        <v>2</v>
      </c>
      <c r="J23" s="21" t="n">
        <f aca="false">IF(J17&gt;=2,ROUNDUP(J17/(Assumptions!$B$51+(Assumptions!$B$180-Assumptions!$B$51)*0.571429),0),0)</f>
        <v>3</v>
      </c>
      <c r="K23" s="21" t="n">
        <f aca="false">IF(K17&gt;=2,ROUNDUP(K17/(Assumptions!$B$51+(Assumptions!$B$180-Assumptions!$B$51)*0.642857),0),0)</f>
        <v>3</v>
      </c>
      <c r="L23" s="21" t="n">
        <f aca="false">IF(L17&gt;=2,ROUNDUP(L17/(Assumptions!$B$51+(Assumptions!$B$180-Assumptions!$B$51)*0.714286),0),0)</f>
        <v>3</v>
      </c>
      <c r="M23" s="21" t="n">
        <f aca="false">IF(M17&gt;=2,ROUNDUP(M17/(Assumptions!$B$51+(Assumptions!$B$180-Assumptions!$B$51)*0.785714),0),0)</f>
        <v>3</v>
      </c>
      <c r="N23" s="21" t="n">
        <f aca="false">IF(N17&gt;=2,ROUNDUP(N17/(Assumptions!$B$51+(Assumptions!$B$180-Assumptions!$B$51)*0.857143),0),0)</f>
        <v>3</v>
      </c>
      <c r="O23" s="21" t="n">
        <f aca="false">IF(O17&gt;=2,ROUNDUP(O17/(Assumptions!$B$51+(Assumptions!$B$180-Assumptions!$B$51)*0.928571),0),0)</f>
        <v>3</v>
      </c>
      <c r="P23" s="21" t="n">
        <f aca="false">IF(P17&gt;=2,ROUNDUP(P17/(Assumptions!$B$51+(Assumptions!$B$180-Assumptions!$B$51)*1),0),0)</f>
        <v>3</v>
      </c>
      <c r="Q23" s="3"/>
      <c r="R23" s="8" t="s">
        <v>639</v>
      </c>
    </row>
    <row r="24" customFormat="false" ht="15" hidden="false" customHeight="false" outlineLevel="0" collapsed="false">
      <c r="A24" s="20" t="s">
        <v>640</v>
      </c>
      <c r="B24" s="21" t="n">
        <f aca="false">IF(B17&gt;=3,ROUNDUP(B17/Assumptions!$B$52,0),0)</f>
        <v>0</v>
      </c>
      <c r="C24" s="21" t="n">
        <f aca="false">IF(C17&gt;=3,ROUNDUP(C17/Assumptions!$B$52,0),0)</f>
        <v>0</v>
      </c>
      <c r="D24" s="21" t="n">
        <f aca="false">IF(D17&gt;=3,ROUNDUP(D17/Assumptions!$B$52,0),0)</f>
        <v>0</v>
      </c>
      <c r="E24" s="21" t="n">
        <f aca="false">IF(E17&gt;=3,ROUNDUP(E17/Assumptions!$B$52,0),0)</f>
        <v>1</v>
      </c>
      <c r="F24" s="21" t="n">
        <f aca="false">IF(F17&gt;=3,ROUNDUP(F17/Assumptions!$B$52,0),0)</f>
        <v>1</v>
      </c>
      <c r="G24" s="21" t="n">
        <f aca="false">IF(G17&gt;=3,ROUNDUP(G17/Assumptions!$B$52,0),0)</f>
        <v>2</v>
      </c>
      <c r="H24" s="21" t="n">
        <f aca="false">IF(H17&gt;=3,ROUNDUP(H17/Assumptions!$B$52,0),0)</f>
        <v>2</v>
      </c>
      <c r="I24" s="21" t="n">
        <f aca="false">IF(I17&gt;=3,ROUNDUP(I17/Assumptions!$B$52,0),0)</f>
        <v>2</v>
      </c>
      <c r="J24" s="21" t="n">
        <f aca="false">IF(J17&gt;=3,ROUNDUP(J17/Assumptions!$B$52,0),0)</f>
        <v>2</v>
      </c>
      <c r="K24" s="21" t="n">
        <f aca="false">IF(K17&gt;=3,ROUNDUP(K17/Assumptions!$B$52,0),0)</f>
        <v>2</v>
      </c>
      <c r="L24" s="21" t="n">
        <f aca="false">IF(L17&gt;=3,ROUNDUP(L17/Assumptions!$B$52,0),0)</f>
        <v>2</v>
      </c>
      <c r="M24" s="21" t="n">
        <f aca="false">IF(M17&gt;=3,ROUNDUP(M17/Assumptions!$B$52,0),0)</f>
        <v>2</v>
      </c>
      <c r="N24" s="21" t="n">
        <f aca="false">IF(N17&gt;=3,ROUNDUP(N17/Assumptions!$B$52,0),0)</f>
        <v>2</v>
      </c>
      <c r="O24" s="21" t="n">
        <f aca="false">IF(O17&gt;=3,ROUNDUP(O17/Assumptions!$B$52,0),0)</f>
        <v>2</v>
      </c>
      <c r="P24" s="21" t="n">
        <f aca="false">IF(P17&gt;=3,ROUNDUP(P17/Assumptions!$B$52,0),0)</f>
        <v>2</v>
      </c>
      <c r="Q24" s="3"/>
      <c r="R24" s="3"/>
    </row>
    <row r="25" customFormat="false" ht="15" hidden="false" customHeight="false" outlineLevel="0" collapsed="false">
      <c r="A25" s="20" t="s">
        <v>641</v>
      </c>
      <c r="B25" s="21" t="n">
        <f aca="false">IF(B17&gt;=4,ROUNDUP(B17/(Assumptions!$B$53+(Assumptions!$B$181-Assumptions!$B$53)*0),0),0)</f>
        <v>0</v>
      </c>
      <c r="C25" s="21" t="n">
        <f aca="false">IF(C17&gt;=4,ROUNDUP(C17/(Assumptions!$B$53+(Assumptions!$B$181-Assumptions!$B$53)*0.071429),0),0)</f>
        <v>0</v>
      </c>
      <c r="D25" s="21" t="n">
        <f aca="false">IF(D17&gt;=4,ROUNDUP(D17/(Assumptions!$B$53+(Assumptions!$B$181-Assumptions!$B$53)*0.142857),0),0)</f>
        <v>0</v>
      </c>
      <c r="E25" s="21" t="n">
        <f aca="false">IF(E17&gt;=4,ROUNDUP(E17/(Assumptions!$B$53+(Assumptions!$B$181-Assumptions!$B$53)*0.214286),0),0)</f>
        <v>0</v>
      </c>
      <c r="F25" s="21" t="n">
        <f aca="false">IF(F17&gt;=4,ROUNDUP(F17/(Assumptions!$B$53+(Assumptions!$B$181-Assumptions!$B$53)*0.285714),0),0)</f>
        <v>2</v>
      </c>
      <c r="G25" s="21" t="n">
        <f aca="false">IF(G17&gt;=4,ROUNDUP(G17/(Assumptions!$B$53+(Assumptions!$B$181-Assumptions!$B$53)*0.357143),0),0)</f>
        <v>2</v>
      </c>
      <c r="H25" s="21" t="n">
        <f aca="false">IF(H17&gt;=4,ROUNDUP(H17/(Assumptions!$B$53+(Assumptions!$B$181-Assumptions!$B$53)*0.428571),0),0)</f>
        <v>2</v>
      </c>
      <c r="I25" s="21" t="n">
        <f aca="false">IF(I17&gt;=4,ROUNDUP(I17/(Assumptions!$B$53+(Assumptions!$B$181-Assumptions!$B$53)*0.5),0),0)</f>
        <v>2</v>
      </c>
      <c r="J25" s="21" t="n">
        <f aca="false">IF(J17&gt;=4,ROUNDUP(J17/(Assumptions!$B$53+(Assumptions!$B$181-Assumptions!$B$53)*0.571429),0),0)</f>
        <v>2</v>
      </c>
      <c r="K25" s="21" t="n">
        <f aca="false">IF(K17&gt;=4,ROUNDUP(K17/(Assumptions!$B$53+(Assumptions!$B$181-Assumptions!$B$53)*0.642857),0),0)</f>
        <v>2</v>
      </c>
      <c r="L25" s="21" t="n">
        <f aca="false">IF(L17&gt;=4,ROUNDUP(L17/(Assumptions!$B$53+(Assumptions!$B$181-Assumptions!$B$53)*0.714286),0),0)</f>
        <v>2</v>
      </c>
      <c r="M25" s="21" t="n">
        <f aca="false">IF(M17&gt;=4,ROUNDUP(M17/(Assumptions!$B$53+(Assumptions!$B$181-Assumptions!$B$53)*0.785714),0),0)</f>
        <v>2</v>
      </c>
      <c r="N25" s="21" t="n">
        <f aca="false">IF(N17&gt;=4,ROUNDUP(N17/(Assumptions!$B$53+(Assumptions!$B$181-Assumptions!$B$53)*0.857143),0),0)</f>
        <v>2</v>
      </c>
      <c r="O25" s="21" t="n">
        <f aca="false">IF(O17&gt;=4,ROUNDUP(O17/(Assumptions!$B$53+(Assumptions!$B$181-Assumptions!$B$53)*0.928571),0),0)</f>
        <v>2</v>
      </c>
      <c r="P25" s="21" t="n">
        <f aca="false">IF(P17&gt;=4,ROUNDUP(P17/(Assumptions!$B$53+(Assumptions!$B$181-Assumptions!$B$53)*1),0),0)</f>
        <v>2</v>
      </c>
      <c r="Q25" s="3"/>
      <c r="R25" s="8" t="s">
        <v>642</v>
      </c>
    </row>
    <row r="26" customFormat="false" ht="15" hidden="false" customHeight="false" outlineLevel="0" collapsed="false">
      <c r="A26" s="43" t="s">
        <v>353</v>
      </c>
      <c r="B26" s="44"/>
      <c r="C26" s="44"/>
      <c r="D26" s="44"/>
      <c r="E26" s="44"/>
      <c r="F26" s="44"/>
      <c r="G26" s="44"/>
      <c r="H26" s="44"/>
      <c r="I26" s="44"/>
      <c r="J26" s="44"/>
      <c r="K26" s="44"/>
      <c r="L26" s="44"/>
      <c r="M26" s="44"/>
      <c r="N26" s="44"/>
      <c r="O26" s="44"/>
      <c r="P26" s="44"/>
      <c r="Q26" s="3"/>
      <c r="R26" s="44"/>
    </row>
    <row r="27" customFormat="false" ht="15" hidden="false" customHeight="false" outlineLevel="0" collapsed="false">
      <c r="A27" s="20" t="s">
        <v>444</v>
      </c>
      <c r="B27" s="17" t="n">
        <f aca="false">Assumptions!$B$5</f>
        <v>50</v>
      </c>
      <c r="C27" s="17" t="n">
        <f aca="false">B27</f>
        <v>50</v>
      </c>
      <c r="D27" s="17" t="n">
        <f aca="false">C27*(1+Assumptions!$B$131)</f>
        <v>51.5</v>
      </c>
      <c r="E27" s="17" t="n">
        <f aca="false">D27*(1+Assumptions!$B$131)</f>
        <v>53.045</v>
      </c>
      <c r="F27" s="17" t="n">
        <f aca="false">E27*(1+Assumptions!$B$131)</f>
        <v>54.63635</v>
      </c>
      <c r="G27" s="17" t="n">
        <f aca="false">F27*(1+Assumptions!$B$131)</f>
        <v>56.2754405</v>
      </c>
      <c r="H27" s="17" t="n">
        <f aca="false">G27*(1+Assumptions!$B$131)</f>
        <v>57.963703715</v>
      </c>
      <c r="I27" s="17" t="n">
        <f aca="false">H27*(1+Assumptions!$B$131)</f>
        <v>59.70261482645</v>
      </c>
      <c r="J27" s="17" t="n">
        <f aca="false">I27*(1+Assumptions!$B$131)</f>
        <v>61.4936932712435</v>
      </c>
      <c r="K27" s="17" t="n">
        <f aca="false">J27*(1+Assumptions!$B$131)</f>
        <v>63.3385040693808</v>
      </c>
      <c r="L27" s="17" t="n">
        <f aca="false">K27*(1+Assumptions!$B$131)</f>
        <v>65.2386591914622</v>
      </c>
      <c r="M27" s="17" t="n">
        <f aca="false">L27*(1+Assumptions!$B$131)</f>
        <v>67.1958189672061</v>
      </c>
      <c r="N27" s="17" t="n">
        <f aca="false">M27*(1+Assumptions!$B$131)</f>
        <v>69.2116935362223</v>
      </c>
      <c r="O27" s="17" t="n">
        <f aca="false">N27*(1+Assumptions!$B$131)</f>
        <v>71.288044342309</v>
      </c>
      <c r="P27" s="17" t="n">
        <f aca="false">O27*(1+Assumptions!$B$131)</f>
        <v>73.4266856725782</v>
      </c>
      <c r="Q27" s="3"/>
      <c r="R27" s="8" t="s">
        <v>643</v>
      </c>
    </row>
    <row r="28" customFormat="false" ht="15" hidden="false" customHeight="false" outlineLevel="0" collapsed="false">
      <c r="A28" s="20" t="s">
        <v>593</v>
      </c>
      <c r="B28" s="17" t="n">
        <f aca="false">B20*B27</f>
        <v>1083600</v>
      </c>
      <c r="C28" s="17" t="n">
        <f aca="false">C20*C27</f>
        <v>1083600</v>
      </c>
      <c r="D28" s="17" t="n">
        <f aca="false">D20*D27</f>
        <v>1395135</v>
      </c>
      <c r="E28" s="17" t="n">
        <f aca="false">E20*E27</f>
        <v>2011784.67</v>
      </c>
      <c r="F28" s="17" t="n">
        <f aca="false">F20*F27</f>
        <v>2368157.9544</v>
      </c>
      <c r="G28" s="17" t="n">
        <f aca="false">G20*G27</f>
        <v>2744103.029661</v>
      </c>
      <c r="H28" s="17" t="n">
        <f aca="false">H20*H27</f>
        <v>3140473.4672787</v>
      </c>
      <c r="I28" s="17" t="n">
        <f aca="false">I20*I27</f>
        <v>3558156.43842677</v>
      </c>
      <c r="J28" s="17" t="n">
        <f aca="false">J20*J27</f>
        <v>3998073.96172317</v>
      </c>
      <c r="K28" s="17" t="n">
        <f aca="false">K20*K27</f>
        <v>4461184.19562277</v>
      </c>
      <c r="L28" s="17" t="n">
        <f aca="false">L20*L27</f>
        <v>4948482.77699079</v>
      </c>
      <c r="M28" s="17" t="n">
        <f aca="false">M20*M27</f>
        <v>5461004.20746484</v>
      </c>
      <c r="N28" s="17" t="n">
        <f aca="false">N20*N27</f>
        <v>5999823.28926804</v>
      </c>
      <c r="O28" s="17" t="n">
        <f aca="false">O20*O27</f>
        <v>6179817.98794608</v>
      </c>
      <c r="P28" s="17" t="n">
        <f aca="false">P20*P27</f>
        <v>6365212.52758446</v>
      </c>
      <c r="Q28" s="3"/>
      <c r="R28" s="3"/>
    </row>
    <row r="29" customFormat="false" ht="15" hidden="false" customHeight="false" outlineLevel="0" collapsed="false">
      <c r="A29" s="20" t="s">
        <v>644</v>
      </c>
      <c r="B29" s="21" t="n">
        <f aca="false">B20/Assumptions!$B$17</f>
        <v>216.72</v>
      </c>
      <c r="C29" s="21" t="n">
        <f aca="false">C20/Assumptions!$B$17</f>
        <v>216.72</v>
      </c>
      <c r="D29" s="21" t="n">
        <f aca="false">D20/Assumptions!$B$17</f>
        <v>270.9</v>
      </c>
      <c r="E29" s="21" t="n">
        <f aca="false">E20/Assumptions!$B$17</f>
        <v>379.26</v>
      </c>
      <c r="F29" s="21" t="n">
        <f aca="false">F20/Assumptions!$B$17</f>
        <v>433.44</v>
      </c>
      <c r="G29" s="21" t="n">
        <f aca="false">G20/Assumptions!$B$17</f>
        <v>487.62</v>
      </c>
      <c r="H29" s="21" t="n">
        <f aca="false">H20/Assumptions!$B$17</f>
        <v>541.8</v>
      </c>
      <c r="I29" s="21" t="n">
        <f aca="false">I20/Assumptions!$B$17</f>
        <v>595.98</v>
      </c>
      <c r="J29" s="21" t="n">
        <f aca="false">J20/Assumptions!$B$17</f>
        <v>650.16</v>
      </c>
      <c r="K29" s="21" t="n">
        <f aca="false">K20/Assumptions!$B$17</f>
        <v>704.34</v>
      </c>
      <c r="L29" s="21" t="n">
        <f aca="false">L20/Assumptions!$B$17</f>
        <v>758.52</v>
      </c>
      <c r="M29" s="21" t="n">
        <f aca="false">M20/Assumptions!$B$17</f>
        <v>812.7</v>
      </c>
      <c r="N29" s="21" t="n">
        <f aca="false">N20/Assumptions!$B$17</f>
        <v>866.88</v>
      </c>
      <c r="O29" s="21" t="n">
        <f aca="false">O20/Assumptions!$B$17</f>
        <v>866.88</v>
      </c>
      <c r="P29" s="21" t="n">
        <f aca="false">P20/Assumptions!$B$17</f>
        <v>866.88</v>
      </c>
      <c r="Q29" s="3"/>
      <c r="R29" s="3"/>
    </row>
    <row r="30" customFormat="false" ht="15" hidden="false" customHeight="false" outlineLevel="0" collapsed="false">
      <c r="A30" s="20" t="s">
        <v>645</v>
      </c>
      <c r="B30" s="21" t="n">
        <f aca="false">B29*Assumptions!$B$31</f>
        <v>130.032</v>
      </c>
      <c r="C30" s="21" t="n">
        <f aca="false">C29*Assumptions!$B$31</f>
        <v>130.032</v>
      </c>
      <c r="D30" s="21" t="n">
        <f aca="false">D29*Assumptions!$B$31</f>
        <v>162.54</v>
      </c>
      <c r="E30" s="21" t="n">
        <f aca="false">E29*Assumptions!$B$31</f>
        <v>227.556</v>
      </c>
      <c r="F30" s="21" t="n">
        <f aca="false">F29*Assumptions!$B$31</f>
        <v>260.064</v>
      </c>
      <c r="G30" s="21" t="n">
        <f aca="false">G29*Assumptions!$B$31</f>
        <v>292.572</v>
      </c>
      <c r="H30" s="21" t="n">
        <f aca="false">H29*Assumptions!$B$31</f>
        <v>325.08</v>
      </c>
      <c r="I30" s="21" t="n">
        <f aca="false">I29*Assumptions!$B$31</f>
        <v>357.588</v>
      </c>
      <c r="J30" s="21" t="n">
        <f aca="false">J29*Assumptions!$B$31</f>
        <v>390.096</v>
      </c>
      <c r="K30" s="21" t="n">
        <f aca="false">K29*Assumptions!$B$31</f>
        <v>422.604</v>
      </c>
      <c r="L30" s="21" t="n">
        <f aca="false">L29*Assumptions!$B$31</f>
        <v>455.112</v>
      </c>
      <c r="M30" s="21" t="n">
        <f aca="false">M29*Assumptions!$B$31</f>
        <v>487.62</v>
      </c>
      <c r="N30" s="21" t="n">
        <f aca="false">N29*Assumptions!$B$31</f>
        <v>520.128</v>
      </c>
      <c r="O30" s="21" t="n">
        <f aca="false">O29*Assumptions!$B$31</f>
        <v>520.128</v>
      </c>
      <c r="P30" s="21" t="n">
        <f aca="false">P29*Assumptions!$B$31</f>
        <v>520.128</v>
      </c>
      <c r="Q30" s="3"/>
      <c r="R30" s="3"/>
    </row>
    <row r="31" customFormat="false" ht="15" hidden="false" customHeight="false" outlineLevel="0" collapsed="false">
      <c r="A31" s="18" t="s">
        <v>646</v>
      </c>
      <c r="B31" s="22" t="n">
        <f aca="false">B30</f>
        <v>130.032</v>
      </c>
      <c r="C31" s="22" t="n">
        <f aca="false">B31*(1-Assumptions!$B$43)+C30</f>
        <v>249.66144</v>
      </c>
      <c r="D31" s="22" t="n">
        <f aca="false">C31*(1-Assumptions!$B$43)+D30</f>
        <v>392.2285248</v>
      </c>
      <c r="E31" s="22" t="n">
        <f aca="false">D31*(1-Assumptions!$B$43)+E30</f>
        <v>588.406242816</v>
      </c>
      <c r="F31" s="22" t="n">
        <f aca="false">E31*(1-Assumptions!$B$43)+F30</f>
        <v>801.39774339072</v>
      </c>
      <c r="G31" s="22" t="n">
        <f aca="false">F31*(1-Assumptions!$B$43)+G30</f>
        <v>1029.85792391946</v>
      </c>
      <c r="H31" s="22" t="n">
        <f aca="false">G31*(1-Assumptions!$B$43)+H30</f>
        <v>1272.54929000591</v>
      </c>
      <c r="I31" s="22" t="n">
        <f aca="false">H31*(1-Assumptions!$B$43)+I30</f>
        <v>1528.33334680543</v>
      </c>
      <c r="J31" s="22" t="n">
        <f aca="false">I31*(1-Assumptions!$B$43)+J30</f>
        <v>1796.162679061</v>
      </c>
      <c r="K31" s="22" t="n">
        <f aca="false">J31*(1-Assumptions!$B$43)+K30</f>
        <v>2075.07366473612</v>
      </c>
      <c r="L31" s="22" t="n">
        <f aca="false">K31*(1-Assumptions!$B$43)+L30</f>
        <v>2364.17977155723</v>
      </c>
      <c r="M31" s="22" t="n">
        <f aca="false">L31*(1-Assumptions!$B$43)+M30</f>
        <v>2662.66538983265</v>
      </c>
      <c r="N31" s="22" t="n">
        <f aca="false">M31*(1-Assumptions!$B$43)+N30</f>
        <v>2969.78015864604</v>
      </c>
      <c r="O31" s="22" t="n">
        <f aca="false">N31*(1-Assumptions!$B$43)+O30</f>
        <v>3252.32574595436</v>
      </c>
      <c r="P31" s="22" t="n">
        <f aca="false">O31*(1-Assumptions!$B$43)+P30</f>
        <v>3512.26768627801</v>
      </c>
      <c r="Q31" s="3"/>
      <c r="R31" s="8" t="s">
        <v>647</v>
      </c>
    </row>
    <row r="32" customFormat="false" ht="15" hidden="false" customHeight="false" outlineLevel="0" collapsed="false">
      <c r="A32" s="20" t="s">
        <v>418</v>
      </c>
      <c r="B32" s="17" t="n">
        <f aca="false">Assumptions!$B$30</f>
        <v>249</v>
      </c>
      <c r="C32" s="17" t="n">
        <f aca="false">B32</f>
        <v>249</v>
      </c>
      <c r="D32" s="17" t="n">
        <f aca="false">C32*(1+Assumptions!$B$131)</f>
        <v>256.47</v>
      </c>
      <c r="E32" s="17" t="n">
        <f aca="false">D32*(1+Assumptions!$B$131)</f>
        <v>264.1641</v>
      </c>
      <c r="F32" s="17" t="n">
        <f aca="false">E32*(1+Assumptions!$B$131)</f>
        <v>272.089023</v>
      </c>
      <c r="G32" s="17" t="n">
        <f aca="false">F32*(1+Assumptions!$B$131)</f>
        <v>280.25169369</v>
      </c>
      <c r="H32" s="17" t="n">
        <f aca="false">G32*(1+Assumptions!$B$131)</f>
        <v>288.6592445007</v>
      </c>
      <c r="I32" s="17" t="n">
        <f aca="false">H32*(1+Assumptions!$B$131)</f>
        <v>297.319021835721</v>
      </c>
      <c r="J32" s="17" t="n">
        <f aca="false">I32*(1+Assumptions!$B$131)</f>
        <v>306.238592490793</v>
      </c>
      <c r="K32" s="17" t="n">
        <f aca="false">J32*(1+Assumptions!$B$131)</f>
        <v>315.425750265517</v>
      </c>
      <c r="L32" s="17" t="n">
        <f aca="false">K32*(1+Assumptions!$B$131)</f>
        <v>324.888522773482</v>
      </c>
      <c r="M32" s="17" t="n">
        <f aca="false">L32*(1+Assumptions!$B$131)</f>
        <v>334.635178456687</v>
      </c>
      <c r="N32" s="17" t="n">
        <f aca="false">M32*(1+Assumptions!$B$131)</f>
        <v>344.674233810387</v>
      </c>
      <c r="O32" s="17" t="n">
        <f aca="false">N32*(1+Assumptions!$B$131)</f>
        <v>355.014460824699</v>
      </c>
      <c r="P32" s="17" t="n">
        <f aca="false">O32*(1+Assumptions!$B$131)</f>
        <v>365.66489464944</v>
      </c>
      <c r="Q32" s="3"/>
      <c r="R32" s="3"/>
    </row>
    <row r="33" customFormat="false" ht="15" hidden="false" customHeight="false" outlineLevel="0" collapsed="false">
      <c r="A33" s="20" t="s">
        <v>648</v>
      </c>
      <c r="B33" s="21" t="n">
        <f aca="false">ROUNDUP(B31*Assumptions!$B$33/Assumptions!$B$54,0)</f>
        <v>1</v>
      </c>
      <c r="C33" s="21" t="n">
        <f aca="false">ROUNDUP(C31*Assumptions!$B$33/Assumptions!$B$54,0)</f>
        <v>1</v>
      </c>
      <c r="D33" s="21" t="n">
        <f aca="false">ROUNDUP(D31*Assumptions!$B$33/Assumptions!$B$54,0)</f>
        <v>1</v>
      </c>
      <c r="E33" s="21" t="n">
        <f aca="false">ROUNDUP(E31*Assumptions!$B$33/Assumptions!$B$54,0)</f>
        <v>1</v>
      </c>
      <c r="F33" s="21" t="n">
        <f aca="false">ROUNDUP(F31*Assumptions!$B$33/Assumptions!$B$54,0)</f>
        <v>1</v>
      </c>
      <c r="G33" s="21" t="n">
        <f aca="false">ROUNDUP(G31*Assumptions!$B$33/Assumptions!$B$54,0)</f>
        <v>1</v>
      </c>
      <c r="H33" s="21" t="n">
        <f aca="false">ROUNDUP(H31*Assumptions!$B$33/Assumptions!$B$54,0)</f>
        <v>2</v>
      </c>
      <c r="I33" s="21" t="n">
        <f aca="false">ROUNDUP(I31*Assumptions!$B$33/Assumptions!$B$54,0)</f>
        <v>2</v>
      </c>
      <c r="J33" s="21" t="n">
        <f aca="false">ROUNDUP(J31*Assumptions!$B$33/Assumptions!$B$54,0)</f>
        <v>2</v>
      </c>
      <c r="K33" s="21" t="n">
        <f aca="false">ROUNDUP(K31*Assumptions!$B$33/Assumptions!$B$54,0)</f>
        <v>2</v>
      </c>
      <c r="L33" s="21" t="n">
        <f aca="false">ROUNDUP(L31*Assumptions!$B$33/Assumptions!$B$54,0)</f>
        <v>2</v>
      </c>
      <c r="M33" s="21" t="n">
        <f aca="false">ROUNDUP(M31*Assumptions!$B$33/Assumptions!$B$54,0)</f>
        <v>3</v>
      </c>
      <c r="N33" s="21" t="n">
        <f aca="false">ROUNDUP(N31*Assumptions!$B$33/Assumptions!$B$54,0)</f>
        <v>3</v>
      </c>
      <c r="O33" s="21" t="n">
        <f aca="false">ROUNDUP(O31*Assumptions!$B$33/Assumptions!$B$54,0)</f>
        <v>3</v>
      </c>
      <c r="P33" s="21" t="n">
        <f aca="false">ROUNDUP(P31*Assumptions!$B$33/Assumptions!$B$54,0)</f>
        <v>3</v>
      </c>
      <c r="Q33" s="3"/>
      <c r="R33" s="8" t="s">
        <v>649</v>
      </c>
    </row>
    <row r="34" customFormat="false" ht="15" hidden="false" customHeight="false" outlineLevel="0" collapsed="false">
      <c r="A34" s="18" t="s">
        <v>650</v>
      </c>
      <c r="B34" s="22" t="n">
        <f aca="false">1+B22+B23+B24+B25+B33</f>
        <v>9</v>
      </c>
      <c r="C34" s="22" t="n">
        <f aca="false">1+C22+C23+C24+C25+C33</f>
        <v>9</v>
      </c>
      <c r="D34" s="22" t="n">
        <f aca="false">1+D22+D23+D24+D25+D33</f>
        <v>12</v>
      </c>
      <c r="E34" s="22" t="n">
        <f aca="false">1+E22+E23+E24+E25+E33</f>
        <v>16</v>
      </c>
      <c r="F34" s="22" t="n">
        <f aca="false">1+F22+F23+F24+F25+F33</f>
        <v>19</v>
      </c>
      <c r="G34" s="22" t="n">
        <f aca="false">1+G22+G23+G24+G25+G33</f>
        <v>22</v>
      </c>
      <c r="H34" s="22" t="n">
        <f aca="false">1+H22+H23+H24+H25+H33</f>
        <v>24</v>
      </c>
      <c r="I34" s="22" t="n">
        <f aca="false">1+I22+I23+I24+I25+I33</f>
        <v>26</v>
      </c>
      <c r="J34" s="22" t="n">
        <f aca="false">1+J22+J23+J24+J25+J33</f>
        <v>28</v>
      </c>
      <c r="K34" s="22" t="n">
        <f aca="false">1+K22+K23+K24+K25+K33</f>
        <v>30</v>
      </c>
      <c r="L34" s="22" t="n">
        <f aca="false">1+L22+L23+L24+L25+L33</f>
        <v>31</v>
      </c>
      <c r="M34" s="22" t="n">
        <f aca="false">1+M22+M23+M24+M25+M33</f>
        <v>34</v>
      </c>
      <c r="N34" s="22" t="n">
        <f aca="false">1+N22+N23+N24+N25+N33</f>
        <v>35</v>
      </c>
      <c r="O34" s="22" t="n">
        <f aca="false">1+O22+O23+O24+O25+O33</f>
        <v>35</v>
      </c>
      <c r="P34" s="22" t="n">
        <f aca="false">1+P22+P23+P24+P25+P33</f>
        <v>35</v>
      </c>
      <c r="Q34" s="3"/>
      <c r="R34" s="3"/>
    </row>
    <row r="35" customFormat="false" ht="15" hidden="false" customHeight="false" outlineLevel="0" collapsed="false">
      <c r="A35" s="20" t="s">
        <v>651</v>
      </c>
      <c r="B35" s="17" t="n">
        <f aca="false">B31*Assumptions!$B$33*B32</f>
        <v>24283.476</v>
      </c>
      <c r="C35" s="17" t="n">
        <f aca="false">C31*Assumptions!$B$33*C32</f>
        <v>46624.27392</v>
      </c>
      <c r="D35" s="17" t="n">
        <f aca="false">D31*Assumptions!$B$33*D32</f>
        <v>75446.137316592</v>
      </c>
      <c r="E35" s="17" t="n">
        <f aca="false">E31*Assumptions!$B$33*E32</f>
        <v>116576.854175903</v>
      </c>
      <c r="F35" s="17" t="n">
        <f aca="false">F31*Assumptions!$B$33*F32</f>
        <v>163538.646775189</v>
      </c>
      <c r="G35" s="17" t="n">
        <f aca="false">G31*Assumptions!$B$33*G32</f>
        <v>216464.570578872</v>
      </c>
      <c r="H35" s="17" t="n">
        <f aca="false">H31*Assumptions!$B$33*H32</f>
        <v>275499.837482255</v>
      </c>
      <c r="I35" s="17" t="n">
        <f aca="false">I31*Assumptions!$B$33*I32</f>
        <v>340801.931783329</v>
      </c>
      <c r="J35" s="17" t="n">
        <f aca="false">J31*Assumptions!$B$33*J32</f>
        <v>412540.748040099</v>
      </c>
      <c r="K35" s="17" t="n">
        <f aca="false">K31*Assumptions!$B$33*K32</f>
        <v>490898.750666704</v>
      </c>
      <c r="L35" s="17" t="n">
        <f aca="false">L31*Assumptions!$B$33*L32</f>
        <v>576071.155164132</v>
      </c>
      <c r="M35" s="17" t="n">
        <f aca="false">M31*Assumptions!$B$33*M32</f>
        <v>668266.130922819</v>
      </c>
      <c r="N35" s="17" t="n">
        <f aca="false">N31*Assumptions!$B$33*N32</f>
        <v>767705.02557496</v>
      </c>
      <c r="O35" s="17" t="n">
        <f aca="false">O31*Assumptions!$B$33*O32</f>
        <v>865967.003344704</v>
      </c>
      <c r="P35" s="17" t="n">
        <f aca="false">P31*Assumptions!$B$33*P32</f>
        <v>963234.745112609</v>
      </c>
      <c r="Q35" s="3"/>
      <c r="R35" s="3"/>
    </row>
    <row r="36" customFormat="false" ht="15" hidden="false" customHeight="false" outlineLevel="0" collapsed="false">
      <c r="A36" s="18" t="s">
        <v>360</v>
      </c>
      <c r="B36" s="24" t="n">
        <f aca="false">B28+B35</f>
        <v>1107883.476</v>
      </c>
      <c r="C36" s="24" t="n">
        <f aca="false">C28+C35</f>
        <v>1130224.27392</v>
      </c>
      <c r="D36" s="24" t="n">
        <f aca="false">D28+D35</f>
        <v>1470581.13731659</v>
      </c>
      <c r="E36" s="24" t="n">
        <f aca="false">E28+E35</f>
        <v>2128361.5241759</v>
      </c>
      <c r="F36" s="24" t="n">
        <f aca="false">F28+F35</f>
        <v>2531696.60117519</v>
      </c>
      <c r="G36" s="24" t="n">
        <f aca="false">G28+G35</f>
        <v>2960567.60023987</v>
      </c>
      <c r="H36" s="24" t="n">
        <f aca="false">H28+H35</f>
        <v>3415973.30476096</v>
      </c>
      <c r="I36" s="24" t="n">
        <f aca="false">I28+I35</f>
        <v>3898958.3702101</v>
      </c>
      <c r="J36" s="24" t="n">
        <f aca="false">J28+J35</f>
        <v>4410614.70976327</v>
      </c>
      <c r="K36" s="24" t="n">
        <f aca="false">K28+K35</f>
        <v>4952082.94628947</v>
      </c>
      <c r="L36" s="24" t="n">
        <f aca="false">L28+L35</f>
        <v>5524553.93215493</v>
      </c>
      <c r="M36" s="24" t="n">
        <f aca="false">M28+M35</f>
        <v>6129270.33838766</v>
      </c>
      <c r="N36" s="24" t="n">
        <f aca="false">N28+N35</f>
        <v>6767528.314843</v>
      </c>
      <c r="O36" s="24" t="n">
        <f aca="false">O28+O35</f>
        <v>7045784.99129078</v>
      </c>
      <c r="P36" s="24" t="n">
        <f aca="false">P28+P35</f>
        <v>7328447.27269707</v>
      </c>
      <c r="Q36" s="3"/>
      <c r="R36" s="3"/>
    </row>
    <row r="37" customFormat="false" ht="15" hidden="false" customHeight="false" outlineLevel="0" collapsed="false">
      <c r="A37" s="43" t="s">
        <v>652</v>
      </c>
      <c r="B37" s="44"/>
      <c r="C37" s="44"/>
      <c r="D37" s="44"/>
      <c r="E37" s="44"/>
      <c r="F37" s="44"/>
      <c r="G37" s="44"/>
      <c r="H37" s="44"/>
      <c r="I37" s="44"/>
      <c r="J37" s="44"/>
      <c r="K37" s="44"/>
      <c r="L37" s="44"/>
      <c r="M37" s="44"/>
      <c r="N37" s="44"/>
      <c r="O37" s="44"/>
      <c r="P37" s="44"/>
      <c r="Q37" s="3"/>
      <c r="R37" s="44"/>
    </row>
    <row r="38" customFormat="false" ht="15" hidden="false" customHeight="false" outlineLevel="0" collapsed="false">
      <c r="A38" s="20" t="s">
        <v>653</v>
      </c>
      <c r="B38" s="17" t="n">
        <f aca="false">B17*(Assumptions!$B$26*Assumptions!$B$27*Assumptions!$B$23+Assumptions!$B$27*Assumptions!$B$24)*(1+Assumptions!$B$25)*12</f>
        <v>333696.24</v>
      </c>
      <c r="C38" s="17" t="n">
        <f aca="false">C17*(Assumptions!$B$26*Assumptions!$B$27*Assumptions!$B$23+Assumptions!$B$27*Assumptions!$B$24)*(1+Assumptions!$B$25)*12*(1+Assumptions!$B$137)^1</f>
        <v>345375.6084</v>
      </c>
      <c r="D38" s="17" t="n">
        <f aca="false">D17*(Assumptions!$B$26*Assumptions!$B$27*Assumptions!$B$23+Assumptions!$B$27*Assumptions!$B$24)*(1+Assumptions!$B$25)*12*(1+Assumptions!$B$137)^2</f>
        <v>446829.6933675</v>
      </c>
      <c r="E38" s="17" t="n">
        <f aca="false">E17*(Assumptions!$B$26*Assumptions!$B$27*Assumptions!$B$23+Assumptions!$B$27*Assumptions!$B$24)*(1+Assumptions!$B$25)*12*(1+Assumptions!$B$137)^3</f>
        <v>647456.225689507</v>
      </c>
      <c r="F38" s="17" t="n">
        <f aca="false">F17*(Assumptions!$B$26*Assumptions!$B$27*Assumptions!$B$23+Assumptions!$B$27*Assumptions!$B$24)*(1+Assumptions!$B$25)*12*(1+Assumptions!$B$137)^4</f>
        <v>765848.22124416</v>
      </c>
      <c r="G38" s="17" t="n">
        <f aca="false">G17*(Assumptions!$B$26*Assumptions!$B$27*Assumptions!$B$23+Assumptions!$B$27*Assumptions!$B$24)*(1+Assumptions!$B$25)*12*(1+Assumptions!$B$137)^5</f>
        <v>891734.522611169</v>
      </c>
      <c r="H38" s="17" t="n">
        <f aca="false">H17*(Assumptions!$B$26*Assumptions!$B$27*Assumptions!$B$23+Assumptions!$B$27*Assumptions!$B$24)*(1+Assumptions!$B$25)*12*(1+Assumptions!$B$137)^6</f>
        <v>1025494.70100284</v>
      </c>
      <c r="I38" s="17" t="n">
        <f aca="false">I17*(Assumptions!$B$26*Assumptions!$B$27*Assumptions!$B$23+Assumptions!$B$27*Assumptions!$B$24)*(1+Assumptions!$B$25)*12*(1+Assumptions!$B$137)^7</f>
        <v>1167525.71709174</v>
      </c>
      <c r="J38" s="17" t="n">
        <f aca="false">J17*(Assumptions!$B$26*Assumptions!$B$27*Assumptions!$B$23+Assumptions!$B$27*Assumptions!$B$24)*(1+Assumptions!$B$25)*12*(1+Assumptions!$B$137)^8</f>
        <v>1318242.67329813</v>
      </c>
      <c r="K38" s="17" t="n">
        <f aca="false">K17*(Assumptions!$B$26*Assumptions!$B$27*Assumptions!$B$23+Assumptions!$B$27*Assumptions!$B$24)*(1+Assumptions!$B$25)*12*(1+Assumptions!$B$137)^9</f>
        <v>1478079.59743552</v>
      </c>
      <c r="L38" s="17" t="n">
        <f aca="false">L17*(Assumptions!$B$26*Assumptions!$B$27*Assumptions!$B$23+Assumptions!$B$27*Assumptions!$B$24)*(1+Assumptions!$B$25)*12*(1+Assumptions!$B$137)^10</f>
        <v>1647490.25898775</v>
      </c>
      <c r="M38" s="17" t="n">
        <f aca="false">M17*(Assumptions!$B$26*Assumptions!$B$27*Assumptions!$B$23+Assumptions!$B$27*Assumptions!$B$24)*(1+Assumptions!$B$25)*12*(1+Assumptions!$B$137)^11</f>
        <v>1826949.01934177</v>
      </c>
      <c r="N38" s="17" t="n">
        <f aca="false">N17*(Assumptions!$B$26*Assumptions!$B$27*Assumptions!$B$23+Assumptions!$B$27*Assumptions!$B$24)*(1+Assumptions!$B$25)*12*(1+Assumptions!$B$137)^12</f>
        <v>2016951.71735332</v>
      </c>
      <c r="O38" s="17" t="n">
        <f aca="false">O17*(Assumptions!$B$26*Assumptions!$B$27*Assumptions!$B$23+Assumptions!$B$27*Assumptions!$B$24)*(1+Assumptions!$B$25)*12*(1+Assumptions!$B$137)^13</f>
        <v>2087545.02746068</v>
      </c>
      <c r="P38" s="17" t="n">
        <f aca="false">P17*(Assumptions!$B$26*Assumptions!$B$27*Assumptions!$B$23+Assumptions!$B$27*Assumptions!$B$24)*(1+Assumptions!$B$25)*12*(1+Assumptions!$B$137)^14</f>
        <v>2160609.10342181</v>
      </c>
      <c r="Q38" s="3"/>
      <c r="R38" s="8" t="s">
        <v>654</v>
      </c>
    </row>
    <row r="39" customFormat="false" ht="15" hidden="false" customHeight="false" outlineLevel="0" collapsed="false">
      <c r="A39" s="20" t="s">
        <v>655</v>
      </c>
      <c r="B39" s="17" t="n">
        <f aca="false">B20*(Assumptions!$B$5*Assumptions!$B$22)*(1-Assumptions!$B$135)*Assumptions!$B$134</f>
        <v>95356.8</v>
      </c>
      <c r="C39" s="17" t="n">
        <f aca="false">C20*(Assumptions!$B$5*Assumptions!$B$22)*(1-Assumptions!$B$135)*Assumptions!$B$134*(1+Assumptions!$B$132)^1</f>
        <v>100363.032</v>
      </c>
      <c r="D39" s="17" t="n">
        <f aca="false">D20*(Assumptions!$B$5*Assumptions!$B$22)*(1-Assumptions!$B$135)*Assumptions!$B$134*(1+Assumptions!$B$132)^2</f>
        <v>132040.113975</v>
      </c>
      <c r="E39" s="17" t="n">
        <f aca="false">E20*(Assumptions!$B$5*Assumptions!$B$22)*(1-Assumptions!$B$135)*Assumptions!$B$134*(1+Assumptions!$B$132)^3</f>
        <v>194561.107942163</v>
      </c>
      <c r="F39" s="17" t="n">
        <f aca="false">F20*(Assumptions!$B$5*Assumptions!$B$22)*(1-Assumptions!$B$135)*Assumptions!$B$134*(1+Assumptions!$B$132)^4</f>
        <v>234029.21841043</v>
      </c>
      <c r="G39" s="17" t="n">
        <f aca="false">G20*(Assumptions!$B$5*Assumptions!$B$22)*(1-Assumptions!$B$135)*Assumptions!$B$134*(1+Assumptions!$B$132)^5</f>
        <v>277105.221424099</v>
      </c>
      <c r="H39" s="17" t="n">
        <f aca="false">H20*(Assumptions!$B$5*Assumptions!$B$22)*(1-Assumptions!$B$135)*Assumptions!$B$134*(1+Assumptions!$B$132)^6</f>
        <v>324059.161720961</v>
      </c>
      <c r="I39" s="17" t="n">
        <f aca="false">I20*(Assumptions!$B$5*Assumptions!$B$22)*(1-Assumptions!$B$135)*Assumptions!$B$134*(1+Assumptions!$B$132)^7</f>
        <v>375179.494482442</v>
      </c>
      <c r="J39" s="17" t="n">
        <f aca="false">J20*(Assumptions!$B$5*Assumptions!$B$22)*(1-Assumptions!$B$135)*Assumptions!$B$134*(1+Assumptions!$B$132)^8</f>
        <v>430774.274119386</v>
      </c>
      <c r="K39" s="17" t="n">
        <f aca="false">K20*(Assumptions!$B$5*Assumptions!$B$22)*(1-Assumptions!$B$135)*Assumptions!$B$134*(1+Assumptions!$B$132)^9</f>
        <v>491172.417136542</v>
      </c>
      <c r="L39" s="17" t="n">
        <f aca="false">L20*(Assumptions!$B$5*Assumptions!$B$22)*(1-Assumptions!$B$135)*Assumptions!$B$134*(1+Assumptions!$B$132)^10</f>
        <v>556725.043577457</v>
      </c>
      <c r="M39" s="17" t="n">
        <f aca="false">M20*(Assumptions!$B$5*Assumptions!$B$22)*(1-Assumptions!$B$135)*Assumptions!$B$134*(1+Assumptions!$B$132)^11</f>
        <v>627806.901819936</v>
      </c>
      <c r="N39" s="17" t="n">
        <f aca="false">N20*(Assumptions!$B$5*Assumptions!$B$22)*(1-Assumptions!$B$135)*Assumptions!$B$134*(1+Assumptions!$B$132)^12</f>
        <v>704817.881776515</v>
      </c>
      <c r="O39" s="17" t="n">
        <f aca="false">O20*(Assumptions!$B$5*Assumptions!$B$22)*(1-Assumptions!$B$135)*Assumptions!$B$134*(1+Assumptions!$B$132)^13</f>
        <v>741820.820569782</v>
      </c>
      <c r="P39" s="17" t="n">
        <f aca="false">P20*(Assumptions!$B$5*Assumptions!$B$22)*(1-Assumptions!$B$135)*Assumptions!$B$134*(1+Assumptions!$B$132)^14</f>
        <v>780766.413649695</v>
      </c>
      <c r="Q39" s="3"/>
      <c r="R39" s="8" t="s">
        <v>656</v>
      </c>
    </row>
    <row r="40" customFormat="false" ht="15" hidden="false" customHeight="false" outlineLevel="0" collapsed="false">
      <c r="A40" s="20" t="s">
        <v>657</v>
      </c>
      <c r="B40" s="17" t="n">
        <f aca="false">B20*(Assumptions!$B$5*Assumptions!$B$22)*(1-Assumptions!$B$135)*(1-Assumptions!$B$134)</f>
        <v>78019.2</v>
      </c>
      <c r="C40" s="17" t="n">
        <f aca="false">C20*(Assumptions!$B$5*Assumptions!$B$22)*(1-Assumptions!$B$135)*(1-Assumptions!$B$134)*(1+Assumptions!$B$133)^1</f>
        <v>79969.68</v>
      </c>
      <c r="D40" s="17" t="n">
        <f aca="false">D20*(Assumptions!$B$5*Assumptions!$B$22)*(1-Assumptions!$B$135)*(1-Assumptions!$B$134)*(1+Assumptions!$B$133)^2</f>
        <v>102461.1525</v>
      </c>
      <c r="E40" s="17" t="n">
        <f aca="false">E20*(Assumptions!$B$5*Assumptions!$B$22)*(1-Assumptions!$B$135)*(1-Assumptions!$B$134)*(1+Assumptions!$B$133)^3</f>
        <v>147031.7538375</v>
      </c>
      <c r="F40" s="17" t="n">
        <f aca="false">F20*(Assumptions!$B$5*Assumptions!$B$22)*(1-Assumptions!$B$135)*(1-Assumptions!$B$134)*(1+Assumptions!$B$133)^4</f>
        <v>172237.1973525</v>
      </c>
      <c r="G40" s="17" t="n">
        <f aca="false">G20*(Assumptions!$B$5*Assumptions!$B$22)*(1-Assumptions!$B$135)*(1-Assumptions!$B$134)*(1+Assumptions!$B$133)^5</f>
        <v>198611.018197101</v>
      </c>
      <c r="H40" s="17" t="n">
        <f aca="false">H20*(Assumptions!$B$5*Assumptions!$B$22)*(1-Assumptions!$B$135)*(1-Assumptions!$B$134)*(1+Assumptions!$B$133)^6</f>
        <v>226195.881835588</v>
      </c>
      <c r="I40" s="17" t="n">
        <f aca="false">I20*(Assumptions!$B$5*Assumptions!$B$22)*(1-Assumptions!$B$135)*(1-Assumptions!$B$134)*(1+Assumptions!$B$133)^7</f>
        <v>255035.856769625</v>
      </c>
      <c r="J40" s="17" t="n">
        <f aca="false">J20*(Assumptions!$B$5*Assumptions!$B$22)*(1-Assumptions!$B$135)*(1-Assumptions!$B$134)*(1+Assumptions!$B$133)^8</f>
        <v>285176.458024217</v>
      </c>
      <c r="K40" s="17" t="n">
        <f aca="false">K20*(Assumptions!$B$5*Assumptions!$B$22)*(1-Assumptions!$B$135)*(1-Assumptions!$B$134)*(1+Assumptions!$B$133)^9</f>
        <v>316664.691931058</v>
      </c>
      <c r="L40" s="17" t="n">
        <f aca="false">L20*(Assumptions!$B$5*Assumptions!$B$22)*(1-Assumptions!$B$135)*(1-Assumptions!$B$134)*(1+Assumptions!$B$133)^10</f>
        <v>349549.102246975</v>
      </c>
      <c r="M40" s="17" t="n">
        <f aca="false">M20*(Assumptions!$B$5*Assumptions!$B$22)*(1-Assumptions!$B$135)*(1-Assumptions!$B$134)*(1+Assumptions!$B$133)^11</f>
        <v>383879.817646232</v>
      </c>
      <c r="N40" s="17" t="n">
        <f aca="false">N20*(Assumptions!$B$5*Assumptions!$B$22)*(1-Assumptions!$B$135)*(1-Assumptions!$B$134)*(1+Assumptions!$B$133)^12</f>
        <v>419708.600626547</v>
      </c>
      <c r="O40" s="17" t="n">
        <f aca="false">O20*(Assumptions!$B$5*Assumptions!$B$22)*(1-Assumptions!$B$135)*(1-Assumptions!$B$134)*(1+Assumptions!$B$133)^13</f>
        <v>430201.31564221</v>
      </c>
      <c r="P40" s="17" t="n">
        <f aca="false">P20*(Assumptions!$B$5*Assumptions!$B$22)*(1-Assumptions!$B$135)*(1-Assumptions!$B$134)*(1+Assumptions!$B$133)^14</f>
        <v>440956.348533266</v>
      </c>
      <c r="Q40" s="3"/>
      <c r="R40" s="3"/>
    </row>
    <row r="41" customFormat="false" ht="15" hidden="false" customHeight="false" outlineLevel="0" collapsed="false">
      <c r="A41" s="20" t="s">
        <v>658</v>
      </c>
      <c r="B41" s="17" t="n">
        <f aca="false">B20*(Assumptions!$B$5*Assumptions!$B$22)*Assumptions!$B$135</f>
        <v>43344</v>
      </c>
      <c r="C41" s="17" t="n">
        <f aca="false">C20*(Assumptions!$B$5*Assumptions!$B$22)*Assumptions!$B$135*(1+Assumptions!$B$136)^1</f>
        <v>44535.96</v>
      </c>
      <c r="D41" s="17" t="n">
        <f aca="false">D20*(Assumptions!$B$5*Assumptions!$B$22)*Assumptions!$B$135*(1+Assumptions!$B$136)^2</f>
        <v>57200.873625</v>
      </c>
      <c r="E41" s="17" t="n">
        <f aca="false">E20*(Assumptions!$B$5*Assumptions!$B$22)*Assumptions!$B$135*(1+Assumptions!$B$136)^3</f>
        <v>82283.4567095625</v>
      </c>
      <c r="F41" s="17" t="n">
        <f aca="false">F20*(Assumptions!$B$5*Assumptions!$B$22)*Assumptions!$B$135*(1+Assumptions!$B$136)^4</f>
        <v>96624.2877360863</v>
      </c>
      <c r="G41" s="17" t="n">
        <f aca="false">G20*(Assumptions!$B$5*Assumptions!$B$22)*Assumptions!$B$135*(1+Assumptions!$B$136)^5</f>
        <v>111691.637604932</v>
      </c>
      <c r="H41" s="17" t="n">
        <f aca="false">H20*(Assumptions!$B$5*Assumptions!$B$22)*Assumptions!$B$135*(1+Assumptions!$B$136)^6</f>
        <v>127514.619598964</v>
      </c>
      <c r="I41" s="17" t="n">
        <f aca="false">I20*(Assumptions!$B$5*Assumptions!$B$22)*Assumptions!$B$135*(1+Assumptions!$B$136)^7</f>
        <v>144123.398801729</v>
      </c>
      <c r="J41" s="17" t="n">
        <f aca="false">J20*(Assumptions!$B$5*Assumptions!$B$22)*Assumptions!$B$135*(1+Assumptions!$B$136)^8</f>
        <v>161549.227929575</v>
      </c>
      <c r="K41" s="17" t="n">
        <f aca="false">K20*(Assumptions!$B$5*Assumptions!$B$22)*Assumptions!$B$135*(1+Assumptions!$B$136)^9</f>
        <v>179824.484339108</v>
      </c>
      <c r="L41" s="17" t="n">
        <f aca="false">L20*(Assumptions!$B$5*Assumptions!$B$22)*Assumptions!$B$135*(1+Assumptions!$B$136)^10</f>
        <v>198982.708247544</v>
      </c>
      <c r="M41" s="17" t="n">
        <f aca="false">M20*(Assumptions!$B$5*Assumptions!$B$22)*Assumptions!$B$135*(1+Assumptions!$B$136)^11</f>
        <v>219058.642204662</v>
      </c>
      <c r="N41" s="17" t="n">
        <f aca="false">N20*(Assumptions!$B$5*Assumptions!$B$22)*Assumptions!$B$135*(1+Assumptions!$B$136)^12</f>
        <v>240088.27185631</v>
      </c>
      <c r="O41" s="17" t="n">
        <f aca="false">O20*(Assumptions!$B$5*Assumptions!$B$22)*Assumptions!$B$135*(1+Assumptions!$B$136)^13</f>
        <v>246690.699332358</v>
      </c>
      <c r="P41" s="17" t="n">
        <f aca="false">P20*(Assumptions!$B$5*Assumptions!$B$22)*Assumptions!$B$135*(1+Assumptions!$B$136)^14</f>
        <v>253474.693563998</v>
      </c>
      <c r="Q41" s="3"/>
      <c r="R41" s="8" t="s">
        <v>659</v>
      </c>
    </row>
    <row r="42" customFormat="false" ht="15" hidden="false" customHeight="false" outlineLevel="0" collapsed="false">
      <c r="A42" s="20" t="s">
        <v>660</v>
      </c>
      <c r="B42" s="17" t="n">
        <f aca="false">B31*Assumptions!$B$33*Assumptions!$B$37</f>
        <v>6826.68</v>
      </c>
      <c r="C42" s="17" t="n">
        <f aca="false">C31*Assumptions!$B$33*Assumptions!$B$37*(1+Assumptions!$B$137)^1</f>
        <v>13565.978496</v>
      </c>
      <c r="D42" s="17" t="n">
        <f aca="false">D31*Assumptions!$B$33*Assumptions!$B$37*(1+Assumptions!$B$137)^2</f>
        <v>22058.6625776412</v>
      </c>
      <c r="E42" s="17" t="n">
        <f aca="false">E31*Assumptions!$B$33*Assumptions!$B$37*(1+Assumptions!$B$137)^3</f>
        <v>34249.7672565137</v>
      </c>
      <c r="F42" s="17" t="n">
        <f aca="false">F31*Assumptions!$B$33*Assumptions!$B$37*(1+Assumptions!$B$137)^4</f>
        <v>48280.1730174657</v>
      </c>
      <c r="G42" s="17" t="n">
        <f aca="false">G31*Assumptions!$B$33*Assumptions!$B$37*(1+Assumptions!$B$137)^5</f>
        <v>64215.278032556</v>
      </c>
      <c r="H42" s="17" t="n">
        <f aca="false">H31*Assumptions!$B$33*Assumptions!$B$37*(1+Assumptions!$B$137)^6</f>
        <v>82125.1196207237</v>
      </c>
      <c r="I42" s="17" t="n">
        <f aca="false">I31*Assumptions!$B$33*Assumptions!$B$37*(1+Assumptions!$B$137)^7</f>
        <v>102084.508246097</v>
      </c>
      <c r="J42" s="17" t="n">
        <f aca="false">J31*Assumptions!$B$33*Assumptions!$B$37*(1+Assumptions!$B$137)^8</f>
        <v>124173.170501306</v>
      </c>
      <c r="K42" s="17" t="n">
        <f aca="false">K31*Assumptions!$B$33*Assumptions!$B$37*(1+Assumptions!$B$137)^9</f>
        <v>148475.901287827</v>
      </c>
      <c r="L42" s="17" t="n">
        <f aca="false">L31*Assumptions!$B$33*Assumptions!$B$37*(1+Assumptions!$B$137)^10</f>
        <v>175082.725421318</v>
      </c>
      <c r="M42" s="17" t="n">
        <f aca="false">M31*Assumptions!$B$33*Assumptions!$B$37*(1+Assumptions!$B$137)^11</f>
        <v>204089.068906082</v>
      </c>
      <c r="N42" s="17" t="n">
        <f aca="false">N31*Assumptions!$B$33*Assumptions!$B$37*(1+Assumptions!$B$137)^12</f>
        <v>235595.940139304</v>
      </c>
      <c r="O42" s="17" t="n">
        <f aca="false">O31*Assumptions!$B$33*Assumptions!$B$37*(1+Assumptions!$B$137)^13</f>
        <v>267040.964433021</v>
      </c>
      <c r="P42" s="17" t="n">
        <f aca="false">P31*Assumptions!$B$33*Assumptions!$B$37*(1+Assumptions!$B$137)^14</f>
        <v>298477.644423632</v>
      </c>
      <c r="Q42" s="3"/>
      <c r="R42" s="8" t="s">
        <v>661</v>
      </c>
    </row>
    <row r="43" customFormat="false" ht="15" hidden="false" customHeight="false" outlineLevel="0" collapsed="false">
      <c r="A43" s="20" t="s">
        <v>662</v>
      </c>
      <c r="B43" s="17" t="n">
        <f aca="false">B39+B40+B41+B42</f>
        <v>223546.68</v>
      </c>
      <c r="C43" s="17" t="n">
        <f aca="false">C39+C40+C41+C42</f>
        <v>238434.650496</v>
      </c>
      <c r="D43" s="17" t="n">
        <f aca="false">D39+D40+D41+D42</f>
        <v>313760.802677641</v>
      </c>
      <c r="E43" s="17" t="n">
        <f aca="false">E39+E40+E41+E42</f>
        <v>458126.085745739</v>
      </c>
      <c r="F43" s="17" t="n">
        <f aca="false">F39+F40+F41+F42</f>
        <v>551170.876516482</v>
      </c>
      <c r="G43" s="17" t="n">
        <f aca="false">G39+G40+G41+G42</f>
        <v>651623.155258689</v>
      </c>
      <c r="H43" s="17" t="n">
        <f aca="false">H39+H40+H41+H42</f>
        <v>759894.782776237</v>
      </c>
      <c r="I43" s="17" t="n">
        <f aca="false">I39+I40+I41+I42</f>
        <v>876423.258299894</v>
      </c>
      <c r="J43" s="17" t="n">
        <f aca="false">J39+J40+J41+J42</f>
        <v>1001673.13057448</v>
      </c>
      <c r="K43" s="17" t="n">
        <f aca="false">K39+K40+K41+K42</f>
        <v>1136137.49469453</v>
      </c>
      <c r="L43" s="17" t="n">
        <f aca="false">L39+L40+L41+L42</f>
        <v>1280339.57949329</v>
      </c>
      <c r="M43" s="17" t="n">
        <f aca="false">M39+M40+M41+M42</f>
        <v>1434834.43057691</v>
      </c>
      <c r="N43" s="17" t="n">
        <f aca="false">N39+N40+N41+N42</f>
        <v>1600210.69439868</v>
      </c>
      <c r="O43" s="17" t="n">
        <f aca="false">O39+O40+O41+O42</f>
        <v>1685753.79997737</v>
      </c>
      <c r="P43" s="17" t="n">
        <f aca="false">P39+P40+P41+P42</f>
        <v>1773675.10017059</v>
      </c>
      <c r="Q43" s="3"/>
      <c r="R43" s="3"/>
    </row>
    <row r="44" customFormat="false" ht="15" hidden="false" customHeight="false" outlineLevel="0" collapsed="false">
      <c r="A44" s="20" t="s">
        <v>663</v>
      </c>
      <c r="B44" s="23" t="n">
        <f aca="false">B43/B36</f>
        <v>0.201778151622148</v>
      </c>
      <c r="C44" s="23" t="n">
        <f aca="false">C43/C36</f>
        <v>0.210962245279893</v>
      </c>
      <c r="D44" s="23" t="n">
        <f aca="false">D43/D36</f>
        <v>0.213358375621605</v>
      </c>
      <c r="E44" s="23" t="n">
        <f aca="false">E43/E36</f>
        <v>0.215248246381979</v>
      </c>
      <c r="F44" s="23" t="n">
        <f aca="false">F43/F36</f>
        <v>0.217708107780622</v>
      </c>
      <c r="G44" s="23" t="n">
        <f aca="false">G43/G36</f>
        <v>0.220100752033459</v>
      </c>
      <c r="H44" s="23" t="n">
        <f aca="false">H43/H36</f>
        <v>0.222453372723126</v>
      </c>
      <c r="I44" s="23" t="n">
        <f aca="false">I43/I36</f>
        <v>0.224783948706964</v>
      </c>
      <c r="J44" s="23" t="n">
        <f aca="false">J43/J36</f>
        <v>0.227105108128624</v>
      </c>
      <c r="K44" s="23" t="n">
        <f aca="false">K43/K36</f>
        <v>0.229426184298029</v>
      </c>
      <c r="L44" s="23" t="n">
        <f aca="false">L43/L36</f>
        <v>0.231754381478883</v>
      </c>
      <c r="M44" s="23" t="n">
        <f aca="false">M43/M36</f>
        <v>0.234095471624173</v>
      </c>
      <c r="N44" s="23" t="n">
        <f aca="false">N43/N36</f>
        <v>0.236454229661513</v>
      </c>
      <c r="O44" s="23" t="n">
        <f aca="false">O43/O36</f>
        <v>0.239257059654973</v>
      </c>
      <c r="P44" s="23" t="n">
        <f aca="false">P43/P36</f>
        <v>0.242026043740345</v>
      </c>
      <c r="Q44" s="3"/>
      <c r="R44" s="8" t="s">
        <v>664</v>
      </c>
    </row>
    <row r="45" customFormat="false" ht="15" hidden="false" customHeight="false" outlineLevel="0" collapsed="false">
      <c r="A45" s="18" t="s">
        <v>367</v>
      </c>
      <c r="B45" s="24" t="n">
        <f aca="false">B36-B38-B43</f>
        <v>550640.556</v>
      </c>
      <c r="C45" s="24" t="n">
        <f aca="false">C36-C38-C43</f>
        <v>546414.015024</v>
      </c>
      <c r="D45" s="24" t="n">
        <f aca="false">D36-D38-D43</f>
        <v>709990.641271451</v>
      </c>
      <c r="E45" s="24" t="n">
        <f aca="false">E36-E38-E43</f>
        <v>1022779.21274066</v>
      </c>
      <c r="F45" s="24" t="n">
        <f aca="false">F36-F38-F43</f>
        <v>1214677.50341455</v>
      </c>
      <c r="G45" s="24" t="n">
        <f aca="false">G36-G38-G43</f>
        <v>1417209.92237001</v>
      </c>
      <c r="H45" s="24" t="n">
        <f aca="false">H36-H38-H43</f>
        <v>1630583.82098187</v>
      </c>
      <c r="I45" s="24" t="n">
        <f aca="false">I36-I38-I43</f>
        <v>1855009.39481846</v>
      </c>
      <c r="J45" s="24" t="n">
        <f aca="false">J36-J38-J43</f>
        <v>2090698.90589066</v>
      </c>
      <c r="K45" s="24" t="n">
        <f aca="false">K36-K38-K43</f>
        <v>2337865.85415941</v>
      </c>
      <c r="L45" s="24" t="n">
        <f aca="false">L36-L38-L43</f>
        <v>2596724.09367388</v>
      </c>
      <c r="M45" s="24" t="n">
        <f aca="false">M36-M38-M43</f>
        <v>2867486.88846898</v>
      </c>
      <c r="N45" s="24" t="n">
        <f aca="false">N36-N38-N43</f>
        <v>3150365.90309101</v>
      </c>
      <c r="O45" s="24" t="n">
        <f aca="false">O36-O38-O43</f>
        <v>3272486.16385273</v>
      </c>
      <c r="P45" s="24" t="n">
        <f aca="false">P36-P38-P43</f>
        <v>3394163.06910467</v>
      </c>
      <c r="Q45" s="3"/>
      <c r="R45" s="3"/>
    </row>
    <row r="46" customFormat="false" ht="15" hidden="false" customHeight="false" outlineLevel="0" collapsed="false">
      <c r="A46" s="18" t="s">
        <v>408</v>
      </c>
      <c r="B46" s="48" t="n">
        <f aca="false">B45/B36</f>
        <v>0.497020280497441</v>
      </c>
      <c r="C46" s="48" t="n">
        <f aca="false">C45/C36</f>
        <v>0.483456272911969</v>
      </c>
      <c r="D46" s="48" t="n">
        <f aca="false">D45/D36</f>
        <v>0.482795966339531</v>
      </c>
      <c r="E46" s="48" t="n">
        <f aca="false">E45/E36</f>
        <v>0.480547689442316</v>
      </c>
      <c r="F46" s="48" t="n">
        <f aca="false">F45/F36</f>
        <v>0.479787942540471</v>
      </c>
      <c r="G46" s="48" t="n">
        <f aca="false">G45/G36</f>
        <v>0.478695342830608</v>
      </c>
      <c r="H46" s="48" t="n">
        <f aca="false">H45/H36</f>
        <v>0.477340914435507</v>
      </c>
      <c r="I46" s="48" t="n">
        <f aca="false">I45/I36</f>
        <v>0.475770505525686</v>
      </c>
      <c r="J46" s="48" t="n">
        <f aca="false">J45/J36</f>
        <v>0.474015311576121</v>
      </c>
      <c r="K46" s="48" t="n">
        <f aca="false">K45/K36</f>
        <v>0.47209747484362</v>
      </c>
      <c r="L46" s="48" t="n">
        <f aca="false">L45/L36</f>
        <v>0.470033259800397</v>
      </c>
      <c r="M46" s="48" t="n">
        <f aca="false">M45/M36</f>
        <v>0.467834951007119</v>
      </c>
      <c r="N46" s="48" t="n">
        <f aca="false">N45/N36</f>
        <v>0.465512038742625</v>
      </c>
      <c r="O46" s="48" t="n">
        <f aca="false">O45/O36</f>
        <v>0.464460123023597</v>
      </c>
      <c r="P46" s="48" t="n">
        <f aca="false">P45/P36</f>
        <v>0.46314900589515</v>
      </c>
      <c r="Q46" s="3"/>
      <c r="R46" s="8" t="s">
        <v>665</v>
      </c>
    </row>
    <row r="47" customFormat="false" ht="15" hidden="false" customHeight="false" outlineLevel="0" collapsed="false">
      <c r="A47" s="20" t="s">
        <v>666</v>
      </c>
      <c r="B47" s="17" t="n">
        <f aca="false">(B23*Assumptions!$B$55+B24*Assumptions!$B$56+B25*Assumptions!$B$57)</f>
        <v>48000</v>
      </c>
      <c r="C47" s="17" t="n">
        <f aca="false">(C23*Assumptions!$B$55+C24*Assumptions!$B$56+C25*Assumptions!$B$57)*(1+Assumptions!$B$137)^1</f>
        <v>49680</v>
      </c>
      <c r="D47" s="17" t="n">
        <f aca="false">(D23*Assumptions!$B$55+D24*Assumptions!$B$56+D25*Assumptions!$B$57)*(1+Assumptions!$B$137)^2</f>
        <v>102837.6</v>
      </c>
      <c r="E47" s="17" t="n">
        <f aca="false">(E23*Assumptions!$B$55+E24*Assumptions!$B$56+E25*Assumptions!$B$57)*(1+Assumptions!$B$137)^3</f>
        <v>186264.603</v>
      </c>
      <c r="F47" s="17" t="n">
        <f aca="false">(F23*Assumptions!$B$55+F24*Assumptions!$B$56+F25*Assumptions!$B$57)*(1+Assumptions!$B$137)^4</f>
        <v>325896.5321775</v>
      </c>
      <c r="G47" s="17" t="n">
        <f aca="false">(G23*Assumptions!$B$55+G24*Assumptions!$B$56+G25*Assumptions!$B$57)*(1+Assumptions!$B$137)^5</f>
        <v>422816.324810287</v>
      </c>
      <c r="H47" s="17" t="n">
        <f aca="false">(H23*Assumptions!$B$55+H24*Assumptions!$B$56+H25*Assumptions!$B$57)*(1+Assumptions!$B$137)^6</f>
        <v>437614.896178647</v>
      </c>
      <c r="I47" s="17" t="n">
        <f aca="false">(I23*Assumptions!$B$55+I24*Assumptions!$B$56+I25*Assumptions!$B$57)*(1+Assumptions!$B$137)^7</f>
        <v>452931.4175449</v>
      </c>
      <c r="J47" s="17" t="n">
        <f aca="false">(J23*Assumptions!$B$55+J24*Assumptions!$B$56+J25*Assumptions!$B$57)*(1+Assumptions!$B$137)^8</f>
        <v>531990.850933215</v>
      </c>
      <c r="K47" s="17" t="n">
        <f aca="false">(K23*Assumptions!$B$55+K24*Assumptions!$B$56+K25*Assumptions!$B$57)*(1+Assumptions!$B$137)^9</f>
        <v>550610.530715877</v>
      </c>
      <c r="L47" s="17" t="n">
        <f aca="false">(L23*Assumptions!$B$55+L24*Assumptions!$B$56+L25*Assumptions!$B$57)*(1+Assumptions!$B$137)^10</f>
        <v>569881.899290933</v>
      </c>
      <c r="M47" s="17" t="n">
        <f aca="false">(M23*Assumptions!$B$55+M24*Assumptions!$B$56+M25*Assumptions!$B$57)*(1+Assumptions!$B$137)^11</f>
        <v>589827.765766116</v>
      </c>
      <c r="N47" s="17" t="n">
        <f aca="false">(N23*Assumptions!$B$55+N24*Assumptions!$B$56+N25*Assumptions!$B$57)*(1+Assumptions!$B$137)^12</f>
        <v>610471.73756793</v>
      </c>
      <c r="O47" s="17" t="n">
        <f aca="false">(O23*Assumptions!$B$55+O24*Assumptions!$B$56+O25*Assumptions!$B$57)*(1+Assumptions!$B$137)^13</f>
        <v>631838.248382807</v>
      </c>
      <c r="P47" s="17" t="n">
        <f aca="false">(P23*Assumptions!$B$55+P24*Assumptions!$B$56+P25*Assumptions!$B$57)*(1+Assumptions!$B$137)^14</f>
        <v>653952.587076205</v>
      </c>
      <c r="Q47" s="3"/>
      <c r="R47" s="8" t="s">
        <v>667</v>
      </c>
    </row>
    <row r="48" customFormat="false" ht="15" hidden="false" customHeight="false" outlineLevel="0" collapsed="false">
      <c r="A48" s="20" t="s">
        <v>370</v>
      </c>
      <c r="B48" s="17" t="n">
        <f aca="false">Assumptions!$B$78*12</f>
        <v>150000</v>
      </c>
      <c r="C48" s="17" t="n">
        <f aca="false">Assumptions!$B$78*12*(1+Assumptions!$B$142)^1</f>
        <v>150000</v>
      </c>
      <c r="D48" s="17" t="n">
        <f aca="false">Assumptions!$B$78*12*(1+Assumptions!$B$142)^2</f>
        <v>150000</v>
      </c>
      <c r="E48" s="17" t="n">
        <f aca="false">Assumptions!$B$78*12*(1+Assumptions!$B$142)^3</f>
        <v>150000</v>
      </c>
      <c r="F48" s="17" t="n">
        <f aca="false">Assumptions!$B$78*12*(1+Assumptions!$B$142)^4</f>
        <v>150000</v>
      </c>
      <c r="G48" s="17" t="n">
        <f aca="false">Assumptions!$B$78*12*(1+Assumptions!$B$142)^5</f>
        <v>150000</v>
      </c>
      <c r="H48" s="17" t="n">
        <f aca="false">Assumptions!$B$78*12*(1+Assumptions!$B$142)^6</f>
        <v>150000</v>
      </c>
      <c r="I48" s="17" t="n">
        <f aca="false">Assumptions!$B$78*12*(1+Assumptions!$B$142)^7</f>
        <v>150000</v>
      </c>
      <c r="J48" s="17" t="n">
        <f aca="false">Assumptions!$B$78*12*(1+Assumptions!$B$142)^8</f>
        <v>150000</v>
      </c>
      <c r="K48" s="17" t="n">
        <f aca="false">Assumptions!$B$78*12*(1+Assumptions!$B$142)^9</f>
        <v>150000</v>
      </c>
      <c r="L48" s="17" t="n">
        <f aca="false">Assumptions!$B$78*12*(1+Assumptions!$B$142)^10</f>
        <v>150000</v>
      </c>
      <c r="M48" s="17" t="n">
        <f aca="false">Assumptions!$B$78*12*(1+Assumptions!$B$142)^11</f>
        <v>150000</v>
      </c>
      <c r="N48" s="17" t="n">
        <f aca="false">Assumptions!$B$78*12*(1+Assumptions!$B$142)^12</f>
        <v>150000</v>
      </c>
      <c r="O48" s="17" t="n">
        <f aca="false">Assumptions!$B$78*12*(1+Assumptions!$B$142)^13</f>
        <v>150000</v>
      </c>
      <c r="P48" s="17" t="n">
        <f aca="false">Assumptions!$B$78*12*(1+Assumptions!$B$142)^14</f>
        <v>150000</v>
      </c>
      <c r="Q48" s="3"/>
      <c r="R48" s="8" t="s">
        <v>668</v>
      </c>
    </row>
    <row r="49" customFormat="false" ht="15" hidden="false" customHeight="false" outlineLevel="0" collapsed="false">
      <c r="A49" s="20" t="s">
        <v>669</v>
      </c>
      <c r="B49" s="17" t="n">
        <f aca="false">(Assumptions!$B$80+Assumptions!$B$81+Assumptions!$B$82+Assumptions!$B$83)*12+B17*22000+B36*0.05+Assumptions!$B$84*Assumptions!$B$85*12+'Equipment plan'!$H$10*12*MAX(0,B17-1)</f>
        <v>188494.48290896</v>
      </c>
      <c r="C49" s="17" t="n">
        <f aca="false">(Assumptions!$B$80+Assumptions!$B$81+Assumptions!$B$82+Assumptions!$B$83)*12*(1+Assumptions!$B$141)^1+C17*22000*(1+((Assumptions!$B$138+Assumptions!$B$141)/2))^1+C36*0.05+Assumptions!$B$84*Assumptions!$B$85*12*MIN(3,C17/2)*(1+Assumptions!$B$141)^1+'Equipment plan'!$H$10*12*MAX(0,C17-1)</f>
        <v>193007.77280496</v>
      </c>
      <c r="D49" s="17" t="n">
        <f aca="false">(Assumptions!$B$80+Assumptions!$B$81+Assumptions!$B$82+Assumptions!$B$83)*12*(1+Assumptions!$B$141)^2+D17*22000*(1+((Assumptions!$B$138+Assumptions!$B$141)/2))^2+D36*0.05+Assumptions!$B$84*Assumptions!$B$85*12*MIN(3,D17/2)*(1+Assumptions!$B$141)^2+'Equipment plan'!$H$10*12*MAX(0,D17-1)</f>
        <v>245934.06193552</v>
      </c>
      <c r="E49" s="17" t="n">
        <f aca="false">(Assumptions!$B$80+Assumptions!$B$81+Assumptions!$B$82+Assumptions!$B$83)*12*(1+Assumptions!$B$141)^3+E17*22000*(1+((Assumptions!$B$138+Assumptions!$B$141)/2))^3+E36*0.05+Assumptions!$B$84*Assumptions!$B$85*12*MIN(3,E17/2)*(1+Assumptions!$B$141)^3+'Equipment plan'!$H$10*12*MAX(0,E17-1)</f>
        <v>349182.597422602</v>
      </c>
      <c r="F49" s="17" t="n">
        <f aca="false">(Assumptions!$B$80+Assumptions!$B$81+Assumptions!$B$82+Assumptions!$B$83)*12*(1+Assumptions!$B$141)^4+F17*22000*(1+((Assumptions!$B$138+Assumptions!$B$141)/2))^4+F36*0.05+Assumptions!$B$84*Assumptions!$B$85*12*MIN(3,F17/2)*(1+Assumptions!$B$141)^4+'Equipment plan'!$H$10*12*MAX(0,F17-1)</f>
        <v>408811.311679879</v>
      </c>
      <c r="G49" s="17" t="n">
        <f aca="false">(Assumptions!$B$80+Assumptions!$B$81+Assumptions!$B$82+Assumptions!$B$83)*12*(1+Assumptions!$B$141)^5+G17*22000*(1+((Assumptions!$B$138+Assumptions!$B$141)/2))^5+G36*0.05+Assumptions!$B$84*Assumptions!$B$85*12*MIN(3,G17/2)*(1+Assumptions!$B$141)^5+'Equipment plan'!$H$10*12*MAX(0,G17-1)</f>
        <v>471295.885681314</v>
      </c>
      <c r="H49" s="17" t="n">
        <f aca="false">(Assumptions!$B$80+Assumptions!$B$81+Assumptions!$B$82+Assumptions!$B$83)*12*(1+Assumptions!$B$141)^6+H17*22000*(1+((Assumptions!$B$138+Assumptions!$B$141)/2))^6+H36*0.05+Assumptions!$B$84*Assumptions!$B$85*12*MIN(3,H17/2)*(1+Assumptions!$B$141)^6+'Equipment plan'!$H$10*12*MAX(0,H17-1)</f>
        <v>536766.910287199</v>
      </c>
      <c r="I49" s="17" t="n">
        <f aca="false">(Assumptions!$B$80+Assumptions!$B$81+Assumptions!$B$82+Assumptions!$B$83)*12*(1+Assumptions!$B$141)^7+I17*22000*(1+((Assumptions!$B$138+Assumptions!$B$141)/2))^7+I36*0.05+Assumptions!$B$84*Assumptions!$B$85*12*MIN(3,I17/2)*(1+Assumptions!$B$141)^7+'Equipment plan'!$H$10*12*MAX(0,I17-1)</f>
        <v>605361.086330604</v>
      </c>
      <c r="J49" s="17" t="n">
        <f aca="false">(Assumptions!$B$80+Assumptions!$B$81+Assumptions!$B$82+Assumptions!$B$83)*12*(1+Assumptions!$B$141)^8+J17*22000*(1+((Assumptions!$B$138+Assumptions!$B$141)/2))^8+J36*0.05+Assumptions!$B$84*Assumptions!$B$85*12*MIN(3,J17/2)*(1+Assumptions!$B$141)^8+'Equipment plan'!$H$10*12*MAX(0,J17-1)</f>
        <v>677221.467509142</v>
      </c>
      <c r="K49" s="17" t="n">
        <f aca="false">(Assumptions!$B$80+Assumptions!$B$81+Assumptions!$B$82+Assumptions!$B$83)*12*(1+Assumptions!$B$141)^9+K17*22000*(1+((Assumptions!$B$138+Assumptions!$B$141)/2))^9+K36*0.05+Assumptions!$B$84*Assumptions!$B$85*12*MIN(3,K17/2)*(1+Assumptions!$B$141)^9+'Equipment plan'!$H$10*12*MAX(0,K17-1)</f>
        <v>744359.733449882</v>
      </c>
      <c r="L49" s="17" t="n">
        <f aca="false">(Assumptions!$B$80+Assumptions!$B$81+Assumptions!$B$82+Assumptions!$B$83)*12*(1+Assumptions!$B$141)^10+L17*22000*(1+((Assumptions!$B$138+Assumptions!$B$141)/2))^10+L36*0.05+Assumptions!$B$84*Assumptions!$B$85*12*MIN(3,L17/2)*(1+Assumptions!$B$141)^10+'Equipment plan'!$H$10*12*MAX(0,L17-1)</f>
        <v>814622.808705629</v>
      </c>
      <c r="M49" s="17" t="n">
        <f aca="false">(Assumptions!$B$80+Assumptions!$B$81+Assumptions!$B$82+Assumptions!$B$83)*12*(1+Assumptions!$B$141)^11+M17*22000*(1+((Assumptions!$B$138+Assumptions!$B$141)/2))^11+M36*0.05+Assumptions!$B$84*Assumptions!$B$85*12*MIN(3,M17/2)*(1+Assumptions!$B$141)^11+'Equipment plan'!$H$10*12*MAX(0,M17-1)</f>
        <v>888155.91226558</v>
      </c>
      <c r="N49" s="17" t="n">
        <f aca="false">(Assumptions!$B$80+Assumptions!$B$81+Assumptions!$B$82+Assumptions!$B$83)*12*(1+Assumptions!$B$141)^12+N17*22000*(1+((Assumptions!$B$138+Assumptions!$B$141)/2))^12+N36*0.05+Assumptions!$B$84*Assumptions!$B$85*12*MIN(3,N17/2)*(1+Assumptions!$B$141)^12+'Equipment plan'!$H$10*12*MAX(0,N17-1)</f>
        <v>965111.025091106</v>
      </c>
      <c r="O49" s="17" t="n">
        <f aca="false">(Assumptions!$B$80+Assumptions!$B$81+Assumptions!$B$82+Assumptions!$B$83)*12*(1+Assumptions!$B$141)^13+O17*22000*(1+((Assumptions!$B$138+Assumptions!$B$141)/2))^13+O36*0.05+Assumptions!$B$84*Assumptions!$B$85*12*MIN(3,O17/2)*(1+Assumptions!$B$141)^13+'Equipment plan'!$H$10*12*MAX(0,O17-1)</f>
        <v>994070.62421413</v>
      </c>
      <c r="P49" s="17" t="n">
        <f aca="false">(Assumptions!$B$80+Assumptions!$B$81+Assumptions!$B$82+Assumptions!$B$83)*12*(1+Assumptions!$B$141)^14+P17*22000*(1+((Assumptions!$B$138+Assumptions!$B$141)/2))^14+P36*0.05+Assumptions!$B$84*Assumptions!$B$85*12*MIN(3,P17/2)*(1+Assumptions!$B$141)^14+'Equipment plan'!$H$10*12*MAX(0,P17-1)</f>
        <v>1023785.36877392</v>
      </c>
      <c r="Q49" s="3"/>
      <c r="R49" s="8" t="s">
        <v>670</v>
      </c>
    </row>
    <row r="50" customFormat="false" ht="15" hidden="false" customHeight="false" outlineLevel="0" collapsed="false">
      <c r="A50" s="20" t="s">
        <v>671</v>
      </c>
      <c r="B50" s="17" t="n">
        <f aca="false">(Assumptions!$B$182+Assumptions!$B$183*B17)*12*(1+Assumptions!$B$184)^0</f>
        <v>4800</v>
      </c>
      <c r="C50" s="17" t="n">
        <f aca="false">(Assumptions!$B$182+Assumptions!$B$183*C17)*12*(1+Assumptions!$B$184)^1</f>
        <v>5040</v>
      </c>
      <c r="D50" s="17" t="n">
        <f aca="false">(Assumptions!$B$182+Assumptions!$B$183*D17)*12*(1+Assumptions!$B$184)^2</f>
        <v>5788.125</v>
      </c>
      <c r="E50" s="17" t="n">
        <f aca="false">(Assumptions!$B$182+Assumptions!$B$183*E17)*12*(1+Assumptions!$B$184)^3</f>
        <v>7119.39375</v>
      </c>
      <c r="F50" s="17" t="n">
        <f aca="false">(Assumptions!$B$182+Assumptions!$B$183*F17)*12*(1+Assumptions!$B$184)^4</f>
        <v>8022.34125</v>
      </c>
      <c r="G50" s="17" t="n">
        <f aca="false">(Assumptions!$B$182+Assumptions!$B$183*G17)*12*(1+Assumptions!$B$184)^5</f>
        <v>8997.785015625</v>
      </c>
      <c r="H50" s="17" t="n">
        <f aca="false">(Assumptions!$B$182+Assumptions!$B$183*H17)*12*(1+Assumptions!$B$184)^6</f>
        <v>10050.7173046875</v>
      </c>
      <c r="I50" s="17" t="n">
        <f aca="false">(Assumptions!$B$182+Assumptions!$B$183*I17)*12*(1+Assumptions!$B$184)^7</f>
        <v>11186.4483601172</v>
      </c>
      <c r="J50" s="17" t="n">
        <f aca="false">(Assumptions!$B$182+Assumptions!$B$183*J17)*12*(1+Assumptions!$B$184)^8</f>
        <v>12410.6257278281</v>
      </c>
      <c r="K50" s="17" t="n">
        <f aca="false">(Assumptions!$B$182+Assumptions!$B$183*K17)*12*(1+Assumptions!$B$184)^9</f>
        <v>13729.2547114099</v>
      </c>
      <c r="L50" s="17" t="n">
        <f aca="false">(Assumptions!$B$182+Assumptions!$B$183*L17)*12*(1+Assumptions!$B$184)^10</f>
        <v>15148.7200290302</v>
      </c>
      <c r="M50" s="17" t="n">
        <f aca="false">(Assumptions!$B$182+Assumptions!$B$183*M17)*12*(1+Assumptions!$B$184)^11</f>
        <v>16675.8087416341</v>
      </c>
      <c r="N50" s="17" t="n">
        <f aca="false">(Assumptions!$B$182+Assumptions!$B$183*N17)*12*(1+Assumptions!$B$184)^12</f>
        <v>18317.7345254257</v>
      </c>
      <c r="O50" s="17" t="n">
        <f aca="false">(Assumptions!$B$182+Assumptions!$B$183*O17)*12*(1+Assumptions!$B$184)^13</f>
        <v>19233.621251697</v>
      </c>
      <c r="P50" s="17" t="n">
        <f aca="false">(Assumptions!$B$182+Assumptions!$B$183*P17)*12*(1+Assumptions!$B$184)^14</f>
        <v>20195.3023142819</v>
      </c>
      <c r="Q50" s="3"/>
      <c r="R50" s="8" t="s">
        <v>672</v>
      </c>
    </row>
    <row r="51" customFormat="false" ht="15" hidden="false" customHeight="false" outlineLevel="0" collapsed="false">
      <c r="A51" s="18" t="s">
        <v>673</v>
      </c>
      <c r="B51" s="24" t="n">
        <f aca="false">B45-B47-B49-B48-B50</f>
        <v>159346.07309104</v>
      </c>
      <c r="C51" s="24" t="n">
        <f aca="false">C45-C47-C49-C48-C50</f>
        <v>148686.24221904</v>
      </c>
      <c r="D51" s="24" t="n">
        <f aca="false">D45-D47-D49-D48-D50</f>
        <v>205430.854335931</v>
      </c>
      <c r="E51" s="24" t="n">
        <f aca="false">E45-E47-E49-E48-E50</f>
        <v>330212.618568055</v>
      </c>
      <c r="F51" s="24" t="n">
        <f aca="false">F45-F47-F49-F48-F50</f>
        <v>321947.318307169</v>
      </c>
      <c r="G51" s="24" t="n">
        <f aca="false">G45-G47-G49-G48-G50</f>
        <v>364099.926862789</v>
      </c>
      <c r="H51" s="24" t="n">
        <f aca="false">H45-H47-H49-H48-H50</f>
        <v>496151.297211341</v>
      </c>
      <c r="I51" s="24" t="n">
        <f aca="false">I45-I47-I49-I48-I50</f>
        <v>635530.442582843</v>
      </c>
      <c r="J51" s="24" t="n">
        <f aca="false">J45-J47-J49-J48-J50</f>
        <v>719075.961720472</v>
      </c>
      <c r="K51" s="24" t="n">
        <f aca="false">K45-K47-K49-K48-K50</f>
        <v>879166.335282246</v>
      </c>
      <c r="L51" s="24" t="n">
        <f aca="false">L45-L47-L49-L48-L50</f>
        <v>1047070.66564829</v>
      </c>
      <c r="M51" s="24" t="n">
        <f aca="false">M45-M47-M49-M48-M50</f>
        <v>1222827.40169565</v>
      </c>
      <c r="N51" s="24" t="n">
        <f aca="false">N45-N47-N49-N48-N50</f>
        <v>1406465.40590655</v>
      </c>
      <c r="O51" s="24" t="n">
        <f aca="false">O45-O47-O49-O48-O50</f>
        <v>1477343.6700041</v>
      </c>
      <c r="P51" s="24" t="n">
        <f aca="false">P45-P47-P49-P48-P50</f>
        <v>1546229.81094027</v>
      </c>
      <c r="Q51" s="3"/>
      <c r="R51" s="8" t="s">
        <v>674</v>
      </c>
    </row>
    <row r="52" customFormat="false" ht="15" hidden="false" customHeight="false" outlineLevel="0" collapsed="false">
      <c r="A52" s="5" t="s">
        <v>675</v>
      </c>
      <c r="B52" s="6"/>
      <c r="C52" s="6"/>
      <c r="D52" s="6"/>
      <c r="E52" s="6"/>
      <c r="F52" s="6"/>
      <c r="G52" s="6"/>
      <c r="H52" s="6"/>
      <c r="I52" s="6"/>
      <c r="J52" s="6"/>
      <c r="K52" s="6"/>
      <c r="L52" s="6"/>
      <c r="M52" s="6"/>
      <c r="N52" s="6"/>
      <c r="O52" s="6"/>
      <c r="P52" s="6"/>
      <c r="Q52" s="3"/>
      <c r="R52" s="6"/>
    </row>
    <row r="53" customFormat="false" ht="15" hidden="false" customHeight="false" outlineLevel="0" collapsed="false">
      <c r="A53" s="20" t="s">
        <v>676</v>
      </c>
      <c r="B53" s="17" t="n">
        <f aca="false">MAX(0,B17-1)*'Equipment plan'!$B$10</f>
        <v>138500</v>
      </c>
      <c r="C53" s="17" t="n">
        <f aca="false">MAX(0,C17-B17)*'Equipment plan'!$B$10</f>
        <v>0</v>
      </c>
      <c r="D53" s="17" t="n">
        <f aca="false">MAX(0,D17-C17)*'Equipment plan'!$B$10</f>
        <v>69250</v>
      </c>
      <c r="E53" s="17" t="n">
        <f aca="false">MAX(0,E17-D17)*'Equipment plan'!$B$10</f>
        <v>138500</v>
      </c>
      <c r="F53" s="17" t="n">
        <f aca="false">MAX(0,F17-E17)*'Equipment plan'!$B$10</f>
        <v>69250</v>
      </c>
      <c r="G53" s="17" t="n">
        <f aca="false">MAX(0,G17-F17)*'Equipment plan'!$B$10</f>
        <v>69250</v>
      </c>
      <c r="H53" s="17" t="n">
        <f aca="false">MAX(0,H17-G17)*'Equipment plan'!$B$10</f>
        <v>69250</v>
      </c>
      <c r="I53" s="17" t="n">
        <f aca="false">MAX(0,I17-H17)*'Equipment plan'!$B$10</f>
        <v>69250</v>
      </c>
      <c r="J53" s="17" t="n">
        <f aca="false">MAX(0,J17-I17)*'Equipment plan'!$B$10</f>
        <v>69250</v>
      </c>
      <c r="K53" s="17" t="n">
        <f aca="false">MAX(0,K17-J17)*'Equipment plan'!$B$10</f>
        <v>69250</v>
      </c>
      <c r="L53" s="17" t="n">
        <f aca="false">MAX(0,L17-K17)*'Equipment plan'!$B$10</f>
        <v>69250</v>
      </c>
      <c r="M53" s="17" t="n">
        <f aca="false">MAX(0,M17-L17)*'Equipment plan'!$B$10</f>
        <v>69250</v>
      </c>
      <c r="N53" s="17" t="n">
        <f aca="false">MAX(0,N17-M17)*'Equipment plan'!$B$10</f>
        <v>69250</v>
      </c>
      <c r="O53" s="17" t="n">
        <f aca="false">MAX(0,O17-N17)*'Equipment plan'!$B$10</f>
        <v>0</v>
      </c>
      <c r="P53" s="17" t="n">
        <f aca="false">MAX(0,P17-O17)*'Equipment plan'!$B$10</f>
        <v>0</v>
      </c>
      <c r="Q53" s="3"/>
      <c r="R53" s="3"/>
    </row>
    <row r="54" customFormat="false" ht="15" hidden="false" customHeight="false" outlineLevel="0" collapsed="false">
      <c r="A54" s="20" t="s">
        <v>677</v>
      </c>
      <c r="B54" s="17" t="n">
        <f aca="false">Assumptions!$B$45+B53</f>
        <v>198500</v>
      </c>
      <c r="C54" s="17" t="n">
        <f aca="false">B54+C53</f>
        <v>198500</v>
      </c>
      <c r="D54" s="17" t="n">
        <f aca="false">C54+D53</f>
        <v>267750</v>
      </c>
      <c r="E54" s="17" t="n">
        <f aca="false">D54+E53</f>
        <v>406250</v>
      </c>
      <c r="F54" s="17" t="n">
        <f aca="false">E54+F53</f>
        <v>475500</v>
      </c>
      <c r="G54" s="17" t="n">
        <f aca="false">F54+G53</f>
        <v>544750</v>
      </c>
      <c r="H54" s="17" t="n">
        <f aca="false">G54+H53</f>
        <v>614000</v>
      </c>
      <c r="I54" s="17" t="n">
        <f aca="false">H54+I53</f>
        <v>683250</v>
      </c>
      <c r="J54" s="17" t="n">
        <f aca="false">I54+J53</f>
        <v>752500</v>
      </c>
      <c r="K54" s="17" t="n">
        <f aca="false">J54+K53</f>
        <v>821750</v>
      </c>
      <c r="L54" s="17" t="n">
        <f aca="false">K54+L53</f>
        <v>891000</v>
      </c>
      <c r="M54" s="17" t="n">
        <f aca="false">L54+M53</f>
        <v>960250</v>
      </c>
      <c r="N54" s="17" t="n">
        <f aca="false">M54+N53</f>
        <v>1029500</v>
      </c>
      <c r="O54" s="17" t="n">
        <f aca="false">N54+O53</f>
        <v>1029500</v>
      </c>
      <c r="P54" s="17" t="n">
        <f aca="false">O54+P53</f>
        <v>1029500</v>
      </c>
      <c r="Q54" s="3"/>
      <c r="R54" s="3"/>
    </row>
    <row r="55" customFormat="false" ht="15" hidden="false" customHeight="false" outlineLevel="0" collapsed="false">
      <c r="A55" s="20" t="s">
        <v>678</v>
      </c>
      <c r="B55" s="17" t="n">
        <f aca="false">B54*(1-1/Assumptions!$B$46)</f>
        <v>170142.857142857</v>
      </c>
      <c r="C55" s="17" t="n">
        <f aca="false">MAX(C54*0.25,B55*(1-1/Assumptions!$B$46)+C53*(1-1/Assumptions!$B$46))</f>
        <v>145836.734693878</v>
      </c>
      <c r="D55" s="17" t="n">
        <f aca="false">MAX(D54*0.25,C55*(1-1/Assumptions!$B$46)+D53*(1-1/Assumptions!$B$46))</f>
        <v>184360.058309038</v>
      </c>
      <c r="E55" s="17" t="n">
        <f aca="false">MAX(E54*0.25,D55*(1-1/Assumptions!$B$46)+E53*(1-1/Assumptions!$B$46))</f>
        <v>276737.192836318</v>
      </c>
      <c r="F55" s="17" t="n">
        <f aca="false">MAX(F54*0.25,E55*(1-1/Assumptions!$B$46)+F53*(1-1/Assumptions!$B$46))</f>
        <v>296560.451002559</v>
      </c>
      <c r="G55" s="17" t="n">
        <f aca="false">MAX(G54*0.25,F55*(1-1/Assumptions!$B$46)+G53*(1-1/Assumptions!$B$46))</f>
        <v>313551.81514505</v>
      </c>
      <c r="H55" s="17" t="n">
        <f aca="false">MAX(H54*0.25,G55*(1-1/Assumptions!$B$46)+H53*(1-1/Assumptions!$B$46))</f>
        <v>328115.8415529</v>
      </c>
      <c r="I55" s="17" t="n">
        <f aca="false">MAX(I54*0.25,H55*(1-1/Assumptions!$B$46)+I53*(1-1/Assumptions!$B$46))</f>
        <v>340599.292759629</v>
      </c>
      <c r="J55" s="17" t="n">
        <f aca="false">MAX(J54*0.25,I55*(1-1/Assumptions!$B$46)+J53*(1-1/Assumptions!$B$46))</f>
        <v>351299.393793968</v>
      </c>
      <c r="K55" s="17" t="n">
        <f aca="false">MAX(K54*0.25,J55*(1-1/Assumptions!$B$46)+K53*(1-1/Assumptions!$B$46))</f>
        <v>360470.908966258</v>
      </c>
      <c r="L55" s="17" t="n">
        <f aca="false">MAX(L54*0.25,K55*(1-1/Assumptions!$B$46)+L53*(1-1/Assumptions!$B$46))</f>
        <v>368332.207685364</v>
      </c>
      <c r="M55" s="17" t="n">
        <f aca="false">MAX(M54*0.25,L55*(1-1/Assumptions!$B$46)+M53*(1-1/Assumptions!$B$46))</f>
        <v>375070.463730312</v>
      </c>
      <c r="N55" s="17" t="n">
        <f aca="false">MAX(N54*0.25,M55*(1-1/Assumptions!$B$46)+N53*(1-1/Assumptions!$B$46))</f>
        <v>380846.111768839</v>
      </c>
      <c r="O55" s="17" t="n">
        <f aca="false">MAX(O54*0.25,N55*(1-1/Assumptions!$B$46)+O53*(1-1/Assumptions!$B$46))</f>
        <v>326439.52437329</v>
      </c>
      <c r="P55" s="17" t="n">
        <f aca="false">MAX(P54*0.25,O55*(1-1/Assumptions!$B$46)+P53*(1-1/Assumptions!$B$46))</f>
        <v>279805.306605678</v>
      </c>
      <c r="Q55" s="3"/>
      <c r="R55" s="8" t="s">
        <v>679</v>
      </c>
    </row>
    <row r="56" customFormat="false" ht="15" hidden="false" customHeight="false" outlineLevel="0" collapsed="false">
      <c r="A56" s="20" t="s">
        <v>680</v>
      </c>
      <c r="B56" s="17" t="n">
        <f aca="false">MAX(0,B53*0.8*0.85)</f>
        <v>94180</v>
      </c>
      <c r="C56" s="17" t="n">
        <f aca="false">MAX(0,B56*0.75+C53*0.8*0.85)</f>
        <v>70635</v>
      </c>
      <c r="D56" s="17" t="n">
        <f aca="false">MAX(0,C56*0.75+D53*0.8*0.85)</f>
        <v>100066.25</v>
      </c>
      <c r="E56" s="17" t="n">
        <f aca="false">MAX(0,D56*0.75+E53*0.8*0.85)</f>
        <v>169229.6875</v>
      </c>
      <c r="F56" s="17" t="n">
        <f aca="false">MAX(0,E56*0.75+F53*0.8*0.85)</f>
        <v>174012.265625</v>
      </c>
      <c r="G56" s="17" t="n">
        <f aca="false">MAX(0,F56*0.75+G53*0.8*0.85)</f>
        <v>177599.19921875</v>
      </c>
      <c r="H56" s="17" t="n">
        <f aca="false">MAX(0,G56*0.75+H53*0.8*0.85)</f>
        <v>180289.399414063</v>
      </c>
      <c r="I56" s="17" t="n">
        <f aca="false">MAX(0,H56*0.75+I53*0.8*0.85)</f>
        <v>182307.049560547</v>
      </c>
      <c r="J56" s="17" t="n">
        <f aca="false">MAX(0,I56*0.75+J53*0.8*0.85)</f>
        <v>183820.28717041</v>
      </c>
      <c r="K56" s="17" t="n">
        <f aca="false">MAX(0,J56*0.75+K53*0.8*0.85)</f>
        <v>184955.215377808</v>
      </c>
      <c r="L56" s="17" t="n">
        <f aca="false">MAX(0,K56*0.75+L53*0.8*0.85)</f>
        <v>185806.411533356</v>
      </c>
      <c r="M56" s="17" t="n">
        <f aca="false">MAX(0,L56*0.75+M53*0.8*0.85)</f>
        <v>186444.808650017</v>
      </c>
      <c r="N56" s="17" t="n">
        <f aca="false">MAX(0,M56*0.75+N53*0.8*0.85)</f>
        <v>186923.606487513</v>
      </c>
      <c r="O56" s="17" t="n">
        <f aca="false">MAX(0,N56*0.75+O53*0.8*0.85)</f>
        <v>140192.704865634</v>
      </c>
      <c r="P56" s="17" t="n">
        <f aca="false">MAX(0,O56*0.75+P53*0.8*0.85)</f>
        <v>105144.528649226</v>
      </c>
      <c r="Q56" s="3"/>
      <c r="R56" s="8" t="s">
        <v>681</v>
      </c>
    </row>
    <row r="57" customFormat="false" ht="15" hidden="false" customHeight="false" outlineLevel="0" collapsed="false">
      <c r="A57" s="20" t="s">
        <v>682</v>
      </c>
      <c r="B57" s="17" t="n">
        <f aca="false">MAX(0,B51)*Assumptions!$B$44</f>
        <v>95607.6438546239</v>
      </c>
      <c r="C57" s="17" t="n">
        <f aca="false">MAX(0,C51)*Assumptions!$B$44</f>
        <v>89211.7453314239</v>
      </c>
      <c r="D57" s="17" t="n">
        <f aca="false">MAX(0,D51)*Assumptions!$B$44</f>
        <v>123258.512601558</v>
      </c>
      <c r="E57" s="17" t="n">
        <f aca="false">MAX(0,E51)*Assumptions!$B$44</f>
        <v>198127.571140833</v>
      </c>
      <c r="F57" s="17" t="n">
        <f aca="false">MAX(0,F51)*Assumptions!$B$44</f>
        <v>193168.390984301</v>
      </c>
      <c r="G57" s="17" t="n">
        <f aca="false">MAX(0,G51)*Assumptions!$B$44</f>
        <v>218459.956117673</v>
      </c>
      <c r="H57" s="17" t="n">
        <f aca="false">MAX(0,H51)*Assumptions!$B$44</f>
        <v>297690.778326805</v>
      </c>
      <c r="I57" s="17" t="n">
        <f aca="false">MAX(0,I51)*Assumptions!$B$44</f>
        <v>381318.265549706</v>
      </c>
      <c r="J57" s="17" t="n">
        <f aca="false">MAX(0,J51)*Assumptions!$B$44</f>
        <v>431445.577032283</v>
      </c>
      <c r="K57" s="17" t="n">
        <f aca="false">MAX(0,K51)*Assumptions!$B$44</f>
        <v>527499.801169347</v>
      </c>
      <c r="L57" s="17" t="n">
        <f aca="false">MAX(0,L51)*Assumptions!$B$44</f>
        <v>628242.399388974</v>
      </c>
      <c r="M57" s="17" t="n">
        <f aca="false">MAX(0,M51)*Assumptions!$B$44</f>
        <v>733696.441017387</v>
      </c>
      <c r="N57" s="17" t="n">
        <f aca="false">MAX(0,N51)*Assumptions!$B$44</f>
        <v>843879.243543928</v>
      </c>
      <c r="O57" s="17" t="n">
        <f aca="false">MAX(0,O51)*Assumptions!$B$44</f>
        <v>886406.202002458</v>
      </c>
      <c r="P57" s="17" t="n">
        <f aca="false">MAX(0,P51)*Assumptions!$B$44</f>
        <v>927737.886564162</v>
      </c>
      <c r="Q57" s="3"/>
      <c r="R57" s="8" t="s">
        <v>683</v>
      </c>
    </row>
    <row r="58" customFormat="false" ht="15" hidden="false" customHeight="false" outlineLevel="0" collapsed="false">
      <c r="A58" s="18" t="s">
        <v>684</v>
      </c>
      <c r="B58" s="24" t="n">
        <f aca="false">B57</f>
        <v>95607.6438546239</v>
      </c>
      <c r="C58" s="24" t="n">
        <f aca="false">B58+C57</f>
        <v>184819.389186048</v>
      </c>
      <c r="D58" s="24" t="n">
        <f aca="false">C58+D57</f>
        <v>308077.901787606</v>
      </c>
      <c r="E58" s="24" t="n">
        <f aca="false">D58+E57</f>
        <v>506205.472928439</v>
      </c>
      <c r="F58" s="24" t="n">
        <f aca="false">E58+F57</f>
        <v>699373.863912741</v>
      </c>
      <c r="G58" s="24" t="n">
        <f aca="false">F58+G57</f>
        <v>917833.820030414</v>
      </c>
      <c r="H58" s="24" t="n">
        <f aca="false">G58+H57</f>
        <v>1215524.59835722</v>
      </c>
      <c r="I58" s="24" t="n">
        <f aca="false">H58+I57</f>
        <v>1596842.86390692</v>
      </c>
      <c r="J58" s="24" t="n">
        <f aca="false">I58+J57</f>
        <v>2028288.44093921</v>
      </c>
      <c r="K58" s="24" t="n">
        <f aca="false">J58+K57</f>
        <v>2555788.24210856</v>
      </c>
      <c r="L58" s="24" t="n">
        <f aca="false">K58+L57</f>
        <v>3184030.64149753</v>
      </c>
      <c r="M58" s="24" t="n">
        <f aca="false">L58+M57</f>
        <v>3917727.08251492</v>
      </c>
      <c r="N58" s="24" t="n">
        <f aca="false">M58+N57</f>
        <v>4761606.32605884</v>
      </c>
      <c r="O58" s="24" t="n">
        <f aca="false">N58+O57</f>
        <v>5648012.5280613</v>
      </c>
      <c r="P58" s="24" t="n">
        <f aca="false">O58+P57</f>
        <v>6575750.41462546</v>
      </c>
      <c r="Q58" s="3"/>
      <c r="R58" s="8" t="s">
        <v>685</v>
      </c>
    </row>
    <row r="59" customFormat="false" ht="15" hidden="false" customHeight="false" outlineLevel="0" collapsed="false">
      <c r="A59" s="18" t="s">
        <v>686</v>
      </c>
      <c r="B59" s="24" t="n">
        <f aca="false">Assumptions!$B$62+B51-B57-B53*0.2</f>
        <v>61038.4292364159</v>
      </c>
      <c r="C59" s="24" t="n">
        <f aca="false">B59+C51-C57-C53*0.2</f>
        <v>120512.926124032</v>
      </c>
      <c r="D59" s="24" t="n">
        <f aca="false">C59+D51-D57-D53*0.2</f>
        <v>188835.267858404</v>
      </c>
      <c r="E59" s="24" t="n">
        <f aca="false">D59+E51-E57-E53*0.2</f>
        <v>293220.315285626</v>
      </c>
      <c r="F59" s="24" t="n">
        <f aca="false">E59+F51-F57-F53*0.2</f>
        <v>408149.242608494</v>
      </c>
      <c r="G59" s="24" t="n">
        <f aca="false">F59+G51-G57-G53*0.2</f>
        <v>539939.213353609</v>
      </c>
      <c r="H59" s="24" t="n">
        <f aca="false">G59+H51-H57-H53*0.2</f>
        <v>724549.732238146</v>
      </c>
      <c r="I59" s="24" t="n">
        <f aca="false">H59+I51-I57-I53*0.2</f>
        <v>964911.909271283</v>
      </c>
      <c r="J59" s="24" t="n">
        <f aca="false">I59+J51-J57-J53*0.2</f>
        <v>1238692.29395947</v>
      </c>
      <c r="K59" s="24" t="n">
        <f aca="false">J59+K51-K57-K53*0.2</f>
        <v>1576508.82807237</v>
      </c>
      <c r="L59" s="24" t="n">
        <f aca="false">K59+L51-L57-L53*0.2</f>
        <v>1981487.09433169</v>
      </c>
      <c r="M59" s="24" t="n">
        <f aca="false">L59+M51-M57-M53*0.2</f>
        <v>2456768.05500994</v>
      </c>
      <c r="N59" s="24" t="n">
        <f aca="false">M59+N51-N57-N53*0.2</f>
        <v>3005504.21737256</v>
      </c>
      <c r="O59" s="24" t="n">
        <f aca="false">N59+O51-O57-O53*0.2</f>
        <v>3596441.6853742</v>
      </c>
      <c r="P59" s="24" t="n">
        <f aca="false">O59+P51-P57-P53*0.2</f>
        <v>4214933.60975031</v>
      </c>
      <c r="Q59" s="3"/>
      <c r="R59" s="8" t="s">
        <v>687</v>
      </c>
    </row>
    <row r="60" customFormat="false" ht="15" hidden="false" customHeight="false" outlineLevel="0" collapsed="false">
      <c r="A60" s="20" t="s">
        <v>688</v>
      </c>
      <c r="B60" s="17" t="n">
        <f aca="false">B51+Assumptions!$B$78*12</f>
        <v>309346.07309104</v>
      </c>
      <c r="C60" s="17" t="n">
        <f aca="false">C51+Assumptions!$B$78*12</f>
        <v>298686.24221904</v>
      </c>
      <c r="D60" s="17" t="n">
        <f aca="false">D51+Assumptions!$B$78*12</f>
        <v>355430.854335931</v>
      </c>
      <c r="E60" s="17" t="n">
        <f aca="false">E51+Assumptions!$B$78*12</f>
        <v>480212.618568055</v>
      </c>
      <c r="F60" s="17" t="n">
        <f aca="false">F51+Assumptions!$B$78*12</f>
        <v>471947.318307169</v>
      </c>
      <c r="G60" s="17" t="n">
        <f aca="false">G51+Assumptions!$B$78*12</f>
        <v>514099.926862789</v>
      </c>
      <c r="H60" s="17" t="n">
        <f aca="false">H51+Assumptions!$B$78*12</f>
        <v>646151.297211341</v>
      </c>
      <c r="I60" s="17" t="n">
        <f aca="false">I51+Assumptions!$B$78*12</f>
        <v>785530.442582843</v>
      </c>
      <c r="J60" s="17" t="n">
        <f aca="false">J51+Assumptions!$B$78*12</f>
        <v>869075.961720472</v>
      </c>
      <c r="K60" s="17" t="n">
        <f aca="false">K51+Assumptions!$B$78*12</f>
        <v>1029166.33528225</v>
      </c>
      <c r="L60" s="17" t="n">
        <f aca="false">L51+Assumptions!$B$78*12</f>
        <v>1197070.66564829</v>
      </c>
      <c r="M60" s="17" t="n">
        <f aca="false">M51+Assumptions!$B$78*12</f>
        <v>1372827.40169565</v>
      </c>
      <c r="N60" s="17" t="n">
        <f aca="false">N51+Assumptions!$B$78*12</f>
        <v>1556465.40590655</v>
      </c>
      <c r="O60" s="17" t="n">
        <f aca="false">O51+Assumptions!$B$78*12</f>
        <v>1627343.6700041</v>
      </c>
      <c r="P60" s="17" t="n">
        <f aca="false">P51+Assumptions!$B$78*12</f>
        <v>1696229.81094027</v>
      </c>
      <c r="Q60" s="3"/>
      <c r="R60" s="3"/>
    </row>
    <row r="61" customFormat="false" ht="15" hidden="false" customHeight="false" outlineLevel="0" collapsed="false">
      <c r="A61" s="20" t="s">
        <v>689</v>
      </c>
      <c r="B61" s="17" t="n">
        <f aca="false">B60-B35+B31*Assumptions!$B$33*Assumptions!$B$37</f>
        <v>291889.27709104</v>
      </c>
      <c r="C61" s="17" t="n">
        <f aca="false">C60-C35+C31*Assumptions!$B$33*Assumptions!$B$37</f>
        <v>265169.19389904</v>
      </c>
      <c r="D61" s="17" t="n">
        <f aca="false">D60-D35+D31*Assumptions!$B$33*Assumptions!$B$37</f>
        <v>300576.714571339</v>
      </c>
      <c r="E61" s="17" t="n">
        <f aca="false">E60-E35+E31*Assumptions!$B$33*Assumptions!$B$37</f>
        <v>394527.092139992</v>
      </c>
      <c r="F61" s="17" t="n">
        <f aca="false">F60-F35+F31*Assumptions!$B$33*Assumptions!$B$37</f>
        <v>350482.053059993</v>
      </c>
      <c r="G61" s="17" t="n">
        <f aca="false">G60-G35+G31*Assumptions!$B$33*Assumptions!$B$37</f>
        <v>351702.897289688</v>
      </c>
      <c r="H61" s="17" t="n">
        <f aca="false">H60-H35+H31*Assumptions!$B$33*Assumptions!$B$37</f>
        <v>437460.297454396</v>
      </c>
      <c r="I61" s="17" t="n">
        <f aca="false">I60-I35+I31*Assumptions!$B$33*Assumptions!$B$37</f>
        <v>524966.0115068</v>
      </c>
      <c r="J61" s="17" t="n">
        <f aca="false">J60-J35+J31*Assumptions!$B$33*Assumptions!$B$37</f>
        <v>550833.754331075</v>
      </c>
      <c r="K61" s="17" t="n">
        <f aca="false">K60-K35+K31*Assumptions!$B$33*Assumptions!$B$37</f>
        <v>647208.952014188</v>
      </c>
      <c r="L61" s="17" t="n">
        <f aca="false">L60-L35+L31*Assumptions!$B$33*Assumptions!$B$37</f>
        <v>745118.948490913</v>
      </c>
      <c r="M61" s="17" t="n">
        <f aca="false">M60-M35+M31*Assumptions!$B$33*Assumptions!$B$37</f>
        <v>844351.203739041</v>
      </c>
      <c r="N61" s="17" t="n">
        <f aca="false">N60-N35+N31*Assumptions!$B$33*Assumptions!$B$37</f>
        <v>944673.838660503</v>
      </c>
      <c r="O61" s="17" t="n">
        <f aca="false">O60-O35+O31*Assumptions!$B$33*Assumptions!$B$37</f>
        <v>932123.768321996</v>
      </c>
      <c r="P61" s="17" t="n">
        <f aca="false">P60-P35+P31*Assumptions!$B$33*Assumptions!$B$37</f>
        <v>917389.119357255</v>
      </c>
      <c r="Q61" s="3"/>
      <c r="R61" s="8" t="s">
        <v>690</v>
      </c>
    </row>
    <row r="62" customFormat="false" ht="15" hidden="false" customHeight="false" outlineLevel="0" collapsed="false">
      <c r="A62" s="18" t="s">
        <v>691</v>
      </c>
      <c r="B62" s="24" t="n">
        <f aca="false">MAX(0,B60)*Assumptions!$B$47+B59-B56</f>
        <v>740223.611964015</v>
      </c>
      <c r="C62" s="24" t="n">
        <f aca="false">MAX(0,C60)*Assumptions!$B$47+C59-C56</f>
        <v>796593.531671631</v>
      </c>
      <c r="D62" s="24" t="n">
        <f aca="false">MAX(0,D60)*Assumptions!$B$47+D59-D56</f>
        <v>977346.153698231</v>
      </c>
      <c r="E62" s="24" t="n">
        <f aca="false">MAX(0,E60)*Assumptions!$B$47+E59-E56</f>
        <v>1324522.17420576</v>
      </c>
      <c r="F62" s="24" t="n">
        <f aca="false">MAX(0,F60)*Assumptions!$B$47+F59-F56</f>
        <v>1414005.27275142</v>
      </c>
      <c r="G62" s="24" t="n">
        <f aca="false">MAX(0,G60)*Assumptions!$B$47+G59-G56</f>
        <v>1647589.83129183</v>
      </c>
      <c r="H62" s="24" t="n">
        <f aca="false">MAX(0,H60)*Assumptions!$B$47+H59-H56</f>
        <v>2159638.57585244</v>
      </c>
      <c r="I62" s="24" t="n">
        <f aca="false">MAX(0,I60)*Assumptions!$B$47+I59-I56</f>
        <v>2746430.96616784</v>
      </c>
      <c r="J62" s="24" t="n">
        <f aca="false">MAX(0,J60)*Assumptions!$B$47+J59-J56</f>
        <v>3227561.91109024</v>
      </c>
      <c r="K62" s="24" t="n">
        <f aca="false">MAX(0,K60)*Assumptions!$B$47+K59-K56</f>
        <v>3964469.45090018</v>
      </c>
      <c r="L62" s="24" t="n">
        <f aca="false">MAX(0,L60)*Assumptions!$B$47+L59-L56</f>
        <v>4788357.34691906</v>
      </c>
      <c r="M62" s="24" t="n">
        <f aca="false">MAX(0,M60)*Assumptions!$B$47+M59-M56</f>
        <v>5702391.75059904</v>
      </c>
      <c r="N62" s="24" t="n">
        <f aca="false">MAX(0,N60)*Assumptions!$B$47+N59-N56</f>
        <v>6709744.12565142</v>
      </c>
      <c r="O62" s="24" t="n">
        <f aca="false">MAX(0,O60)*Assumptions!$B$47+O59-O56</f>
        <v>7524608.15551881</v>
      </c>
      <c r="P62" s="24" t="n">
        <f aca="false">MAX(0,P60)*Assumptions!$B$47+P59-P56</f>
        <v>8350363.60845175</v>
      </c>
      <c r="Q62" s="3"/>
      <c r="R62" s="8" t="s">
        <v>692</v>
      </c>
    </row>
    <row r="63" customFormat="false" ht="15" hidden="false" customHeight="false" outlineLevel="0" collapsed="false">
      <c r="A63" s="18" t="s">
        <v>693</v>
      </c>
      <c r="B63" s="24" t="n">
        <f aca="false">MAX(0,B61)*Assumptions!$B$48+B59-B56</f>
        <v>579825.911127599</v>
      </c>
      <c r="C63" s="24" t="n">
        <f aca="false">MAX(0,C61)*Assumptions!$B$48+C59-C56</f>
        <v>606733.233312016</v>
      </c>
      <c r="D63" s="24" t="n">
        <f aca="false">MAX(0,D61)*Assumptions!$B$48+D59-D56</f>
        <v>719980.118458216</v>
      </c>
      <c r="E63" s="24" t="n">
        <f aca="false">MAX(0,E61)*Assumptions!$B$48+E59-E56</f>
        <v>952497.521279609</v>
      </c>
      <c r="F63" s="24" t="n">
        <f aca="false">MAX(0,F61)*Assumptions!$B$48+F59-F56</f>
        <v>970149.288409478</v>
      </c>
      <c r="G63" s="24" t="n">
        <f aca="false">MAX(0,G61)*Assumptions!$B$48+G59-G56</f>
        <v>1100916.0984432</v>
      </c>
      <c r="H63" s="24" t="n">
        <f aca="false">MAX(0,H61)*Assumptions!$B$48+H59-H56</f>
        <v>1462926.95747832</v>
      </c>
      <c r="I63" s="24" t="n">
        <f aca="false">MAX(0,I61)*Assumptions!$B$48+I59-I56</f>
        <v>1885033.48387502</v>
      </c>
      <c r="J63" s="24" t="n">
        <f aca="false">MAX(0,J61)*Assumptions!$B$48+J59-J56</f>
        <v>2211622.89088432</v>
      </c>
      <c r="K63" s="24" t="n">
        <f aca="false">MAX(0,K61)*Assumptions!$B$48+K59-K56</f>
        <v>2750692.41192436</v>
      </c>
      <c r="L63" s="24" t="n">
        <f aca="false">MAX(0,L61)*Assumptions!$B$48+L59-L56</f>
        <v>3360430.47462925</v>
      </c>
      <c r="M63" s="24" t="n">
        <f aca="false">MAX(0,M61)*Assumptions!$B$48+M59-M56</f>
        <v>4043460.77421191</v>
      </c>
      <c r="N63" s="24" t="n">
        <f aca="false">MAX(0,N61)*Assumptions!$B$48+N59-N56</f>
        <v>4802395.67207211</v>
      </c>
      <c r="O63" s="24" t="n">
        <f aca="false">MAX(0,O61)*Assumptions!$B$48+O59-O56</f>
        <v>5413708.89398476</v>
      </c>
      <c r="P63" s="24" t="n">
        <f aca="false">MAX(0,P61)*Assumptions!$B$48+P59-P56</f>
        <v>6036306.23175132</v>
      </c>
      <c r="Q63" s="3"/>
      <c r="R63" s="3"/>
    </row>
    <row r="64" customFormat="false" ht="15" hidden="false" customHeight="false" outlineLevel="0" collapsed="false">
      <c r="A64" s="18" t="s">
        <v>694</v>
      </c>
      <c r="B64" s="24" t="n">
        <f aca="false">B62-B63</f>
        <v>160397.700836416</v>
      </c>
      <c r="C64" s="24" t="n">
        <f aca="false">C62-C63</f>
        <v>189860.298359616</v>
      </c>
      <c r="D64" s="24" t="n">
        <f aca="false">D62-D63</f>
        <v>257366.035240015</v>
      </c>
      <c r="E64" s="24" t="n">
        <f aca="false">E62-E63</f>
        <v>372024.652926154</v>
      </c>
      <c r="F64" s="24" t="n">
        <f aca="false">F62-F63</f>
        <v>443855.984341939</v>
      </c>
      <c r="G64" s="24" t="n">
        <f aca="false">G62-G63</f>
        <v>546673.732848627</v>
      </c>
      <c r="H64" s="24" t="n">
        <f aca="false">H62-H63</f>
        <v>696711.618374121</v>
      </c>
      <c r="I64" s="24" t="n">
        <f aca="false">I62-I63</f>
        <v>861397.482292829</v>
      </c>
      <c r="J64" s="24" t="n">
        <f aca="false">J62-J63</f>
        <v>1015939.02020592</v>
      </c>
      <c r="K64" s="24" t="n">
        <f aca="false">K62-K63</f>
        <v>1213777.03897582</v>
      </c>
      <c r="L64" s="24" t="n">
        <f aca="false">L62-L63</f>
        <v>1427926.87228981</v>
      </c>
      <c r="M64" s="24" t="n">
        <f aca="false">M62-M63</f>
        <v>1658930.97638713</v>
      </c>
      <c r="N64" s="24" t="n">
        <f aca="false">N62-N63</f>
        <v>1907348.45357931</v>
      </c>
      <c r="O64" s="24" t="n">
        <f aca="false">O62-O63</f>
        <v>2110899.26153405</v>
      </c>
      <c r="P64" s="24" t="n">
        <f aca="false">P62-P63</f>
        <v>2314057.37670044</v>
      </c>
      <c r="Q64" s="3"/>
      <c r="R64" s="8" t="s">
        <v>695</v>
      </c>
    </row>
    <row r="65" customFormat="false" ht="15" hidden="false" customHeight="false" outlineLevel="0" collapsed="false">
      <c r="A65" s="20" t="s">
        <v>696</v>
      </c>
      <c r="B65" s="17" t="n">
        <f aca="false">B35*Assumptions!$B$49</f>
        <v>24283.476</v>
      </c>
      <c r="C65" s="17" t="n">
        <f aca="false">C35*Assumptions!$B$49</f>
        <v>46624.27392</v>
      </c>
      <c r="D65" s="17" t="n">
        <f aca="false">D35*Assumptions!$B$49</f>
        <v>75446.137316592</v>
      </c>
      <c r="E65" s="17" t="n">
        <f aca="false">E35*Assumptions!$B$49</f>
        <v>116576.854175903</v>
      </c>
      <c r="F65" s="17" t="n">
        <f aca="false">F35*Assumptions!$B$49</f>
        <v>163538.646775189</v>
      </c>
      <c r="G65" s="17" t="n">
        <f aca="false">G35*Assumptions!$B$49</f>
        <v>216464.570578872</v>
      </c>
      <c r="H65" s="17" t="n">
        <f aca="false">H35*Assumptions!$B$49</f>
        <v>275499.837482255</v>
      </c>
      <c r="I65" s="17" t="n">
        <f aca="false">I35*Assumptions!$B$49</f>
        <v>340801.931783329</v>
      </c>
      <c r="J65" s="17" t="n">
        <f aca="false">J35*Assumptions!$B$49</f>
        <v>412540.748040099</v>
      </c>
      <c r="K65" s="17" t="n">
        <f aca="false">K35*Assumptions!$B$49</f>
        <v>490898.750666704</v>
      </c>
      <c r="L65" s="17" t="n">
        <f aca="false">L35*Assumptions!$B$49</f>
        <v>576071.155164132</v>
      </c>
      <c r="M65" s="17" t="n">
        <f aca="false">M35*Assumptions!$B$49</f>
        <v>668266.130922819</v>
      </c>
      <c r="N65" s="17" t="n">
        <f aca="false">N35*Assumptions!$B$49</f>
        <v>767705.02557496</v>
      </c>
      <c r="O65" s="17" t="n">
        <f aca="false">O35*Assumptions!$B$49</f>
        <v>865967.003344704</v>
      </c>
      <c r="P65" s="17" t="n">
        <f aca="false">P35*Assumptions!$B$49</f>
        <v>963234.745112609</v>
      </c>
      <c r="Q65" s="3"/>
      <c r="R65" s="3"/>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3"/>
    <col collapsed="false" customWidth="true" hidden="false" outlineLevel="0" max="4" min="3" style="1" width="11"/>
    <col collapsed="false" customWidth="true" hidden="false" outlineLevel="0" max="5" min="5" style="1" width="14"/>
    <col collapsed="false" customWidth="true" hidden="false" outlineLevel="0" max="8" min="6" style="1" width="15"/>
    <col collapsed="false" customWidth="true" hidden="false" outlineLevel="0" max="9" min="9" style="1" width="78"/>
  </cols>
  <sheetData>
    <row r="1" customFormat="false" ht="17.35" hidden="false" customHeight="false" outlineLevel="0" collapsed="false">
      <c r="A1" s="2" t="s">
        <v>697</v>
      </c>
      <c r="B1" s="3"/>
      <c r="C1" s="3"/>
      <c r="D1" s="3"/>
      <c r="E1" s="3"/>
      <c r="F1" s="3"/>
      <c r="G1" s="3"/>
      <c r="H1" s="3"/>
      <c r="I1" s="3"/>
    </row>
    <row r="2" customFormat="false" ht="15" hidden="false" customHeight="false" outlineLevel="0" collapsed="false">
      <c r="A2" s="4" t="s">
        <v>698</v>
      </c>
      <c r="B2" s="3"/>
      <c r="C2" s="3"/>
      <c r="D2" s="3"/>
      <c r="E2" s="3"/>
      <c r="F2" s="3"/>
      <c r="G2" s="3"/>
      <c r="H2" s="3"/>
      <c r="I2" s="3"/>
    </row>
    <row r="3" customFormat="false" ht="15" hidden="false" customHeight="false" outlineLevel="0" collapsed="false">
      <c r="A3" s="3"/>
      <c r="B3" s="3"/>
      <c r="C3" s="3"/>
      <c r="D3" s="3"/>
      <c r="E3" s="3"/>
      <c r="F3" s="3"/>
      <c r="G3" s="3"/>
      <c r="H3" s="3"/>
      <c r="I3" s="3"/>
    </row>
    <row r="4" customFormat="false" ht="15" hidden="false" customHeight="false" outlineLevel="0" collapsed="false">
      <c r="A4" s="18" t="s">
        <v>699</v>
      </c>
      <c r="B4" s="47" t="n">
        <f aca="false">Assumptions!$B$110</f>
        <v>150000</v>
      </c>
      <c r="C4" s="3"/>
      <c r="D4" s="41" t="s">
        <v>700</v>
      </c>
      <c r="E4" s="3"/>
      <c r="F4" s="3"/>
      <c r="G4" s="3"/>
      <c r="H4" s="3"/>
      <c r="I4" s="3"/>
    </row>
    <row r="5" customFormat="false" ht="15" hidden="false" customHeight="false" outlineLevel="0" collapsed="false">
      <c r="A5" s="3"/>
      <c r="B5" s="3"/>
      <c r="C5" s="3"/>
      <c r="D5" s="3"/>
      <c r="E5" s="3"/>
      <c r="F5" s="3"/>
      <c r="G5" s="49" t="s">
        <v>701</v>
      </c>
      <c r="H5" s="49"/>
      <c r="I5" s="49"/>
    </row>
    <row r="6" customFormat="false" ht="30" hidden="false" customHeight="true" outlineLevel="0" collapsed="false">
      <c r="A6" s="50" t="s">
        <v>702</v>
      </c>
      <c r="B6" s="50" t="s">
        <v>703</v>
      </c>
      <c r="C6" s="50" t="s">
        <v>704</v>
      </c>
      <c r="D6" s="50" t="s">
        <v>705</v>
      </c>
      <c r="E6" s="50" t="s">
        <v>706</v>
      </c>
      <c r="F6" s="50" t="s">
        <v>707</v>
      </c>
      <c r="G6" s="50" t="s">
        <v>708</v>
      </c>
      <c r="H6" s="50" t="s">
        <v>709</v>
      </c>
      <c r="I6" s="50" t="s">
        <v>710</v>
      </c>
    </row>
    <row r="7" customFormat="false" ht="75.75" hidden="false" customHeight="true" outlineLevel="0" collapsed="false">
      <c r="A7" s="20" t="s">
        <v>711</v>
      </c>
      <c r="B7" s="51" t="n">
        <v>0</v>
      </c>
      <c r="C7" s="34" t="n">
        <v>0.5</v>
      </c>
      <c r="D7" s="51" t="n">
        <v>0</v>
      </c>
      <c r="E7" s="52" t="n">
        <f aca="false">IF(B7=0,$B$4/(C7*12),PMT(B7/12,C7*12,-$B$4))</f>
        <v>25000</v>
      </c>
      <c r="F7" s="52" t="n">
        <f aca="false">E7*C7*12+$B$4*D7</f>
        <v>150000</v>
      </c>
      <c r="G7" s="52" t="n">
        <f aca="false">F7-$B$4</f>
        <v>0</v>
      </c>
      <c r="H7" s="24" t="n">
        <f aca="false">G7/C7</f>
        <v>0</v>
      </c>
      <c r="I7" s="53" t="s">
        <v>712</v>
      </c>
    </row>
    <row r="8" customFormat="false" ht="75.75" hidden="false" customHeight="true" outlineLevel="0" collapsed="false">
      <c r="A8" s="20" t="s">
        <v>713</v>
      </c>
      <c r="B8" s="51" t="n">
        <v>0</v>
      </c>
      <c r="C8" s="34" t="n">
        <v>4</v>
      </c>
      <c r="D8" s="51" t="n">
        <v>0</v>
      </c>
      <c r="E8" s="52" t="n">
        <f aca="false">IF(B8=0,$B$4/(C8*12),PMT(B8/12,C8*12,-$B$4))</f>
        <v>3125</v>
      </c>
      <c r="F8" s="52" t="n">
        <f aca="false">E8*C8*12+$B$4*D8</f>
        <v>150000</v>
      </c>
      <c r="G8" s="52" t="n">
        <f aca="false">F8-$B$4</f>
        <v>0</v>
      </c>
      <c r="H8" s="24" t="n">
        <f aca="false">G8/C8</f>
        <v>0</v>
      </c>
      <c r="I8" s="53" t="s">
        <v>714</v>
      </c>
    </row>
    <row r="9" customFormat="false" ht="75.75" hidden="false" customHeight="true" outlineLevel="0" collapsed="false">
      <c r="A9" s="20" t="s">
        <v>715</v>
      </c>
      <c r="B9" s="51" t="n">
        <v>0.085</v>
      </c>
      <c r="C9" s="34" t="n">
        <v>5</v>
      </c>
      <c r="D9" s="51" t="n">
        <v>0</v>
      </c>
      <c r="E9" s="52" t="n">
        <f aca="false">IF(B9=0,$B$4/(C9*12),PMT(B9/12,C9*12,-$B$4))</f>
        <v>3077.47969905769</v>
      </c>
      <c r="F9" s="52" t="n">
        <f aca="false">E9*C9*12+$B$4*D9</f>
        <v>184648.781943461</v>
      </c>
      <c r="G9" s="52" t="n">
        <f aca="false">F9-$B$4</f>
        <v>34648.7819434613</v>
      </c>
      <c r="H9" s="24" t="n">
        <f aca="false">G9/C9</f>
        <v>6929.75638869225</v>
      </c>
      <c r="I9" s="53" t="s">
        <v>716</v>
      </c>
    </row>
    <row r="10" customFormat="false" ht="75.75" hidden="false" customHeight="true" outlineLevel="0" collapsed="false">
      <c r="A10" s="20" t="s">
        <v>717</v>
      </c>
      <c r="B10" s="51" t="n">
        <v>0.095</v>
      </c>
      <c r="C10" s="34" t="n">
        <v>10</v>
      </c>
      <c r="D10" s="51" t="n">
        <v>0.01</v>
      </c>
      <c r="E10" s="52" t="n">
        <f aca="false">IF(B10=0,$B$4/(C10*12),PMT(B10/12,C10*12,-$B$4))</f>
        <v>1940.96336341166</v>
      </c>
      <c r="F10" s="52" t="n">
        <f aca="false">E10*C10*12+$B$4*D10</f>
        <v>234415.603609399</v>
      </c>
      <c r="G10" s="52" t="n">
        <f aca="false">F10-$B$4</f>
        <v>84415.6036093987</v>
      </c>
      <c r="H10" s="24" t="n">
        <f aca="false">G10/C10</f>
        <v>8441.56036093986</v>
      </c>
      <c r="I10" s="53" t="s">
        <v>718</v>
      </c>
    </row>
    <row r="11" customFormat="false" ht="75.75" hidden="false" customHeight="true" outlineLevel="0" collapsed="false">
      <c r="A11" s="20" t="s">
        <v>719</v>
      </c>
      <c r="B11" s="51" t="n">
        <v>0.1275</v>
      </c>
      <c r="C11" s="34" t="n">
        <v>10</v>
      </c>
      <c r="D11" s="51" t="n">
        <v>0.02</v>
      </c>
      <c r="E11" s="52" t="n">
        <f aca="false">IF(B11=0,$B$4/(C11*12),PMT(B11/12,C11*12,-$B$4))</f>
        <v>2217.59712870933</v>
      </c>
      <c r="F11" s="52" t="n">
        <f aca="false">E11*C11*12+$B$4*D11</f>
        <v>269111.65544512</v>
      </c>
      <c r="G11" s="52" t="n">
        <f aca="false">F11-$B$4</f>
        <v>119111.65544512</v>
      </c>
      <c r="H11" s="24" t="n">
        <f aca="false">G11/C11</f>
        <v>11911.165544512</v>
      </c>
      <c r="I11" s="53" t="s">
        <v>720</v>
      </c>
    </row>
    <row r="12" customFormat="false" ht="75.75" hidden="false" customHeight="true" outlineLevel="0" collapsed="false">
      <c r="A12" s="20" t="s">
        <v>721</v>
      </c>
      <c r="B12" s="51" t="n">
        <v>0.11</v>
      </c>
      <c r="C12" s="34" t="n">
        <v>7</v>
      </c>
      <c r="D12" s="51" t="n">
        <v>0.01</v>
      </c>
      <c r="E12" s="52" t="n">
        <f aca="false">IF(B12=0,$B$4/(C12*12),PMT(B12/12,C12*12,-$B$4))</f>
        <v>2568.36546523481</v>
      </c>
      <c r="F12" s="52" t="n">
        <f aca="false">E12*C12*12+$B$4*D12</f>
        <v>217242.699079724</v>
      </c>
      <c r="G12" s="52" t="n">
        <f aca="false">F12-$B$4</f>
        <v>67242.6990797244</v>
      </c>
      <c r="H12" s="24" t="n">
        <f aca="false">G12/C12</f>
        <v>9606.09986853206</v>
      </c>
      <c r="I12" s="53" t="s">
        <v>722</v>
      </c>
    </row>
    <row r="13" customFormat="false" ht="75.75" hidden="false" customHeight="true" outlineLevel="0" collapsed="false">
      <c r="A13" s="20" t="s">
        <v>723</v>
      </c>
      <c r="B13" s="51" t="n">
        <v>0.11</v>
      </c>
      <c r="C13" s="34" t="n">
        <v>3</v>
      </c>
      <c r="D13" s="51" t="n">
        <v>0</v>
      </c>
      <c r="E13" s="52" t="n">
        <f aca="false">IF(B13=0,$B$4/(C13*12),PMT(B13/12,C13*12,-$B$4))</f>
        <v>4910.80756755031</v>
      </c>
      <c r="F13" s="52" t="n">
        <f aca="false">E13*C13*12+$B$4*D13</f>
        <v>176789.072431811</v>
      </c>
      <c r="G13" s="52" t="n">
        <f aca="false">F13-$B$4</f>
        <v>26789.072431811</v>
      </c>
      <c r="H13" s="24" t="n">
        <f aca="false">G13/C13</f>
        <v>8929.69081060367</v>
      </c>
      <c r="I13" s="53" t="s">
        <v>724</v>
      </c>
    </row>
    <row r="14" customFormat="false" ht="75.75" hidden="false" customHeight="true" outlineLevel="0" collapsed="false">
      <c r="A14" s="54" t="s">
        <v>725</v>
      </c>
      <c r="B14" s="55" t="n">
        <v>0.84</v>
      </c>
      <c r="C14" s="56" t="n">
        <v>0.75</v>
      </c>
      <c r="D14" s="55" t="n">
        <v>0</v>
      </c>
      <c r="E14" s="57" t="n">
        <f aca="false">IF(B14=0,$B$4/(C14*12),PMT(B14/12,C14*12,-$B$4))</f>
        <v>23022.9705207633</v>
      </c>
      <c r="F14" s="57" t="n">
        <f aca="false">E14*C14*12+$B$4*D14</f>
        <v>207206.73468687</v>
      </c>
      <c r="G14" s="57" t="n">
        <f aca="false">F14-$B$4</f>
        <v>57206.7346868697</v>
      </c>
      <c r="H14" s="58" t="n">
        <f aca="false">G14/C14</f>
        <v>76275.6462491595</v>
      </c>
      <c r="I14" s="53" t="s">
        <v>726</v>
      </c>
    </row>
    <row r="15" customFormat="false" ht="15" hidden="false" customHeight="false" outlineLevel="0" collapsed="false">
      <c r="A15" s="3"/>
      <c r="B15" s="3"/>
      <c r="C15" s="3"/>
      <c r="D15" s="3"/>
      <c r="E15" s="3"/>
      <c r="F15" s="3"/>
      <c r="G15" s="3"/>
      <c r="H15" s="3"/>
      <c r="I15" s="3"/>
    </row>
    <row r="16" customFormat="false" ht="15" hidden="false" customHeight="false" outlineLevel="0" collapsed="false">
      <c r="A16" s="5" t="s">
        <v>727</v>
      </c>
      <c r="B16" s="6"/>
      <c r="C16" s="6"/>
      <c r="D16" s="6"/>
      <c r="E16" s="6"/>
      <c r="F16" s="6"/>
      <c r="G16" s="6"/>
      <c r="H16" s="6"/>
      <c r="I16" s="6"/>
    </row>
    <row r="17" customFormat="false" ht="25.5" hidden="false" customHeight="true" outlineLevel="0" collapsed="false">
      <c r="A17" s="59" t="s">
        <v>728</v>
      </c>
      <c r="B17" s="59"/>
      <c r="C17" s="59"/>
      <c r="D17" s="59"/>
      <c r="E17" s="59"/>
      <c r="F17" s="59"/>
      <c r="G17" s="59"/>
      <c r="H17" s="59"/>
      <c r="I17" s="59"/>
    </row>
    <row r="18" customFormat="false" ht="25.5" hidden="false" customHeight="true" outlineLevel="0" collapsed="false">
      <c r="A18" s="59" t="s">
        <v>729</v>
      </c>
      <c r="B18" s="59"/>
      <c r="C18" s="59"/>
      <c r="D18" s="59"/>
      <c r="E18" s="59"/>
      <c r="F18" s="59"/>
      <c r="G18" s="59"/>
      <c r="H18" s="59"/>
      <c r="I18" s="59"/>
    </row>
    <row r="19" customFormat="false" ht="25.5" hidden="false" customHeight="true" outlineLevel="0" collapsed="false">
      <c r="A19" s="59" t="s">
        <v>730</v>
      </c>
      <c r="B19" s="59"/>
      <c r="C19" s="59"/>
      <c r="D19" s="59"/>
      <c r="E19" s="59"/>
      <c r="F19" s="59"/>
      <c r="G19" s="59"/>
      <c r="H19" s="59"/>
      <c r="I19" s="59"/>
    </row>
    <row r="20" customFormat="false" ht="25.5" hidden="false" customHeight="true" outlineLevel="0" collapsed="false">
      <c r="A20" s="59" t="s">
        <v>731</v>
      </c>
      <c r="B20" s="59"/>
      <c r="C20" s="59"/>
      <c r="D20" s="59"/>
      <c r="E20" s="59"/>
      <c r="F20" s="59"/>
      <c r="G20" s="59"/>
      <c r="H20" s="59"/>
      <c r="I20" s="59"/>
    </row>
    <row r="21" customFormat="false" ht="25.5" hidden="false" customHeight="true" outlineLevel="0" collapsed="false">
      <c r="A21" s="59" t="s">
        <v>732</v>
      </c>
      <c r="B21" s="59"/>
      <c r="C21" s="59"/>
      <c r="D21" s="59"/>
      <c r="E21" s="59"/>
      <c r="F21" s="59"/>
      <c r="G21" s="59"/>
      <c r="H21" s="59"/>
      <c r="I21" s="59"/>
    </row>
    <row r="22" customFormat="false" ht="25.5" hidden="false" customHeight="true" outlineLevel="0" collapsed="false">
      <c r="A22" s="59" t="s">
        <v>733</v>
      </c>
      <c r="B22" s="59"/>
      <c r="C22" s="59"/>
      <c r="D22" s="59"/>
      <c r="E22" s="59"/>
      <c r="F22" s="59"/>
      <c r="G22" s="59"/>
      <c r="H22" s="59"/>
      <c r="I22" s="59"/>
    </row>
    <row r="23" customFormat="false" ht="25.5" hidden="false" customHeight="true" outlineLevel="0" collapsed="false">
      <c r="A23" s="59" t="s">
        <v>734</v>
      </c>
      <c r="B23" s="59"/>
      <c r="C23" s="59"/>
      <c r="D23" s="59"/>
      <c r="E23" s="59"/>
      <c r="F23" s="59"/>
      <c r="G23" s="59"/>
      <c r="H23" s="59"/>
      <c r="I23" s="59"/>
    </row>
    <row r="24" customFormat="false" ht="15" hidden="false" customHeight="false" outlineLevel="0" collapsed="false">
      <c r="A24" s="3"/>
      <c r="B24" s="3"/>
      <c r="C24" s="3"/>
      <c r="D24" s="3"/>
      <c r="E24" s="3"/>
      <c r="F24" s="3"/>
      <c r="G24" s="3"/>
      <c r="H24" s="3"/>
      <c r="I24" s="3"/>
    </row>
    <row r="25" customFormat="false" ht="15" hidden="false" customHeight="false" outlineLevel="0" collapsed="false">
      <c r="A25" s="5" t="s">
        <v>735</v>
      </c>
      <c r="B25" s="6"/>
      <c r="C25" s="6"/>
      <c r="D25" s="6"/>
      <c r="E25" s="6"/>
      <c r="F25" s="6"/>
      <c r="G25" s="6"/>
      <c r="H25" s="6"/>
      <c r="I25" s="6"/>
    </row>
    <row r="26" customFormat="false" ht="61.5" hidden="false" customHeight="true" outlineLevel="0" collapsed="false">
      <c r="A26" s="60" t="s">
        <v>736</v>
      </c>
      <c r="B26" s="60"/>
      <c r="C26" s="60"/>
      <c r="D26" s="60"/>
      <c r="E26" s="60"/>
      <c r="F26" s="60"/>
      <c r="G26" s="60"/>
      <c r="H26" s="60"/>
      <c r="I26" s="60"/>
    </row>
  </sheetData>
  <sheetProtection sheet="true" password="ef11" formatCells="false" formatColumns="false" formatRows="false"/>
  <mergeCells count="9">
    <mergeCell ref="G5:I5"/>
    <mergeCell ref="A17:I17"/>
    <mergeCell ref="A18:I18"/>
    <mergeCell ref="A19:I19"/>
    <mergeCell ref="A20:I20"/>
    <mergeCell ref="A21:I21"/>
    <mergeCell ref="A22:I22"/>
    <mergeCell ref="A23:I23"/>
    <mergeCell ref="A26: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16" min="2" style="1" width="12"/>
    <col collapsed="false" customWidth="true" hidden="false" outlineLevel="0" max="18" min="18" style="1" width="60"/>
  </cols>
  <sheetData>
    <row r="1" customFormat="false" ht="17.35" hidden="false" customHeight="false" outlineLevel="0" collapsed="false">
      <c r="A1" s="2" t="s">
        <v>737</v>
      </c>
      <c r="B1" s="3"/>
      <c r="C1" s="3"/>
      <c r="D1" s="3"/>
      <c r="E1" s="3"/>
      <c r="F1" s="3"/>
      <c r="G1" s="3"/>
      <c r="H1" s="3"/>
      <c r="I1" s="3"/>
      <c r="J1" s="3"/>
      <c r="K1" s="3"/>
      <c r="L1" s="3"/>
      <c r="M1" s="3"/>
      <c r="N1" s="3"/>
      <c r="O1" s="3"/>
      <c r="P1" s="3"/>
      <c r="Q1" s="3"/>
      <c r="R1" s="3"/>
    </row>
    <row r="2" customFormat="false" ht="15" hidden="false" customHeight="false" outlineLevel="0" collapsed="false">
      <c r="A2" s="4" t="s">
        <v>738</v>
      </c>
      <c r="B2" s="3"/>
      <c r="C2" s="3"/>
      <c r="D2" s="3"/>
      <c r="E2" s="3"/>
      <c r="F2" s="3"/>
      <c r="G2" s="3"/>
      <c r="H2" s="3"/>
      <c r="I2" s="3"/>
      <c r="J2" s="3"/>
      <c r="K2" s="3"/>
      <c r="L2" s="3"/>
      <c r="M2" s="3"/>
      <c r="N2" s="3"/>
      <c r="O2" s="3"/>
      <c r="P2" s="3"/>
      <c r="Q2" s="3"/>
      <c r="R2" s="3"/>
    </row>
    <row r="3" customFormat="false" ht="15" hidden="false" customHeight="false" outlineLevel="0" collapsed="false">
      <c r="A3" s="3"/>
      <c r="B3" s="3"/>
      <c r="C3" s="3"/>
      <c r="D3" s="3"/>
      <c r="E3" s="3"/>
      <c r="F3" s="3"/>
      <c r="G3" s="3"/>
      <c r="H3" s="3"/>
      <c r="I3" s="3"/>
      <c r="J3" s="3"/>
      <c r="K3" s="3"/>
      <c r="L3" s="3"/>
      <c r="M3" s="3"/>
      <c r="N3" s="3"/>
      <c r="O3" s="3"/>
      <c r="P3" s="3"/>
      <c r="Q3" s="3"/>
      <c r="R3" s="3"/>
    </row>
    <row r="4" customFormat="false" ht="15" hidden="false" customHeight="false" outlineLevel="0" collapsed="false">
      <c r="A4" s="5" t="s">
        <v>618</v>
      </c>
      <c r="B4" s="6"/>
      <c r="C4" s="6"/>
      <c r="D4" s="6"/>
      <c r="E4" s="6"/>
      <c r="F4" s="6"/>
      <c r="G4" s="6"/>
      <c r="H4" s="6"/>
      <c r="I4" s="6"/>
      <c r="J4" s="6"/>
      <c r="K4" s="6"/>
      <c r="L4" s="6"/>
      <c r="M4" s="6"/>
      <c r="N4" s="6"/>
      <c r="O4" s="6"/>
      <c r="P4" s="6"/>
      <c r="Q4" s="3"/>
      <c r="R4" s="6"/>
    </row>
    <row r="5" customFormat="false" ht="15" hidden="false" customHeight="false" outlineLevel="0" collapsed="false">
      <c r="A5" s="8" t="s">
        <v>739</v>
      </c>
      <c r="B5" s="3"/>
      <c r="C5" s="3"/>
      <c r="D5" s="3"/>
      <c r="E5" s="8" t="s">
        <v>740</v>
      </c>
      <c r="F5" s="3"/>
      <c r="G5" s="3"/>
      <c r="H5" s="3"/>
      <c r="I5" s="8" t="s">
        <v>741</v>
      </c>
      <c r="J5" s="3"/>
      <c r="K5" s="3"/>
      <c r="L5" s="3"/>
      <c r="M5" s="8" t="s">
        <v>742</v>
      </c>
      <c r="N5" s="3"/>
      <c r="O5" s="3"/>
      <c r="P5" s="3"/>
      <c r="Q5" s="3"/>
      <c r="R5" s="3"/>
    </row>
    <row r="6" customFormat="false" ht="15" hidden="false" customHeight="false" outlineLevel="0" collapsed="false">
      <c r="A6" s="45" t="n">
        <f aca="false">Assumptions!$B$39</f>
        <v>10</v>
      </c>
      <c r="B6" s="3"/>
      <c r="C6" s="3"/>
      <c r="D6" s="3"/>
      <c r="E6" s="47" t="n">
        <f aca="false">INDEX(B16:P16,Assumptions!$B$39)</f>
        <v>5168218.95382355</v>
      </c>
      <c r="F6" s="3"/>
      <c r="G6" s="3"/>
      <c r="H6" s="3"/>
      <c r="I6" s="47" t="n">
        <f aca="false">INDEX(B21:P21,Assumptions!$B$39)</f>
        <v>1033643.79076471</v>
      </c>
      <c r="J6" s="3"/>
      <c r="K6" s="3"/>
      <c r="L6" s="3"/>
      <c r="M6" s="47" t="n">
        <f aca="false">INDEX(B22:P22,Assumptions!$B$39)</f>
        <v>4134575.16305884</v>
      </c>
      <c r="N6" s="3"/>
      <c r="O6" s="3"/>
      <c r="P6" s="3"/>
      <c r="Q6" s="3"/>
      <c r="R6" s="3"/>
    </row>
    <row r="7" customFormat="false" ht="15" hidden="false" customHeight="false" outlineLevel="0" collapsed="false">
      <c r="A7" s="8" t="s">
        <v>743</v>
      </c>
      <c r="B7" s="3"/>
      <c r="C7" s="3"/>
      <c r="D7" s="3"/>
      <c r="E7" s="8" t="s">
        <v>744</v>
      </c>
      <c r="F7" s="3"/>
      <c r="G7" s="3"/>
      <c r="H7" s="3"/>
      <c r="I7" s="8" t="s">
        <v>745</v>
      </c>
      <c r="J7" s="3"/>
      <c r="K7" s="3"/>
      <c r="L7" s="3"/>
      <c r="M7" s="8" t="s">
        <v>746</v>
      </c>
      <c r="N7" s="3"/>
      <c r="O7" s="3"/>
      <c r="P7" s="3"/>
      <c r="Q7" s="3"/>
      <c r="R7" s="3"/>
    </row>
    <row r="8" customFormat="false" ht="15" hidden="false" customHeight="false" outlineLevel="0" collapsed="false">
      <c r="A8" s="47" t="n">
        <f aca="false">INDEX(B24:P24,Assumptions!$B$39)</f>
        <v>30000</v>
      </c>
      <c r="B8" s="3"/>
      <c r="C8" s="3"/>
      <c r="D8" s="3"/>
      <c r="E8" s="47" t="n">
        <f aca="false">INDEX(B25:P25,Assumptions!$B$39)</f>
        <v>240975</v>
      </c>
      <c r="F8" s="3"/>
      <c r="G8" s="3"/>
      <c r="H8" s="3"/>
      <c r="I8" s="47" t="n">
        <f aca="false">INDEX(B26:P26,Assumptions!$B$39)</f>
        <v>4897243.95382355</v>
      </c>
      <c r="J8" s="3"/>
      <c r="K8" s="3"/>
      <c r="L8" s="3"/>
      <c r="M8" s="47" t="n">
        <f aca="false">INDEX(B28:P28,Assumptions!$B$39)</f>
        <v>762668.790764709</v>
      </c>
      <c r="N8" s="3"/>
      <c r="O8" s="3"/>
      <c r="P8" s="3"/>
      <c r="Q8" s="3"/>
      <c r="R8" s="3"/>
    </row>
    <row r="9" customFormat="false" ht="15" hidden="false" customHeight="false" outlineLevel="0" collapsed="false">
      <c r="A9" s="3"/>
      <c r="B9" s="3"/>
      <c r="C9" s="3"/>
      <c r="D9" s="3"/>
      <c r="E9" s="3"/>
      <c r="F9" s="3"/>
      <c r="G9" s="3"/>
      <c r="H9" s="3"/>
      <c r="I9" s="3"/>
      <c r="J9" s="3"/>
      <c r="K9" s="3"/>
      <c r="L9" s="3"/>
      <c r="M9" s="3"/>
      <c r="N9" s="3"/>
      <c r="O9" s="3"/>
      <c r="P9" s="3"/>
      <c r="Q9" s="3"/>
      <c r="R9" s="3"/>
    </row>
    <row r="10" customFormat="false" ht="15" hidden="false" customHeight="false" outlineLevel="0" collapsed="false">
      <c r="A10" s="41" t="s">
        <v>747</v>
      </c>
      <c r="B10" s="3"/>
      <c r="C10" s="3"/>
      <c r="D10" s="3"/>
      <c r="E10" s="3"/>
      <c r="F10" s="3"/>
      <c r="G10" s="3"/>
      <c r="H10" s="3"/>
      <c r="I10" s="3"/>
      <c r="J10" s="3"/>
      <c r="K10" s="3"/>
      <c r="L10" s="3"/>
      <c r="M10" s="3"/>
      <c r="N10" s="3"/>
      <c r="O10" s="3"/>
      <c r="P10" s="3"/>
      <c r="Q10" s="3"/>
      <c r="R10" s="3"/>
    </row>
    <row r="11" customFormat="false" ht="15" hidden="false" customHeight="false" outlineLevel="0" collapsed="false">
      <c r="A11" s="3"/>
      <c r="B11" s="3"/>
      <c r="C11" s="3"/>
      <c r="D11" s="3"/>
      <c r="E11" s="3"/>
      <c r="F11" s="3"/>
      <c r="G11" s="3"/>
      <c r="H11" s="3"/>
      <c r="I11" s="3"/>
      <c r="J11" s="3"/>
      <c r="K11" s="3"/>
      <c r="L11" s="3"/>
      <c r="M11" s="3"/>
      <c r="N11" s="3"/>
      <c r="O11" s="3"/>
      <c r="P11" s="3"/>
      <c r="Q11" s="3"/>
      <c r="R11" s="3"/>
    </row>
    <row r="12" customFormat="false" ht="15" hidden="false" customHeight="false" outlineLevel="0" collapsed="false">
      <c r="A12" s="3"/>
      <c r="B12" s="3"/>
      <c r="C12" s="3"/>
      <c r="D12" s="3"/>
      <c r="E12" s="3"/>
      <c r="F12" s="3"/>
      <c r="G12" s="3"/>
      <c r="H12" s="3"/>
      <c r="I12" s="3"/>
      <c r="J12" s="3"/>
      <c r="K12" s="3"/>
      <c r="L12" s="3"/>
      <c r="M12" s="3"/>
      <c r="N12" s="3"/>
      <c r="O12" s="3"/>
      <c r="P12" s="3"/>
      <c r="Q12" s="3"/>
      <c r="R12" s="3"/>
    </row>
    <row r="13" customFormat="false" ht="15" hidden="false" customHeight="false" outlineLevel="0" collapsed="false">
      <c r="A13" s="18" t="s">
        <v>632</v>
      </c>
      <c r="B13" s="19" t="n">
        <v>1</v>
      </c>
      <c r="C13" s="19" t="n">
        <v>2</v>
      </c>
      <c r="D13" s="19" t="n">
        <v>3</v>
      </c>
      <c r="E13" s="19" t="n">
        <v>4</v>
      </c>
      <c r="F13" s="19" t="n">
        <v>5</v>
      </c>
      <c r="G13" s="19" t="n">
        <v>6</v>
      </c>
      <c r="H13" s="19" t="n">
        <v>7</v>
      </c>
      <c r="I13" s="19" t="n">
        <v>8</v>
      </c>
      <c r="J13" s="19" t="n">
        <v>9</v>
      </c>
      <c r="K13" s="19" t="n">
        <v>10</v>
      </c>
      <c r="L13" s="19" t="n">
        <v>11</v>
      </c>
      <c r="M13" s="19" t="n">
        <v>12</v>
      </c>
      <c r="N13" s="19" t="n">
        <v>13</v>
      </c>
      <c r="O13" s="19" t="n">
        <v>14</v>
      </c>
      <c r="P13" s="19" t="n">
        <v>15</v>
      </c>
      <c r="Q13" s="3"/>
      <c r="R13" s="18" t="s">
        <v>490</v>
      </c>
    </row>
    <row r="14" customFormat="false" ht="15" hidden="false" customHeight="false" outlineLevel="0" collapsed="false">
      <c r="A14" s="5" t="s">
        <v>748</v>
      </c>
      <c r="B14" s="6"/>
      <c r="C14" s="6"/>
      <c r="D14" s="6"/>
      <c r="E14" s="6"/>
      <c r="F14" s="6"/>
      <c r="G14" s="6"/>
      <c r="H14" s="6"/>
      <c r="I14" s="6"/>
      <c r="J14" s="6"/>
      <c r="K14" s="6"/>
      <c r="L14" s="6"/>
      <c r="M14" s="6"/>
      <c r="N14" s="6"/>
      <c r="O14" s="6"/>
      <c r="P14" s="6"/>
      <c r="Q14" s="3"/>
      <c r="R14" s="6"/>
    </row>
    <row r="15" customFormat="false" ht="15" hidden="false" customHeight="false" outlineLevel="0" collapsed="false">
      <c r="A15" s="20" t="s">
        <v>749</v>
      </c>
      <c r="B15" s="17" t="n">
        <f aca="false">'Long range 15-yr'!B36</f>
        <v>1107883.476</v>
      </c>
      <c r="C15" s="17" t="n">
        <f aca="false">'Long range 15-yr'!C36</f>
        <v>1130224.27392</v>
      </c>
      <c r="D15" s="17" t="n">
        <f aca="false">'Long range 15-yr'!D36</f>
        <v>1470581.13731659</v>
      </c>
      <c r="E15" s="17" t="n">
        <f aca="false">'Long range 15-yr'!E36</f>
        <v>2128361.5241759</v>
      </c>
      <c r="F15" s="17" t="n">
        <f aca="false">'Long range 15-yr'!F36</f>
        <v>2531696.60117519</v>
      </c>
      <c r="G15" s="17" t="n">
        <f aca="false">'Long range 15-yr'!G36</f>
        <v>2960567.60023987</v>
      </c>
      <c r="H15" s="17" t="n">
        <f aca="false">'Long range 15-yr'!H36</f>
        <v>3415973.30476096</v>
      </c>
      <c r="I15" s="17" t="n">
        <f aca="false">'Long range 15-yr'!I36</f>
        <v>3898958.3702101</v>
      </c>
      <c r="J15" s="17" t="n">
        <f aca="false">'Long range 15-yr'!J36</f>
        <v>4410614.70976327</v>
      </c>
      <c r="K15" s="17" t="n">
        <f aca="false">'Long range 15-yr'!K36</f>
        <v>4952082.94628947</v>
      </c>
      <c r="L15" s="17" t="n">
        <f aca="false">'Long range 15-yr'!L36</f>
        <v>5524553.93215493</v>
      </c>
      <c r="M15" s="17" t="n">
        <f aca="false">'Long range 15-yr'!M36</f>
        <v>6129270.33838766</v>
      </c>
      <c r="N15" s="17" t="n">
        <f aca="false">'Long range 15-yr'!N36</f>
        <v>6767528.314843</v>
      </c>
      <c r="O15" s="17" t="n">
        <f aca="false">'Long range 15-yr'!O36</f>
        <v>7045784.99129078</v>
      </c>
      <c r="P15" s="17" t="n">
        <f aca="false">'Long range 15-yr'!P36</f>
        <v>7328447.27269707</v>
      </c>
      <c r="Q15" s="3"/>
      <c r="R15" s="3"/>
    </row>
    <row r="16" customFormat="false" ht="15" hidden="false" customHeight="false" outlineLevel="0" collapsed="false">
      <c r="A16" s="18" t="s">
        <v>750</v>
      </c>
      <c r="B16" s="24" t="n">
        <f aca="false">'Buyout &amp; exit'!B23</f>
        <v>737130.151233105</v>
      </c>
      <c r="C16" s="24" t="n">
        <f aca="false">'Buyout &amp; exit'!C23</f>
        <v>793606.669249441</v>
      </c>
      <c r="D16" s="24" t="n">
        <f aca="false">'Buyout &amp; exit'!D23</f>
        <v>973791.845154872</v>
      </c>
      <c r="E16" s="24" t="n">
        <f aca="false">'Buyout &amp; exit'!E23</f>
        <v>1704841.10205784</v>
      </c>
      <c r="F16" s="24" t="n">
        <f aca="false">'Buyout &amp; exit'!F23</f>
        <v>1781926.25021217</v>
      </c>
      <c r="G16" s="24" t="n">
        <f aca="false">'Buyout &amp; exit'!G23</f>
        <v>2078739.72158601</v>
      </c>
      <c r="H16" s="24" t="n">
        <f aca="false">'Buyout &amp; exit'!H23</f>
        <v>2788865.52166945</v>
      </c>
      <c r="I16" s="24" t="n">
        <f aca="false">'Buyout &amp; exit'!I23</f>
        <v>3584726.63004211</v>
      </c>
      <c r="J16" s="24" t="n">
        <f aca="false">'Buyout &amp; exit'!J23</f>
        <v>4191175.85367095</v>
      </c>
      <c r="K16" s="24" t="n">
        <f aca="false">'Buyout &amp; exit'!K23</f>
        <v>5168218.95382355</v>
      </c>
      <c r="L16" s="24" t="n">
        <f aca="false">'Buyout &amp; exit'!L23</f>
        <v>8245690.54355842</v>
      </c>
      <c r="M16" s="24" t="n">
        <f aca="false">'Buyout &amp; exit'!M23</f>
        <v>9739722.17619467</v>
      </c>
      <c r="N16" s="24" t="n">
        <f aca="false">'Buyout &amp; exit'!N23</f>
        <v>11353079.965143</v>
      </c>
      <c r="O16" s="24" t="n">
        <f aca="false">'Buyout &amp; exit'!O23</f>
        <v>12401842.2665323</v>
      </c>
      <c r="P16" s="24" t="n">
        <f aca="false">'Buyout &amp; exit'!P23</f>
        <v>13454921.9845546</v>
      </c>
      <c r="Q16" s="3"/>
      <c r="R16" s="3"/>
    </row>
    <row r="17" customFormat="false" ht="15" hidden="false" customHeight="false" outlineLevel="0" collapsed="false">
      <c r="A17" s="43" t="s">
        <v>751</v>
      </c>
      <c r="B17" s="44"/>
      <c r="C17" s="44"/>
      <c r="D17" s="44"/>
      <c r="E17" s="44"/>
      <c r="F17" s="44"/>
      <c r="G17" s="44"/>
      <c r="H17" s="44"/>
      <c r="I17" s="44"/>
      <c r="J17" s="44"/>
      <c r="K17" s="44"/>
      <c r="L17" s="44"/>
      <c r="M17" s="44"/>
      <c r="N17" s="44"/>
      <c r="O17" s="44"/>
      <c r="P17" s="44"/>
      <c r="Q17" s="3"/>
      <c r="R17" s="44"/>
    </row>
    <row r="18" customFormat="false" ht="22.35" hidden="false" customHeight="false" outlineLevel="0" collapsed="false">
      <c r="A18" s="20" t="s">
        <v>752</v>
      </c>
      <c r="B18" s="17" t="n">
        <f aca="false">IF(1=Assumptions!$B$118,Assumptions!$B$116,0)</f>
        <v>0</v>
      </c>
      <c r="C18" s="17" t="n">
        <f aca="false">IF(2=Assumptions!$B$118,Assumptions!$B$116,0)</f>
        <v>300000</v>
      </c>
      <c r="D18" s="17" t="n">
        <f aca="false">IF(3=Assumptions!$B$118,Assumptions!$B$116,0)</f>
        <v>0</v>
      </c>
      <c r="E18" s="17" t="n">
        <f aca="false">IF(4=Assumptions!$B$118,Assumptions!$B$116,0)</f>
        <v>0</v>
      </c>
      <c r="F18" s="17" t="n">
        <f aca="false">IF(5=Assumptions!$B$118,Assumptions!$B$116,0)</f>
        <v>0</v>
      </c>
      <c r="G18" s="17" t="n">
        <f aca="false">IF(6=Assumptions!$B$118,Assumptions!$B$116,0)</f>
        <v>0</v>
      </c>
      <c r="H18" s="17" t="n">
        <f aca="false">IF(7=Assumptions!$B$118,Assumptions!$B$116,0)</f>
        <v>0</v>
      </c>
      <c r="I18" s="17" t="n">
        <f aca="false">IF(8=Assumptions!$B$118,Assumptions!$B$116,0)</f>
        <v>0</v>
      </c>
      <c r="J18" s="17" t="n">
        <f aca="false">IF(9=Assumptions!$B$118,Assumptions!$B$116,0)</f>
        <v>0</v>
      </c>
      <c r="K18" s="17" t="n">
        <f aca="false">IF(10=Assumptions!$B$118,Assumptions!$B$116,0)</f>
        <v>0</v>
      </c>
      <c r="L18" s="17" t="n">
        <f aca="false">IF(11=Assumptions!$B$118,Assumptions!$B$116,0)</f>
        <v>0</v>
      </c>
      <c r="M18" s="17" t="n">
        <f aca="false">IF(12=Assumptions!$B$118,Assumptions!$B$116,0)</f>
        <v>0</v>
      </c>
      <c r="N18" s="17" t="n">
        <f aca="false">IF(13=Assumptions!$B$118,Assumptions!$B$116,0)</f>
        <v>0</v>
      </c>
      <c r="O18" s="17" t="n">
        <f aca="false">IF(14=Assumptions!$B$118,Assumptions!$B$116,0)</f>
        <v>0</v>
      </c>
      <c r="P18" s="17" t="n">
        <f aca="false">IF(15=Assumptions!$B$118,Assumptions!$B$116,0)</f>
        <v>0</v>
      </c>
      <c r="Q18" s="3"/>
      <c r="R18" s="53" t="s">
        <v>753</v>
      </c>
    </row>
    <row r="19" customFormat="false" ht="43.25" hidden="false" customHeight="false" outlineLevel="0" collapsed="false">
      <c r="A19" s="20" t="s">
        <v>754</v>
      </c>
      <c r="B19" s="17" t="n">
        <f aca="false">IF(1&lt;Assumptions!$B$118,0,Assumptions!$B$116*(1+Assumptions!$B$119)^(1-Assumptions!$B$118+1))</f>
        <v>0</v>
      </c>
      <c r="C19" s="17" t="n">
        <f aca="false">IF(2&lt;Assumptions!$B$118,0,Assumptions!$B$116*(1+Assumptions!$B$119)^(2-Assumptions!$B$118+1))</f>
        <v>324000</v>
      </c>
      <c r="D19" s="17" t="n">
        <f aca="false">IF(3&lt;Assumptions!$B$118,0,Assumptions!$B$116*(1+Assumptions!$B$119)^(3-Assumptions!$B$118+1))</f>
        <v>349920</v>
      </c>
      <c r="E19" s="17" t="n">
        <f aca="false">IF(4&lt;Assumptions!$B$118,0,Assumptions!$B$116*(1+Assumptions!$B$119)^(4-Assumptions!$B$118+1))</f>
        <v>377913.6</v>
      </c>
      <c r="F19" s="17" t="n">
        <f aca="false">IF(5&lt;Assumptions!$B$118,0,Assumptions!$B$116*(1+Assumptions!$B$119)^(5-Assumptions!$B$118+1))</f>
        <v>408146.688</v>
      </c>
      <c r="G19" s="17" t="n">
        <f aca="false">IF(6&lt;Assumptions!$B$118,0,Assumptions!$B$116*(1+Assumptions!$B$119)^(6-Assumptions!$B$118+1))</f>
        <v>440798.42304</v>
      </c>
      <c r="H19" s="17" t="n">
        <f aca="false">IF(7&lt;Assumptions!$B$118,0,Assumptions!$B$116*(1+Assumptions!$B$119)^(7-Assumptions!$B$118+1))</f>
        <v>476062.2968832</v>
      </c>
      <c r="I19" s="17" t="n">
        <f aca="false">IF(8&lt;Assumptions!$B$118,0,Assumptions!$B$116*(1+Assumptions!$B$119)^(8-Assumptions!$B$118+1))</f>
        <v>514147.280633856</v>
      </c>
      <c r="J19" s="17" t="n">
        <f aca="false">IF(9&lt;Assumptions!$B$118,0,Assumptions!$B$116*(1+Assumptions!$B$119)^(9-Assumptions!$B$118+1))</f>
        <v>555279.063084565</v>
      </c>
      <c r="K19" s="17" t="n">
        <f aca="false">IF(10&lt;Assumptions!$B$118,0,Assumptions!$B$116*(1+Assumptions!$B$119)^(10-Assumptions!$B$118+1))</f>
        <v>599701.38813133</v>
      </c>
      <c r="L19" s="17" t="n">
        <f aca="false">IF(11&lt;Assumptions!$B$118,0,Assumptions!$B$116*(1+Assumptions!$B$119)^(11-Assumptions!$B$118+1))</f>
        <v>647677.499181837</v>
      </c>
      <c r="M19" s="17" t="n">
        <f aca="false">IF(12&lt;Assumptions!$B$118,0,Assumptions!$B$116*(1+Assumptions!$B$119)^(12-Assumptions!$B$118+1))</f>
        <v>699491.699116383</v>
      </c>
      <c r="N19" s="17" t="n">
        <f aca="false">IF(13&lt;Assumptions!$B$118,0,Assumptions!$B$116*(1+Assumptions!$B$119)^(13-Assumptions!$B$118+1))</f>
        <v>755451.035045694</v>
      </c>
      <c r="O19" s="17" t="n">
        <f aca="false">IF(14&lt;Assumptions!$B$118,0,Assumptions!$B$116*(1+Assumptions!$B$119)^(14-Assumptions!$B$118+1))</f>
        <v>815887.11784935</v>
      </c>
      <c r="P19" s="17" t="n">
        <f aca="false">IF(15&lt;Assumptions!$B$118,0,Assumptions!$B$116*(1+Assumptions!$B$119)^(15-Assumptions!$B$118+1))</f>
        <v>881158.087277298</v>
      </c>
      <c r="Q19" s="3"/>
      <c r="R19" s="53" t="s">
        <v>755</v>
      </c>
    </row>
    <row r="20" customFormat="false" ht="15" hidden="false" customHeight="false" outlineLevel="0" collapsed="false">
      <c r="A20" s="20" t="s">
        <v>756</v>
      </c>
      <c r="B20" s="17" t="n">
        <f aca="false">IF(OR(Assumptions!$B$116=0,1&lt;Assumptions!$B$118),0,B16*Assumptions!$B$117)</f>
        <v>0</v>
      </c>
      <c r="C20" s="17" t="n">
        <f aca="false">IF(OR(Assumptions!$B$116=0,2&lt;Assumptions!$B$118),0,C16*Assumptions!$B$117)</f>
        <v>158721.333849888</v>
      </c>
      <c r="D20" s="17" t="n">
        <f aca="false">IF(OR(Assumptions!$B$116=0,3&lt;Assumptions!$B$118),0,D16*Assumptions!$B$117)</f>
        <v>194758.369030974</v>
      </c>
      <c r="E20" s="17" t="n">
        <f aca="false">IF(OR(Assumptions!$B$116=0,4&lt;Assumptions!$B$118),0,E16*Assumptions!$B$117)</f>
        <v>340968.220411569</v>
      </c>
      <c r="F20" s="17" t="n">
        <f aca="false">IF(OR(Assumptions!$B$116=0,5&lt;Assumptions!$B$118),0,F16*Assumptions!$B$117)</f>
        <v>356385.250042434</v>
      </c>
      <c r="G20" s="17" t="n">
        <f aca="false">IF(OR(Assumptions!$B$116=0,6&lt;Assumptions!$B$118),0,G16*Assumptions!$B$117)</f>
        <v>415747.944317203</v>
      </c>
      <c r="H20" s="17" t="n">
        <f aca="false">IF(OR(Assumptions!$B$116=0,7&lt;Assumptions!$B$118),0,H16*Assumptions!$B$117)</f>
        <v>557773.10433389</v>
      </c>
      <c r="I20" s="17" t="n">
        <f aca="false">IF(OR(Assumptions!$B$116=0,8&lt;Assumptions!$B$118),0,I16*Assumptions!$B$117)</f>
        <v>716945.326008422</v>
      </c>
      <c r="J20" s="17" t="n">
        <f aca="false">IF(OR(Assumptions!$B$116=0,9&lt;Assumptions!$B$118),0,J16*Assumptions!$B$117)</f>
        <v>838235.17073419</v>
      </c>
      <c r="K20" s="17" t="n">
        <f aca="false">IF(OR(Assumptions!$B$116=0,10&lt;Assumptions!$B$118),0,K16*Assumptions!$B$117)</f>
        <v>1033643.79076471</v>
      </c>
      <c r="L20" s="17" t="n">
        <f aca="false">IF(OR(Assumptions!$B$116=0,11&lt;Assumptions!$B$118),0,L16*Assumptions!$B$117)</f>
        <v>1649138.10871168</v>
      </c>
      <c r="M20" s="17" t="n">
        <f aca="false">IF(OR(Assumptions!$B$116=0,12&lt;Assumptions!$B$118),0,M16*Assumptions!$B$117)</f>
        <v>1947944.43523893</v>
      </c>
      <c r="N20" s="17" t="n">
        <f aca="false">IF(OR(Assumptions!$B$116=0,13&lt;Assumptions!$B$118),0,N16*Assumptions!$B$117)</f>
        <v>2270615.9930286</v>
      </c>
      <c r="O20" s="17" t="n">
        <f aca="false">IF(OR(Assumptions!$B$116=0,14&lt;Assumptions!$B$118),0,O16*Assumptions!$B$117)</f>
        <v>2480368.45330646</v>
      </c>
      <c r="P20" s="17" t="n">
        <f aca="false">IF(OR(Assumptions!$B$116=0,15&lt;Assumptions!$B$118),0,P16*Assumptions!$B$117)</f>
        <v>2690984.39691093</v>
      </c>
      <c r="Q20" s="3"/>
      <c r="R20" s="3"/>
    </row>
    <row r="21" customFormat="false" ht="15" hidden="false" customHeight="false" outlineLevel="0" collapsed="false">
      <c r="A21" s="18" t="s">
        <v>757</v>
      </c>
      <c r="B21" s="24" t="n">
        <f aca="false">MAX(B19,B20)</f>
        <v>0</v>
      </c>
      <c r="C21" s="24" t="n">
        <f aca="false">MAX(C19,C20)</f>
        <v>324000</v>
      </c>
      <c r="D21" s="24" t="n">
        <f aca="false">MAX(D19,D20)</f>
        <v>349920</v>
      </c>
      <c r="E21" s="24" t="n">
        <f aca="false">MAX(E19,E20)</f>
        <v>377913.6</v>
      </c>
      <c r="F21" s="24" t="n">
        <f aca="false">MAX(F19,F20)</f>
        <v>408146.688</v>
      </c>
      <c r="G21" s="24" t="n">
        <f aca="false">MAX(G19,G20)</f>
        <v>440798.42304</v>
      </c>
      <c r="H21" s="24" t="n">
        <f aca="false">MAX(H19,H20)</f>
        <v>557773.10433389</v>
      </c>
      <c r="I21" s="24" t="n">
        <f aca="false">MAX(I19,I20)</f>
        <v>716945.326008422</v>
      </c>
      <c r="J21" s="24" t="n">
        <f aca="false">MAX(J19,J20)</f>
        <v>838235.17073419</v>
      </c>
      <c r="K21" s="24" t="n">
        <f aca="false">MAX(K19,K20)</f>
        <v>1033643.79076471</v>
      </c>
      <c r="L21" s="24" t="n">
        <f aca="false">MAX(L19,L20)</f>
        <v>1649138.10871168</v>
      </c>
      <c r="M21" s="24" t="n">
        <f aca="false">MAX(M19,M20)</f>
        <v>1947944.43523893</v>
      </c>
      <c r="N21" s="24" t="n">
        <f aca="false">MAX(N19,N20)</f>
        <v>2270615.9930286</v>
      </c>
      <c r="O21" s="24" t="n">
        <f aca="false">MAX(O19,O20)</f>
        <v>2480368.45330646</v>
      </c>
      <c r="P21" s="24" t="n">
        <f aca="false">MAX(P19,P20)</f>
        <v>2690984.39691093</v>
      </c>
      <c r="Q21" s="3"/>
      <c r="R21" s="3"/>
    </row>
    <row r="22" customFormat="false" ht="15" hidden="false" customHeight="false" outlineLevel="0" collapsed="false">
      <c r="A22" s="18" t="s">
        <v>758</v>
      </c>
      <c r="B22" s="24" t="n">
        <f aca="false">B16-B21</f>
        <v>737130.151233105</v>
      </c>
      <c r="C22" s="24" t="n">
        <f aca="false">C16-C21</f>
        <v>469606.669249441</v>
      </c>
      <c r="D22" s="24" t="n">
        <f aca="false">D16-D21</f>
        <v>623871.845154872</v>
      </c>
      <c r="E22" s="24" t="n">
        <f aca="false">E16-E21</f>
        <v>1326927.50205784</v>
      </c>
      <c r="F22" s="24" t="n">
        <f aca="false">F16-F21</f>
        <v>1373779.56221217</v>
      </c>
      <c r="G22" s="24" t="n">
        <f aca="false">G16-G21</f>
        <v>1637941.29854601</v>
      </c>
      <c r="H22" s="24" t="n">
        <f aca="false">H16-H21</f>
        <v>2231092.41733556</v>
      </c>
      <c r="I22" s="24" t="n">
        <f aca="false">I16-I21</f>
        <v>2867781.30403369</v>
      </c>
      <c r="J22" s="24" t="n">
        <f aca="false">J16-J21</f>
        <v>3352940.68293676</v>
      </c>
      <c r="K22" s="24" t="n">
        <f aca="false">K16-K21</f>
        <v>4134575.16305884</v>
      </c>
      <c r="L22" s="24" t="n">
        <f aca="false">L16-L21</f>
        <v>6596552.43484673</v>
      </c>
      <c r="M22" s="24" t="n">
        <f aca="false">M16-M21</f>
        <v>7791777.74095574</v>
      </c>
      <c r="N22" s="24" t="n">
        <f aca="false">N16-N21</f>
        <v>9082463.97211441</v>
      </c>
      <c r="O22" s="24" t="n">
        <f aca="false">O16-O21</f>
        <v>9921473.81322586</v>
      </c>
      <c r="P22" s="24" t="n">
        <f aca="false">P16-P21</f>
        <v>10763937.5876437</v>
      </c>
      <c r="Q22" s="3"/>
      <c r="R22" s="3"/>
    </row>
    <row r="23" customFormat="false" ht="15" hidden="false" customHeight="false" outlineLevel="0" collapsed="false">
      <c r="A23" s="5" t="s">
        <v>759</v>
      </c>
      <c r="B23" s="6"/>
      <c r="C23" s="6"/>
      <c r="D23" s="6"/>
      <c r="E23" s="6"/>
      <c r="F23" s="6"/>
      <c r="G23" s="6"/>
      <c r="H23" s="6"/>
      <c r="I23" s="6"/>
      <c r="J23" s="6"/>
      <c r="K23" s="6"/>
      <c r="L23" s="6"/>
      <c r="M23" s="6"/>
      <c r="N23" s="6"/>
      <c r="O23" s="6"/>
      <c r="P23" s="6"/>
      <c r="Q23" s="3"/>
      <c r="R23" s="6"/>
    </row>
    <row r="24" customFormat="false" ht="32.8" hidden="false" customHeight="false" outlineLevel="0" collapsed="false">
      <c r="A24" s="20" t="s">
        <v>760</v>
      </c>
      <c r="B24" s="17" t="n">
        <f aca="false">IF(OR(Assumptions!$B$116=0,1&lt;Assumptions!$B$118),0,MAX(0,Assumptions!$B$116*(1-1/Assumptions!$B$112)))</f>
        <v>0</v>
      </c>
      <c r="C24" s="17" t="n">
        <f aca="false">IF(OR(Assumptions!$B$116=0,2&lt;Assumptions!$B$118),0,MAX(0,Assumptions!$B$116*(1-(2-Assumptions!$B$118+1)/Assumptions!$B$112)))</f>
        <v>270000</v>
      </c>
      <c r="D24" s="17" t="n">
        <f aca="false">IF(OR(Assumptions!$B$116=0,3&lt;Assumptions!$B$118),0,MAX(0,Assumptions!$B$116*(1-(3-Assumptions!$B$118+1)/Assumptions!$B$112)))</f>
        <v>240000</v>
      </c>
      <c r="E24" s="17" t="n">
        <f aca="false">IF(OR(Assumptions!$B$116=0,4&lt;Assumptions!$B$118),0,MAX(0,Assumptions!$B$116*(1-(4-Assumptions!$B$118+1)/Assumptions!$B$112)))</f>
        <v>210000</v>
      </c>
      <c r="F24" s="17" t="n">
        <f aca="false">IF(OR(Assumptions!$B$116=0,5&lt;Assumptions!$B$118),0,MAX(0,Assumptions!$B$116*(1-(5-Assumptions!$B$118+1)/Assumptions!$B$112)))</f>
        <v>180000</v>
      </c>
      <c r="G24" s="17" t="n">
        <f aca="false">IF(OR(Assumptions!$B$116=0,6&lt;Assumptions!$B$118),0,MAX(0,Assumptions!$B$116*(1-(6-Assumptions!$B$118+1)/Assumptions!$B$112)))</f>
        <v>150000</v>
      </c>
      <c r="H24" s="17" t="n">
        <f aca="false">IF(OR(Assumptions!$B$116=0,7&lt;Assumptions!$B$118),0,MAX(0,Assumptions!$B$116*(1-(7-Assumptions!$B$118+1)/Assumptions!$B$112)))</f>
        <v>120000</v>
      </c>
      <c r="I24" s="17" t="n">
        <f aca="false">IF(OR(Assumptions!$B$116=0,8&lt;Assumptions!$B$118),0,MAX(0,Assumptions!$B$116*(1-(8-Assumptions!$B$118+1)/Assumptions!$B$112)))</f>
        <v>90000</v>
      </c>
      <c r="J24" s="17" t="n">
        <f aca="false">IF(OR(Assumptions!$B$116=0,9&lt;Assumptions!$B$118),0,MAX(0,Assumptions!$B$116*(1-(9-Assumptions!$B$118+1)/Assumptions!$B$112)))</f>
        <v>60000</v>
      </c>
      <c r="K24" s="17" t="n">
        <f aca="false">IF(OR(Assumptions!$B$116=0,10&lt;Assumptions!$B$118),0,MAX(0,Assumptions!$B$116*(1-(10-Assumptions!$B$118+1)/Assumptions!$B$112)))</f>
        <v>30000</v>
      </c>
      <c r="L24" s="17" t="n">
        <f aca="false">IF(OR(Assumptions!$B$116=0,11&lt;Assumptions!$B$118),0,MAX(0,Assumptions!$B$116*(1-(11-Assumptions!$B$118+1)/Assumptions!$B$112)))</f>
        <v>0</v>
      </c>
      <c r="M24" s="17" t="n">
        <f aca="false">IF(OR(Assumptions!$B$116=0,12&lt;Assumptions!$B$118),0,MAX(0,Assumptions!$B$116*(1-(12-Assumptions!$B$118+1)/Assumptions!$B$112)))</f>
        <v>0</v>
      </c>
      <c r="N24" s="17" t="n">
        <f aca="false">IF(OR(Assumptions!$B$116=0,13&lt;Assumptions!$B$118),0,MAX(0,Assumptions!$B$116*(1-(13-Assumptions!$B$118+1)/Assumptions!$B$112)))</f>
        <v>0</v>
      </c>
      <c r="O24" s="17" t="n">
        <f aca="false">IF(OR(Assumptions!$B$116=0,14&lt;Assumptions!$B$118),0,MAX(0,Assumptions!$B$116*(1-(14-Assumptions!$B$118+1)/Assumptions!$B$112)))</f>
        <v>0</v>
      </c>
      <c r="P24" s="17" t="n">
        <f aca="false">IF(OR(Assumptions!$B$116=0,15&lt;Assumptions!$B$118),0,MAX(0,Assumptions!$B$116*(1-(15-Assumptions!$B$118+1)/Assumptions!$B$112)))</f>
        <v>0</v>
      </c>
      <c r="Q24" s="3"/>
      <c r="R24" s="53" t="s">
        <v>761</v>
      </c>
    </row>
    <row r="25" customFormat="false" ht="22.35" hidden="false" customHeight="false" outlineLevel="0" collapsed="false">
      <c r="A25" s="20" t="s">
        <v>762</v>
      </c>
      <c r="B25" s="17" t="n">
        <f aca="false">IF(OR(Assumptions!$B$116=0,1&lt;Assumptions!$B$118),0,Assumptions!$B$116*Assumptions!$B$111)</f>
        <v>0</v>
      </c>
      <c r="C25" s="17" t="n">
        <f aca="false">B25+IF(OR(Assumptions!$B$116=0,2&lt;Assumptions!$B$118),0,MAX(0,Assumptions!$B$116*(1-(1-Assumptions!$B$118)/Assumptions!$B$112))*Assumptions!$B$111)</f>
        <v>42075</v>
      </c>
      <c r="D25" s="17" t="n">
        <f aca="false">C25+IF(OR(Assumptions!$B$116=0,3&lt;Assumptions!$B$118),0,MAX(0,Assumptions!$B$116*(1-(2-Assumptions!$B$118)/Assumptions!$B$112))*Assumptions!$B$111)</f>
        <v>80325</v>
      </c>
      <c r="E25" s="17" t="n">
        <f aca="false">D25+IF(OR(Assumptions!$B$116=0,4&lt;Assumptions!$B$118),0,MAX(0,Assumptions!$B$116*(1-(3-Assumptions!$B$118)/Assumptions!$B$112))*Assumptions!$B$111)</f>
        <v>114750</v>
      </c>
      <c r="F25" s="17" t="n">
        <f aca="false">E25+IF(OR(Assumptions!$B$116=0,5&lt;Assumptions!$B$118),0,MAX(0,Assumptions!$B$116*(1-(4-Assumptions!$B$118)/Assumptions!$B$112))*Assumptions!$B$111)</f>
        <v>145350</v>
      </c>
      <c r="G25" s="17" t="n">
        <f aca="false">F25+IF(OR(Assumptions!$B$116=0,6&lt;Assumptions!$B$118),0,MAX(0,Assumptions!$B$116*(1-(5-Assumptions!$B$118)/Assumptions!$B$112))*Assumptions!$B$111)</f>
        <v>172125</v>
      </c>
      <c r="H25" s="17" t="n">
        <f aca="false">G25+IF(OR(Assumptions!$B$116=0,7&lt;Assumptions!$B$118),0,MAX(0,Assumptions!$B$116*(1-(6-Assumptions!$B$118)/Assumptions!$B$112))*Assumptions!$B$111)</f>
        <v>195075</v>
      </c>
      <c r="I25" s="17" t="n">
        <f aca="false">H25+IF(OR(Assumptions!$B$116=0,8&lt;Assumptions!$B$118),0,MAX(0,Assumptions!$B$116*(1-(7-Assumptions!$B$118)/Assumptions!$B$112))*Assumptions!$B$111)</f>
        <v>214200</v>
      </c>
      <c r="J25" s="17" t="n">
        <f aca="false">I25+IF(OR(Assumptions!$B$116=0,9&lt;Assumptions!$B$118),0,MAX(0,Assumptions!$B$116*(1-(8-Assumptions!$B$118)/Assumptions!$B$112))*Assumptions!$B$111)</f>
        <v>229500</v>
      </c>
      <c r="K25" s="17" t="n">
        <f aca="false">J25+IF(OR(Assumptions!$B$116=0,10&lt;Assumptions!$B$118),0,MAX(0,Assumptions!$B$116*(1-(9-Assumptions!$B$118)/Assumptions!$B$112))*Assumptions!$B$111)</f>
        <v>240975</v>
      </c>
      <c r="L25" s="17" t="n">
        <f aca="false">K25+IF(OR(Assumptions!$B$116=0,11&lt;Assumptions!$B$118),0,MAX(0,Assumptions!$B$116*(1-(10-Assumptions!$B$118)/Assumptions!$B$112))*Assumptions!$B$111)</f>
        <v>248625</v>
      </c>
      <c r="M25" s="17" t="n">
        <f aca="false">L25+IF(OR(Assumptions!$B$116=0,12&lt;Assumptions!$B$118),0,MAX(0,Assumptions!$B$116*(1-(11-Assumptions!$B$118)/Assumptions!$B$112))*Assumptions!$B$111)</f>
        <v>252450</v>
      </c>
      <c r="N25" s="17" t="n">
        <f aca="false">M25+IF(OR(Assumptions!$B$116=0,13&lt;Assumptions!$B$118),0,MAX(0,Assumptions!$B$116*(1-(12-Assumptions!$B$118)/Assumptions!$B$112))*Assumptions!$B$111)</f>
        <v>252450</v>
      </c>
      <c r="O25" s="17" t="n">
        <f aca="false">N25+IF(OR(Assumptions!$B$116=0,14&lt;Assumptions!$B$118),0,MAX(0,Assumptions!$B$116*(1-(13-Assumptions!$B$118)/Assumptions!$B$112))*Assumptions!$B$111)</f>
        <v>252450</v>
      </c>
      <c r="P25" s="17" t="n">
        <f aca="false">O25+IF(OR(Assumptions!$B$116=0,15&lt;Assumptions!$B$118),0,MAX(0,Assumptions!$B$116*(1-(14-Assumptions!$B$118)/Assumptions!$B$112))*Assumptions!$B$111)</f>
        <v>252450</v>
      </c>
      <c r="Q25" s="3"/>
      <c r="R25" s="53" t="s">
        <v>763</v>
      </c>
    </row>
    <row r="26" customFormat="false" ht="22.35" hidden="false" customHeight="false" outlineLevel="0" collapsed="false">
      <c r="A26" s="18" t="s">
        <v>764</v>
      </c>
      <c r="B26" s="24" t="n">
        <f aca="false">B16-B24-B25</f>
        <v>737130.151233105</v>
      </c>
      <c r="C26" s="24" t="n">
        <f aca="false">C16-C24-C25</f>
        <v>481531.669249441</v>
      </c>
      <c r="D26" s="24" t="n">
        <f aca="false">D16-D24-D25</f>
        <v>653466.845154872</v>
      </c>
      <c r="E26" s="24" t="n">
        <f aca="false">E16-E24-E25</f>
        <v>1380091.10205784</v>
      </c>
      <c r="F26" s="24" t="n">
        <f aca="false">F16-F24-F25</f>
        <v>1456576.25021217</v>
      </c>
      <c r="G26" s="24" t="n">
        <f aca="false">G16-G24-G25</f>
        <v>1756614.72158601</v>
      </c>
      <c r="H26" s="24" t="n">
        <f aca="false">H16-H24-H25</f>
        <v>2473790.52166945</v>
      </c>
      <c r="I26" s="24" t="n">
        <f aca="false">I16-I24-I25</f>
        <v>3280526.63004211</v>
      </c>
      <c r="J26" s="24" t="n">
        <f aca="false">J16-J24-J25</f>
        <v>3901675.85367095</v>
      </c>
      <c r="K26" s="24" t="n">
        <f aca="false">K16-K24-K25</f>
        <v>4897243.95382355</v>
      </c>
      <c r="L26" s="24" t="n">
        <f aca="false">L16-L24-L25</f>
        <v>7997065.54355842</v>
      </c>
      <c r="M26" s="24" t="n">
        <f aca="false">M16-M24-M25</f>
        <v>9487272.17619467</v>
      </c>
      <c r="N26" s="24" t="n">
        <f aca="false">N16-N24-N25</f>
        <v>11100629.965143</v>
      </c>
      <c r="O26" s="24" t="n">
        <f aca="false">O16-O24-O25</f>
        <v>12149392.2665323</v>
      </c>
      <c r="P26" s="24" t="n">
        <f aca="false">P16-P24-P25</f>
        <v>13202471.9845546</v>
      </c>
      <c r="Q26" s="3"/>
      <c r="R26" s="53" t="s">
        <v>765</v>
      </c>
    </row>
    <row r="27" customFormat="false" ht="15" hidden="false" customHeight="false" outlineLevel="0" collapsed="false">
      <c r="A27" s="43" t="s">
        <v>766</v>
      </c>
      <c r="B27" s="44"/>
      <c r="C27" s="44"/>
      <c r="D27" s="44"/>
      <c r="E27" s="44"/>
      <c r="F27" s="44"/>
      <c r="G27" s="44"/>
      <c r="H27" s="44"/>
      <c r="I27" s="44"/>
      <c r="J27" s="44"/>
      <c r="K27" s="44"/>
      <c r="L27" s="44"/>
      <c r="M27" s="44"/>
      <c r="N27" s="44"/>
      <c r="O27" s="44"/>
      <c r="P27" s="44"/>
      <c r="Q27" s="3"/>
      <c r="R27" s="44"/>
    </row>
    <row r="28" customFormat="false" ht="32.8" hidden="false" customHeight="false" outlineLevel="0" collapsed="false">
      <c r="A28" s="18" t="s">
        <v>767</v>
      </c>
      <c r="B28" s="24" t="n">
        <f aca="false">B26-B22</f>
        <v>0</v>
      </c>
      <c r="C28" s="24" t="n">
        <f aca="false">C26-C22</f>
        <v>11925</v>
      </c>
      <c r="D28" s="24" t="n">
        <f aca="false">D26-D22</f>
        <v>29595</v>
      </c>
      <c r="E28" s="24" t="n">
        <f aca="false">E26-E22</f>
        <v>53163.6000000001</v>
      </c>
      <c r="F28" s="24" t="n">
        <f aca="false">F26-F22</f>
        <v>82796.6880000001</v>
      </c>
      <c r="G28" s="24" t="n">
        <f aca="false">G26-G22</f>
        <v>118673.42304</v>
      </c>
      <c r="H28" s="24" t="n">
        <f aca="false">H26-H22</f>
        <v>242698.10433389</v>
      </c>
      <c r="I28" s="24" t="n">
        <f aca="false">I26-I22</f>
        <v>412745.326008422</v>
      </c>
      <c r="J28" s="24" t="n">
        <f aca="false">J26-J22</f>
        <v>548735.17073419</v>
      </c>
      <c r="K28" s="24" t="n">
        <f aca="false">K26-K22</f>
        <v>762668.790764709</v>
      </c>
      <c r="L28" s="24" t="n">
        <f aca="false">L26-L22</f>
        <v>1400513.10871168</v>
      </c>
      <c r="M28" s="24" t="n">
        <f aca="false">M26-M22</f>
        <v>1695494.43523893</v>
      </c>
      <c r="N28" s="24" t="n">
        <f aca="false">N26-N22</f>
        <v>2018165.9930286</v>
      </c>
      <c r="O28" s="24" t="n">
        <f aca="false">O26-O22</f>
        <v>2227918.45330646</v>
      </c>
      <c r="P28" s="24" t="n">
        <f aca="false">P26-P22</f>
        <v>2438534.39691093</v>
      </c>
      <c r="Q28" s="3"/>
      <c r="R28" s="53" t="s">
        <v>768</v>
      </c>
    </row>
    <row r="29" customFormat="false" ht="32.8" hidden="false" customHeight="false" outlineLevel="0" collapsed="false">
      <c r="A29" s="20" t="s">
        <v>769</v>
      </c>
      <c r="B29" s="17" t="n">
        <f aca="false">IF(Assumptions!$B$117=0,0,(B24+B25)/Assumptions!$B$117)</f>
        <v>0</v>
      </c>
      <c r="C29" s="17" t="n">
        <f aca="false">IF(Assumptions!$B$117=0,0,(C24+C25)/Assumptions!$B$117)</f>
        <v>1560375</v>
      </c>
      <c r="D29" s="17" t="n">
        <f aca="false">IF(Assumptions!$B$117=0,0,(D24+D25)/Assumptions!$B$117)</f>
        <v>1601625</v>
      </c>
      <c r="E29" s="17" t="n">
        <f aca="false">IF(Assumptions!$B$117=0,0,(E24+E25)/Assumptions!$B$117)</f>
        <v>1623750</v>
      </c>
      <c r="F29" s="17" t="n">
        <f aca="false">IF(Assumptions!$B$117=0,0,(F24+F25)/Assumptions!$B$117)</f>
        <v>1626750</v>
      </c>
      <c r="G29" s="17" t="n">
        <f aca="false">IF(Assumptions!$B$117=0,0,(G24+G25)/Assumptions!$B$117)</f>
        <v>1610625</v>
      </c>
      <c r="H29" s="17" t="n">
        <f aca="false">IF(Assumptions!$B$117=0,0,(H24+H25)/Assumptions!$B$117)</f>
        <v>1575375</v>
      </c>
      <c r="I29" s="17" t="n">
        <f aca="false">IF(Assumptions!$B$117=0,0,(I24+I25)/Assumptions!$B$117)</f>
        <v>1521000</v>
      </c>
      <c r="J29" s="17" t="n">
        <f aca="false">IF(Assumptions!$B$117=0,0,(J24+J25)/Assumptions!$B$117)</f>
        <v>1447500</v>
      </c>
      <c r="K29" s="17" t="n">
        <f aca="false">IF(Assumptions!$B$117=0,0,(K24+K25)/Assumptions!$B$117)</f>
        <v>1354875</v>
      </c>
      <c r="L29" s="17" t="n">
        <f aca="false">IF(Assumptions!$B$117=0,0,(L24+L25)/Assumptions!$B$117)</f>
        <v>1243125</v>
      </c>
      <c r="M29" s="17" t="n">
        <f aca="false">IF(Assumptions!$B$117=0,0,(M24+M25)/Assumptions!$B$117)</f>
        <v>1262250</v>
      </c>
      <c r="N29" s="17" t="n">
        <f aca="false">IF(Assumptions!$B$117=0,0,(N24+N25)/Assumptions!$B$117)</f>
        <v>1262250</v>
      </c>
      <c r="O29" s="17" t="n">
        <f aca="false">IF(Assumptions!$B$117=0,0,(O24+O25)/Assumptions!$B$117)</f>
        <v>1262250</v>
      </c>
      <c r="P29" s="17" t="n">
        <f aca="false">IF(Assumptions!$B$117=0,0,(P24+P25)/Assumptions!$B$117)</f>
        <v>1262250</v>
      </c>
      <c r="Q29" s="3"/>
      <c r="R29" s="53" t="s">
        <v>770</v>
      </c>
    </row>
    <row r="30" customFormat="false" ht="15" hidden="false" customHeight="false" outlineLevel="0" collapsed="false">
      <c r="A30" s="3"/>
      <c r="B30" s="3"/>
      <c r="C30" s="3"/>
      <c r="D30" s="3"/>
      <c r="E30" s="3"/>
      <c r="F30" s="3"/>
      <c r="G30" s="3"/>
      <c r="H30" s="3"/>
      <c r="I30" s="3"/>
      <c r="J30" s="3"/>
      <c r="K30" s="3"/>
      <c r="L30" s="3"/>
      <c r="M30" s="3"/>
      <c r="N30" s="3"/>
      <c r="O30" s="3"/>
      <c r="P30" s="3"/>
      <c r="Q30" s="3"/>
      <c r="R30" s="3"/>
    </row>
    <row r="31" customFormat="false" ht="15" hidden="false" customHeight="false" outlineLevel="0" collapsed="false">
      <c r="A31" s="5" t="s">
        <v>771</v>
      </c>
      <c r="B31" s="6"/>
      <c r="C31" s="6"/>
      <c r="D31" s="6"/>
      <c r="E31" s="6"/>
      <c r="F31" s="6"/>
      <c r="G31" s="6"/>
      <c r="H31" s="6"/>
      <c r="I31" s="6"/>
      <c r="J31" s="6"/>
      <c r="K31" s="6"/>
      <c r="L31" s="6"/>
      <c r="M31" s="6"/>
      <c r="N31" s="6"/>
      <c r="O31" s="6"/>
      <c r="P31" s="6"/>
      <c r="Q31" s="3"/>
      <c r="R31" s="6"/>
    </row>
    <row r="32" customFormat="false" ht="57.75" hidden="false" customHeight="true" outlineLevel="0" collapsed="false">
      <c r="A32" s="33" t="s">
        <v>772</v>
      </c>
      <c r="B32" s="33"/>
      <c r="C32" s="33"/>
      <c r="D32" s="33"/>
      <c r="E32" s="33"/>
      <c r="F32" s="33"/>
      <c r="G32" s="33"/>
      <c r="H32" s="33"/>
      <c r="I32" s="33"/>
      <c r="J32" s="33"/>
      <c r="K32" s="33"/>
      <c r="L32" s="33"/>
      <c r="M32" s="33"/>
      <c r="N32" s="33"/>
      <c r="O32" s="33"/>
      <c r="P32" s="33"/>
      <c r="Q32" s="33"/>
      <c r="R32" s="33"/>
    </row>
  </sheetData>
  <sheetProtection sheet="true" password="ef11" formatCells="false" formatColumns="false" formatRows="false"/>
  <mergeCells count="1">
    <mergeCell ref="A32:R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5" topLeftCell="B16" activePane="bottomRight" state="frozen"/>
      <selection pane="topLeft" activeCell="A1" activeCellId="0" sqref="A1"/>
      <selection pane="topRight" activeCell="B1" activeCellId="0" sqref="B1"/>
      <selection pane="bottomLeft" activeCell="A16" activeCellId="0" sqref="A1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16" min="2" style="1" width="12"/>
    <col collapsed="false" customWidth="true" hidden="false" outlineLevel="0" max="18" min="18" style="1" width="62"/>
  </cols>
  <sheetData>
    <row r="1" customFormat="false" ht="17.35" hidden="false" customHeight="false" outlineLevel="0" collapsed="false">
      <c r="A1" s="2" t="s">
        <v>773</v>
      </c>
      <c r="B1" s="3"/>
      <c r="C1" s="3"/>
      <c r="D1" s="3"/>
      <c r="E1" s="3"/>
      <c r="F1" s="3"/>
      <c r="G1" s="3"/>
      <c r="H1" s="3"/>
      <c r="I1" s="3"/>
      <c r="J1" s="3"/>
      <c r="K1" s="3"/>
      <c r="L1" s="3"/>
      <c r="M1" s="3"/>
      <c r="N1" s="3"/>
      <c r="O1" s="3"/>
      <c r="P1" s="3"/>
      <c r="Q1" s="3"/>
      <c r="R1" s="3"/>
    </row>
    <row r="2" customFormat="false" ht="15" hidden="false" customHeight="false" outlineLevel="0" collapsed="false">
      <c r="A2" s="4" t="s">
        <v>774</v>
      </c>
      <c r="B2" s="3"/>
      <c r="C2" s="3"/>
      <c r="D2" s="3"/>
      <c r="E2" s="3"/>
      <c r="F2" s="3"/>
      <c r="G2" s="3"/>
      <c r="H2" s="3"/>
      <c r="I2" s="3"/>
      <c r="J2" s="3"/>
      <c r="K2" s="3"/>
      <c r="L2" s="3"/>
      <c r="M2" s="3"/>
      <c r="N2" s="3"/>
      <c r="O2" s="3"/>
      <c r="P2" s="3"/>
      <c r="Q2" s="3"/>
      <c r="R2" s="3"/>
    </row>
    <row r="3" customFormat="false" ht="15" hidden="false" customHeight="false" outlineLevel="0" collapsed="false">
      <c r="A3" s="3"/>
      <c r="B3" s="3"/>
      <c r="C3" s="3"/>
      <c r="D3" s="3"/>
      <c r="E3" s="3"/>
      <c r="F3" s="3"/>
      <c r="G3" s="3"/>
      <c r="H3" s="3"/>
      <c r="I3" s="3"/>
      <c r="J3" s="3"/>
      <c r="K3" s="3"/>
      <c r="L3" s="3"/>
      <c r="M3" s="3"/>
      <c r="N3" s="3"/>
      <c r="O3" s="3"/>
      <c r="P3" s="3"/>
      <c r="Q3" s="3"/>
      <c r="R3" s="3"/>
    </row>
    <row r="4" customFormat="false" ht="15" hidden="false" customHeight="false" outlineLevel="0" collapsed="false">
      <c r="A4" s="5" t="s">
        <v>618</v>
      </c>
      <c r="B4" s="6"/>
      <c r="C4" s="6"/>
      <c r="D4" s="6"/>
      <c r="E4" s="6"/>
      <c r="F4" s="6"/>
      <c r="G4" s="6"/>
      <c r="H4" s="6"/>
      <c r="I4" s="6"/>
      <c r="J4" s="6"/>
      <c r="K4" s="6"/>
      <c r="L4" s="6"/>
      <c r="M4" s="6"/>
      <c r="N4" s="6"/>
      <c r="O4" s="6"/>
      <c r="P4" s="6"/>
      <c r="Q4" s="3"/>
      <c r="R4" s="6"/>
    </row>
    <row r="5" customFormat="false" ht="15" hidden="false" customHeight="false" outlineLevel="0" collapsed="false">
      <c r="A5" s="8" t="s">
        <v>739</v>
      </c>
      <c r="B5" s="3"/>
      <c r="C5" s="3"/>
      <c r="D5" s="3"/>
      <c r="E5" s="8" t="s">
        <v>622</v>
      </c>
      <c r="F5" s="3"/>
      <c r="G5" s="3"/>
      <c r="H5" s="3"/>
      <c r="I5" s="8" t="s">
        <v>775</v>
      </c>
      <c r="J5" s="3"/>
      <c r="K5" s="3"/>
      <c r="L5" s="3"/>
      <c r="M5" s="8" t="s">
        <v>776</v>
      </c>
      <c r="N5" s="3"/>
      <c r="O5" s="3"/>
      <c r="P5" s="3"/>
      <c r="Q5" s="3"/>
      <c r="R5" s="3"/>
    </row>
    <row r="6" customFormat="false" ht="15" hidden="false" customHeight="false" outlineLevel="0" collapsed="false">
      <c r="A6" s="45" t="n">
        <f aca="false">Assumptions!$B$39</f>
        <v>10</v>
      </c>
      <c r="B6" s="3"/>
      <c r="C6" s="3"/>
      <c r="D6" s="3"/>
      <c r="E6" s="47" t="n">
        <f aca="false">INDEX(B17:P17,Assumptions!$B$39)</f>
        <v>4952082.94628947</v>
      </c>
      <c r="F6" s="3"/>
      <c r="G6" s="3"/>
      <c r="H6" s="3"/>
      <c r="I6" s="47" t="n">
        <f aca="false">INDEX(B22:P22,Assumptions!$B$39)</f>
        <v>944166.335282246</v>
      </c>
      <c r="J6" s="3"/>
      <c r="K6" s="3"/>
      <c r="L6" s="3"/>
      <c r="M6" s="46" t="n">
        <f aca="false">INDEX(B21:P21,Assumptions!$B$39)</f>
        <v>4</v>
      </c>
      <c r="N6" s="3"/>
      <c r="O6" s="3"/>
      <c r="P6" s="3"/>
      <c r="Q6" s="3"/>
      <c r="R6" s="3"/>
    </row>
    <row r="7" customFormat="false" ht="15" hidden="false" customHeight="false" outlineLevel="0" collapsed="false">
      <c r="A7" s="8" t="s">
        <v>675</v>
      </c>
      <c r="B7" s="3"/>
      <c r="C7" s="3"/>
      <c r="D7" s="3"/>
      <c r="E7" s="8" t="s">
        <v>777</v>
      </c>
      <c r="F7" s="3"/>
      <c r="G7" s="3"/>
      <c r="H7" s="3"/>
      <c r="I7" s="8" t="s">
        <v>778</v>
      </c>
      <c r="J7" s="3"/>
      <c r="K7" s="3"/>
      <c r="L7" s="3"/>
      <c r="M7" s="8" t="s">
        <v>779</v>
      </c>
      <c r="N7" s="3"/>
      <c r="O7" s="3"/>
      <c r="P7" s="3"/>
      <c r="Q7" s="3"/>
      <c r="R7" s="3"/>
    </row>
    <row r="8" customFormat="false" ht="15" hidden="false" customHeight="false" outlineLevel="0" collapsed="false">
      <c r="A8" s="47" t="n">
        <f aca="false">INDEX(B23:P23,Assumptions!$B$39)</f>
        <v>5168218.95382355</v>
      </c>
      <c r="B8" s="3"/>
      <c r="C8" s="3"/>
      <c r="D8" s="3"/>
      <c r="E8" s="47" t="n">
        <f aca="false">INDEX(B24:P24,Assumptions!$B$39)</f>
        <v>3927846.40490589</v>
      </c>
      <c r="F8" s="3"/>
      <c r="G8" s="3"/>
      <c r="H8" s="3"/>
      <c r="I8" s="47" t="n">
        <f aca="false">INDEX(B27:P27,Assumptions!$B$39)</f>
        <v>749732.843073532</v>
      </c>
      <c r="J8" s="3"/>
      <c r="K8" s="3"/>
      <c r="L8" s="3"/>
      <c r="M8" s="47" t="n">
        <f aca="false">INDEX(B28:P28,Assumptions!$B$39)</f>
        <v>4418486.11075001</v>
      </c>
      <c r="N8" s="3"/>
      <c r="O8" s="3"/>
      <c r="P8" s="3"/>
      <c r="Q8" s="3"/>
      <c r="R8" s="3"/>
    </row>
    <row r="9" customFormat="false" ht="15" hidden="false" customHeight="false" outlineLevel="0" collapsed="false">
      <c r="A9" s="3"/>
      <c r="B9" s="3"/>
      <c r="C9" s="3"/>
      <c r="D9" s="3"/>
      <c r="E9" s="3"/>
      <c r="F9" s="3"/>
      <c r="G9" s="3"/>
      <c r="H9" s="3"/>
      <c r="I9" s="3"/>
      <c r="J9" s="3"/>
      <c r="K9" s="3"/>
      <c r="L9" s="3"/>
      <c r="M9" s="3"/>
      <c r="N9" s="3"/>
      <c r="O9" s="3"/>
      <c r="P9" s="3"/>
      <c r="Q9" s="3"/>
      <c r="R9" s="3"/>
    </row>
    <row r="10" customFormat="false" ht="15" hidden="false" customHeight="false" outlineLevel="0" collapsed="false">
      <c r="A10" s="41" t="s">
        <v>780</v>
      </c>
      <c r="B10" s="3"/>
      <c r="C10" s="3"/>
      <c r="D10" s="3"/>
      <c r="E10" s="3"/>
      <c r="F10" s="3"/>
      <c r="G10" s="3"/>
      <c r="H10" s="3"/>
      <c r="I10" s="3"/>
      <c r="J10" s="3"/>
      <c r="K10" s="3"/>
      <c r="L10" s="3"/>
      <c r="M10" s="3"/>
      <c r="N10" s="3"/>
      <c r="O10" s="3"/>
      <c r="P10" s="3"/>
      <c r="Q10" s="3"/>
      <c r="R10" s="3"/>
    </row>
    <row r="11" customFormat="false" ht="15" hidden="false" customHeight="false" outlineLevel="0" collapsed="false">
      <c r="A11" s="3"/>
      <c r="B11" s="3"/>
      <c r="C11" s="3"/>
      <c r="D11" s="3"/>
      <c r="E11" s="3"/>
      <c r="F11" s="3"/>
      <c r="G11" s="3"/>
      <c r="H11" s="3"/>
      <c r="I11" s="3"/>
      <c r="J11" s="3"/>
      <c r="K11" s="3"/>
      <c r="L11" s="3"/>
      <c r="M11" s="3"/>
      <c r="N11" s="3"/>
      <c r="O11" s="3"/>
      <c r="P11" s="3"/>
      <c r="Q11" s="3"/>
      <c r="R11" s="3"/>
    </row>
    <row r="12" customFormat="false" ht="15" hidden="false" customHeight="false" outlineLevel="0" collapsed="false">
      <c r="A12" s="3"/>
      <c r="B12" s="3"/>
      <c r="C12" s="3"/>
      <c r="D12" s="3"/>
      <c r="E12" s="3"/>
      <c r="F12" s="3"/>
      <c r="G12" s="3"/>
      <c r="H12" s="3"/>
      <c r="I12" s="3"/>
      <c r="J12" s="3"/>
      <c r="K12" s="3"/>
      <c r="L12" s="3"/>
      <c r="M12" s="3"/>
      <c r="N12" s="3"/>
      <c r="O12" s="3"/>
      <c r="P12" s="3"/>
      <c r="Q12" s="3"/>
      <c r="R12" s="3"/>
    </row>
    <row r="13" customFormat="false" ht="15" hidden="false" customHeight="false" outlineLevel="0" collapsed="false">
      <c r="A13" s="3"/>
      <c r="B13" s="3"/>
      <c r="C13" s="3"/>
      <c r="D13" s="3"/>
      <c r="E13" s="3"/>
      <c r="F13" s="3"/>
      <c r="G13" s="3"/>
      <c r="H13" s="3"/>
      <c r="I13" s="3"/>
      <c r="J13" s="3"/>
      <c r="K13" s="3"/>
      <c r="L13" s="3"/>
      <c r="M13" s="3"/>
      <c r="N13" s="3"/>
      <c r="O13" s="3"/>
      <c r="P13" s="3"/>
      <c r="Q13" s="3"/>
      <c r="R13" s="3"/>
    </row>
    <row r="14" customFormat="false" ht="15" hidden="false" customHeight="false" outlineLevel="0" collapsed="false">
      <c r="A14" s="3"/>
      <c r="B14" s="3"/>
      <c r="C14" s="3"/>
      <c r="D14" s="3"/>
      <c r="E14" s="3"/>
      <c r="F14" s="3"/>
      <c r="G14" s="3"/>
      <c r="H14" s="3"/>
      <c r="I14" s="3"/>
      <c r="J14" s="3"/>
      <c r="K14" s="3"/>
      <c r="L14" s="3"/>
      <c r="M14" s="3"/>
      <c r="N14" s="3"/>
      <c r="O14" s="3"/>
      <c r="P14" s="3"/>
      <c r="Q14" s="3"/>
      <c r="R14" s="3"/>
    </row>
    <row r="15" customFormat="false" ht="15" hidden="false" customHeight="false" outlineLevel="0" collapsed="false">
      <c r="A15" s="18" t="s">
        <v>632</v>
      </c>
      <c r="B15" s="19" t="n">
        <v>1</v>
      </c>
      <c r="C15" s="19" t="n">
        <v>2</v>
      </c>
      <c r="D15" s="19" t="n">
        <v>3</v>
      </c>
      <c r="E15" s="19" t="n">
        <v>4</v>
      </c>
      <c r="F15" s="19" t="n">
        <v>5</v>
      </c>
      <c r="G15" s="19" t="n">
        <v>6</v>
      </c>
      <c r="H15" s="19" t="n">
        <v>7</v>
      </c>
      <c r="I15" s="19" t="n">
        <v>8</v>
      </c>
      <c r="J15" s="19" t="n">
        <v>9</v>
      </c>
      <c r="K15" s="19" t="n">
        <v>10</v>
      </c>
      <c r="L15" s="19" t="n">
        <v>11</v>
      </c>
      <c r="M15" s="19" t="n">
        <v>12</v>
      </c>
      <c r="N15" s="19" t="n">
        <v>13</v>
      </c>
      <c r="O15" s="19" t="n">
        <v>14</v>
      </c>
      <c r="P15" s="19" t="n">
        <v>15</v>
      </c>
      <c r="Q15" s="3"/>
      <c r="R15" s="18" t="s">
        <v>490</v>
      </c>
    </row>
    <row r="16" customFormat="false" ht="15" hidden="false" customHeight="false" outlineLevel="0" collapsed="false">
      <c r="A16" s="5" t="s">
        <v>781</v>
      </c>
      <c r="B16" s="6"/>
      <c r="C16" s="6"/>
      <c r="D16" s="6"/>
      <c r="E16" s="6"/>
      <c r="F16" s="6"/>
      <c r="G16" s="6"/>
      <c r="H16" s="6"/>
      <c r="I16" s="6"/>
      <c r="J16" s="6"/>
      <c r="K16" s="6"/>
      <c r="L16" s="6"/>
      <c r="M16" s="6"/>
      <c r="N16" s="6"/>
      <c r="O16" s="6"/>
      <c r="P16" s="6"/>
      <c r="Q16" s="3"/>
      <c r="R16" s="6"/>
    </row>
    <row r="17" customFormat="false" ht="15" hidden="false" customHeight="false" outlineLevel="0" collapsed="false">
      <c r="A17" s="18" t="s">
        <v>749</v>
      </c>
      <c r="B17" s="24" t="n">
        <f aca="false">'Long range 15-yr'!B36</f>
        <v>1107883.476</v>
      </c>
      <c r="C17" s="24" t="n">
        <f aca="false">'Long range 15-yr'!C36</f>
        <v>1130224.27392</v>
      </c>
      <c r="D17" s="24" t="n">
        <f aca="false">'Long range 15-yr'!D36</f>
        <v>1470581.13731659</v>
      </c>
      <c r="E17" s="24" t="n">
        <f aca="false">'Long range 15-yr'!E36</f>
        <v>2128361.5241759</v>
      </c>
      <c r="F17" s="24" t="n">
        <f aca="false">'Long range 15-yr'!F36</f>
        <v>2531696.60117519</v>
      </c>
      <c r="G17" s="24" t="n">
        <f aca="false">'Long range 15-yr'!G36</f>
        <v>2960567.60023987</v>
      </c>
      <c r="H17" s="24" t="n">
        <f aca="false">'Long range 15-yr'!H36</f>
        <v>3415973.30476096</v>
      </c>
      <c r="I17" s="24" t="n">
        <f aca="false">'Long range 15-yr'!I36</f>
        <v>3898958.3702101</v>
      </c>
      <c r="J17" s="24" t="n">
        <f aca="false">'Long range 15-yr'!J36</f>
        <v>4410614.70976327</v>
      </c>
      <c r="K17" s="24" t="n">
        <f aca="false">'Long range 15-yr'!K36</f>
        <v>4952082.94628947</v>
      </c>
      <c r="L17" s="24" t="n">
        <f aca="false">'Long range 15-yr'!L36</f>
        <v>5524553.93215493</v>
      </c>
      <c r="M17" s="24" t="n">
        <f aca="false">'Long range 15-yr'!M36</f>
        <v>6129270.33838766</v>
      </c>
      <c r="N17" s="24" t="n">
        <f aca="false">'Long range 15-yr'!N36</f>
        <v>6767528.314843</v>
      </c>
      <c r="O17" s="24" t="n">
        <f aca="false">'Long range 15-yr'!O36</f>
        <v>7045784.99129078</v>
      </c>
      <c r="P17" s="24" t="n">
        <f aca="false">'Long range 15-yr'!P36</f>
        <v>7328447.27269707</v>
      </c>
      <c r="Q17" s="3"/>
      <c r="R17" s="3"/>
    </row>
    <row r="18" customFormat="false" ht="22.35" hidden="false" customHeight="false" outlineLevel="0" collapsed="false">
      <c r="A18" s="20" t="s">
        <v>782</v>
      </c>
      <c r="B18" s="17" t="n">
        <f aca="false">'Long range 15-yr'!B60</f>
        <v>309346.07309104</v>
      </c>
      <c r="C18" s="17" t="n">
        <f aca="false">'Long range 15-yr'!C60</f>
        <v>298686.24221904</v>
      </c>
      <c r="D18" s="17" t="n">
        <f aca="false">'Long range 15-yr'!D60</f>
        <v>355430.854335931</v>
      </c>
      <c r="E18" s="17" t="n">
        <f aca="false">'Long range 15-yr'!E60</f>
        <v>480212.618568055</v>
      </c>
      <c r="F18" s="17" t="n">
        <f aca="false">'Long range 15-yr'!F60</f>
        <v>471947.318307169</v>
      </c>
      <c r="G18" s="17" t="n">
        <f aca="false">'Long range 15-yr'!G60</f>
        <v>514099.926862789</v>
      </c>
      <c r="H18" s="17" t="n">
        <f aca="false">'Long range 15-yr'!H60</f>
        <v>646151.297211341</v>
      </c>
      <c r="I18" s="17" t="n">
        <f aca="false">'Long range 15-yr'!I60</f>
        <v>785530.442582843</v>
      </c>
      <c r="J18" s="17" t="n">
        <f aca="false">'Long range 15-yr'!J60</f>
        <v>869075.961720472</v>
      </c>
      <c r="K18" s="17" t="n">
        <f aca="false">'Long range 15-yr'!K60</f>
        <v>1029166.33528225</v>
      </c>
      <c r="L18" s="17" t="n">
        <f aca="false">'Long range 15-yr'!L60</f>
        <v>1197070.66564829</v>
      </c>
      <c r="M18" s="17" t="n">
        <f aca="false">'Long range 15-yr'!M60</f>
        <v>1372827.40169565</v>
      </c>
      <c r="N18" s="17" t="n">
        <f aca="false">'Long range 15-yr'!N60</f>
        <v>1556465.40590655</v>
      </c>
      <c r="O18" s="17" t="n">
        <f aca="false">'Long range 15-yr'!O60</f>
        <v>1627343.6700041</v>
      </c>
      <c r="P18" s="17" t="n">
        <f aca="false">'Long range 15-yr'!P60</f>
        <v>1696229.81094027</v>
      </c>
      <c r="Q18" s="3"/>
      <c r="R18" s="53" t="s">
        <v>783</v>
      </c>
    </row>
    <row r="19" customFormat="false" ht="32.8" hidden="false" customHeight="false" outlineLevel="0" collapsed="false">
      <c r="A19" s="20" t="s">
        <v>784</v>
      </c>
      <c r="B19" s="17" t="n">
        <f aca="false">'Long range 15-yr'!B60-Assumptions!$B$128</f>
        <v>224346.07309104</v>
      </c>
      <c r="C19" s="17" t="n">
        <f aca="false">'Long range 15-yr'!C60-Assumptions!$B$128</f>
        <v>213686.24221904</v>
      </c>
      <c r="D19" s="17" t="n">
        <f aca="false">'Long range 15-yr'!D60-Assumptions!$B$128</f>
        <v>270430.854335931</v>
      </c>
      <c r="E19" s="17" t="n">
        <f aca="false">'Long range 15-yr'!E60-Assumptions!$B$128</f>
        <v>395212.618568055</v>
      </c>
      <c r="F19" s="17" t="n">
        <f aca="false">'Long range 15-yr'!F60-Assumptions!$B$128</f>
        <v>386947.318307169</v>
      </c>
      <c r="G19" s="17" t="n">
        <f aca="false">'Long range 15-yr'!G60-Assumptions!$B$128</f>
        <v>429099.926862789</v>
      </c>
      <c r="H19" s="17" t="n">
        <f aca="false">'Long range 15-yr'!H60-Assumptions!$B$128</f>
        <v>561151.297211341</v>
      </c>
      <c r="I19" s="17" t="n">
        <f aca="false">'Long range 15-yr'!I60-Assumptions!$B$128</f>
        <v>700530.442582843</v>
      </c>
      <c r="J19" s="17" t="n">
        <f aca="false">'Long range 15-yr'!J60-Assumptions!$B$128</f>
        <v>784075.961720472</v>
      </c>
      <c r="K19" s="17" t="n">
        <f aca="false">'Long range 15-yr'!K60-Assumptions!$B$128</f>
        <v>944166.335282246</v>
      </c>
      <c r="L19" s="17" t="n">
        <f aca="false">'Long range 15-yr'!L60-Assumptions!$B$128</f>
        <v>1112070.66564829</v>
      </c>
      <c r="M19" s="17" t="n">
        <f aca="false">'Long range 15-yr'!M60-Assumptions!$B$128</f>
        <v>1287827.40169565</v>
      </c>
      <c r="N19" s="17" t="n">
        <f aca="false">'Long range 15-yr'!N60-Assumptions!$B$128</f>
        <v>1471465.40590655</v>
      </c>
      <c r="O19" s="17" t="n">
        <f aca="false">'Long range 15-yr'!O60-Assumptions!$B$128</f>
        <v>1542343.6700041</v>
      </c>
      <c r="P19" s="17" t="n">
        <f aca="false">'Long range 15-yr'!P60-Assumptions!$B$128</f>
        <v>1611229.81094027</v>
      </c>
      <c r="Q19" s="3"/>
      <c r="R19" s="53" t="s">
        <v>785</v>
      </c>
    </row>
    <row r="20" customFormat="false" ht="15" hidden="false" customHeight="false" outlineLevel="0" collapsed="false">
      <c r="A20" s="43" t="s">
        <v>786</v>
      </c>
      <c r="B20" s="44"/>
      <c r="C20" s="44"/>
      <c r="D20" s="44"/>
      <c r="E20" s="44"/>
      <c r="F20" s="44"/>
      <c r="G20" s="44"/>
      <c r="H20" s="44"/>
      <c r="I20" s="44"/>
      <c r="J20" s="44"/>
      <c r="K20" s="44"/>
      <c r="L20" s="44"/>
      <c r="M20" s="44"/>
      <c r="N20" s="44"/>
      <c r="O20" s="44"/>
      <c r="P20" s="44"/>
      <c r="Q20" s="3"/>
      <c r="R20" s="44"/>
    </row>
    <row r="21" customFormat="false" ht="53.7" hidden="false" customHeight="false" outlineLevel="0" collapsed="false">
      <c r="A21" s="18" t="s">
        <v>787</v>
      </c>
      <c r="B21" s="61" t="n">
        <f aca="false">IF(B17&gt;=5000000,Assumptions!$B$127,IF(B17&gt;=2000000,Assumptions!$B$126,Assumptions!$B$125))</f>
        <v>2.49</v>
      </c>
      <c r="C21" s="61" t="n">
        <f aca="false">IF(C17&gt;=5000000,Assumptions!$B$127,IF(C17&gt;=2000000,Assumptions!$B$126,Assumptions!$B$125))</f>
        <v>2.49</v>
      </c>
      <c r="D21" s="61" t="n">
        <f aca="false">IF(D17&gt;=5000000,Assumptions!$B$127,IF(D17&gt;=2000000,Assumptions!$B$126,Assumptions!$B$125))</f>
        <v>2.49</v>
      </c>
      <c r="E21" s="61" t="n">
        <f aca="false">IF(E17&gt;=5000000,Assumptions!$B$127,IF(E17&gt;=2000000,Assumptions!$B$126,Assumptions!$B$125))</f>
        <v>4</v>
      </c>
      <c r="F21" s="61" t="n">
        <f aca="false">IF(F17&gt;=5000000,Assumptions!$B$127,IF(F17&gt;=2000000,Assumptions!$B$126,Assumptions!$B$125))</f>
        <v>4</v>
      </c>
      <c r="G21" s="61" t="n">
        <f aca="false">IF(G17&gt;=5000000,Assumptions!$B$127,IF(G17&gt;=2000000,Assumptions!$B$126,Assumptions!$B$125))</f>
        <v>4</v>
      </c>
      <c r="H21" s="61" t="n">
        <f aca="false">IF(H17&gt;=5000000,Assumptions!$B$127,IF(H17&gt;=2000000,Assumptions!$B$126,Assumptions!$B$125))</f>
        <v>4</v>
      </c>
      <c r="I21" s="61" t="n">
        <f aca="false">IF(I17&gt;=5000000,Assumptions!$B$127,IF(I17&gt;=2000000,Assumptions!$B$126,Assumptions!$B$125))</f>
        <v>4</v>
      </c>
      <c r="J21" s="61" t="n">
        <f aca="false">IF(J17&gt;=5000000,Assumptions!$B$127,IF(J17&gt;=2000000,Assumptions!$B$126,Assumptions!$B$125))</f>
        <v>4</v>
      </c>
      <c r="K21" s="61" t="n">
        <f aca="false">IF(K17&gt;=5000000,Assumptions!$B$127,IF(K17&gt;=2000000,Assumptions!$B$126,Assumptions!$B$125))</f>
        <v>4</v>
      </c>
      <c r="L21" s="61" t="n">
        <f aca="false">IF(L17&gt;=5000000,Assumptions!$B$127,IF(L17&gt;=2000000,Assumptions!$B$126,Assumptions!$B$125))</f>
        <v>5.8</v>
      </c>
      <c r="M21" s="61" t="n">
        <f aca="false">IF(M17&gt;=5000000,Assumptions!$B$127,IF(M17&gt;=2000000,Assumptions!$B$126,Assumptions!$B$125))</f>
        <v>5.8</v>
      </c>
      <c r="N21" s="61" t="n">
        <f aca="false">IF(N17&gt;=5000000,Assumptions!$B$127,IF(N17&gt;=2000000,Assumptions!$B$126,Assumptions!$B$125))</f>
        <v>5.8</v>
      </c>
      <c r="O21" s="61" t="n">
        <f aca="false">IF(O17&gt;=5000000,Assumptions!$B$127,IF(O17&gt;=2000000,Assumptions!$B$126,Assumptions!$B$125))</f>
        <v>5.8</v>
      </c>
      <c r="P21" s="61" t="n">
        <f aca="false">IF(P17&gt;=5000000,Assumptions!$B$127,IF(P17&gt;=2000000,Assumptions!$B$126,Assumptions!$B$125))</f>
        <v>5.8</v>
      </c>
      <c r="Q21" s="3"/>
      <c r="R21" s="53" t="s">
        <v>788</v>
      </c>
    </row>
    <row r="22" customFormat="false" ht="15" hidden="false" customHeight="false" outlineLevel="0" collapsed="false">
      <c r="A22" s="20" t="s">
        <v>789</v>
      </c>
      <c r="B22" s="17" t="n">
        <f aca="false">IF(B17&gt;=2000000,B19,B18)</f>
        <v>309346.07309104</v>
      </c>
      <c r="C22" s="17" t="n">
        <f aca="false">IF(C17&gt;=2000000,C19,C18)</f>
        <v>298686.24221904</v>
      </c>
      <c r="D22" s="17" t="n">
        <f aca="false">IF(D17&gt;=2000000,D19,D18)</f>
        <v>355430.854335931</v>
      </c>
      <c r="E22" s="17" t="n">
        <f aca="false">IF(E17&gt;=2000000,E19,E18)</f>
        <v>395212.618568055</v>
      </c>
      <c r="F22" s="17" t="n">
        <f aca="false">IF(F17&gt;=2000000,F19,F18)</f>
        <v>386947.318307169</v>
      </c>
      <c r="G22" s="17" t="n">
        <f aca="false">IF(G17&gt;=2000000,G19,G18)</f>
        <v>429099.926862789</v>
      </c>
      <c r="H22" s="17" t="n">
        <f aca="false">IF(H17&gt;=2000000,H19,H18)</f>
        <v>561151.297211341</v>
      </c>
      <c r="I22" s="17" t="n">
        <f aca="false">IF(I17&gt;=2000000,I19,I18)</f>
        <v>700530.442582843</v>
      </c>
      <c r="J22" s="17" t="n">
        <f aca="false">IF(J17&gt;=2000000,J19,J18)</f>
        <v>784075.961720472</v>
      </c>
      <c r="K22" s="17" t="n">
        <f aca="false">IF(K17&gt;=2000000,K19,K18)</f>
        <v>944166.335282246</v>
      </c>
      <c r="L22" s="17" t="n">
        <f aca="false">IF(L17&gt;=2000000,L19,L18)</f>
        <v>1112070.66564829</v>
      </c>
      <c r="M22" s="17" t="n">
        <f aca="false">IF(M17&gt;=2000000,M19,M18)</f>
        <v>1287827.40169565</v>
      </c>
      <c r="N22" s="17" t="n">
        <f aca="false">IF(N17&gt;=2000000,N19,N18)</f>
        <v>1471465.40590655</v>
      </c>
      <c r="O22" s="17" t="n">
        <f aca="false">IF(O17&gt;=2000000,O19,O18)</f>
        <v>1542343.6700041</v>
      </c>
      <c r="P22" s="17" t="n">
        <f aca="false">IF(P17&gt;=2000000,P19,P18)</f>
        <v>1611229.81094027</v>
      </c>
      <c r="Q22" s="3"/>
      <c r="R22" s="3"/>
    </row>
    <row r="23" customFormat="false" ht="15" hidden="false" customHeight="false" outlineLevel="0" collapsed="false">
      <c r="A23" s="18" t="s">
        <v>790</v>
      </c>
      <c r="B23" s="24" t="n">
        <f aca="false">MAX(0,B22)*B21+'Long range 15-yr'!B59-'Long range 15-yr'!B56</f>
        <v>737130.151233105</v>
      </c>
      <c r="C23" s="24" t="n">
        <f aca="false">MAX(0,C22)*C21+'Long range 15-yr'!C59-'Long range 15-yr'!C56</f>
        <v>793606.669249441</v>
      </c>
      <c r="D23" s="24" t="n">
        <f aca="false">MAX(0,D22)*D21+'Long range 15-yr'!D59-'Long range 15-yr'!D56</f>
        <v>973791.845154872</v>
      </c>
      <c r="E23" s="24" t="n">
        <f aca="false">MAX(0,E22)*E21+'Long range 15-yr'!E59-'Long range 15-yr'!E56</f>
        <v>1704841.10205784</v>
      </c>
      <c r="F23" s="24" t="n">
        <f aca="false">MAX(0,F22)*F21+'Long range 15-yr'!F59-'Long range 15-yr'!F56</f>
        <v>1781926.25021217</v>
      </c>
      <c r="G23" s="24" t="n">
        <f aca="false">MAX(0,G22)*G21+'Long range 15-yr'!G59-'Long range 15-yr'!G56</f>
        <v>2078739.72158601</v>
      </c>
      <c r="H23" s="24" t="n">
        <f aca="false">MAX(0,H22)*H21+'Long range 15-yr'!H59-'Long range 15-yr'!H56</f>
        <v>2788865.52166945</v>
      </c>
      <c r="I23" s="24" t="n">
        <f aca="false">MAX(0,I22)*I21+'Long range 15-yr'!I59-'Long range 15-yr'!I56</f>
        <v>3584726.63004211</v>
      </c>
      <c r="J23" s="24" t="n">
        <f aca="false">MAX(0,J22)*J21+'Long range 15-yr'!J59-'Long range 15-yr'!J56</f>
        <v>4191175.85367095</v>
      </c>
      <c r="K23" s="24" t="n">
        <f aca="false">MAX(0,K22)*K21+'Long range 15-yr'!K59-'Long range 15-yr'!K56</f>
        <v>5168218.95382355</v>
      </c>
      <c r="L23" s="24" t="n">
        <f aca="false">MAX(0,L22)*L21+'Long range 15-yr'!L59-'Long range 15-yr'!L56</f>
        <v>8245690.54355842</v>
      </c>
      <c r="M23" s="24" t="n">
        <f aca="false">MAX(0,M22)*M21+'Long range 15-yr'!M59-'Long range 15-yr'!M56</f>
        <v>9739722.17619467</v>
      </c>
      <c r="N23" s="24" t="n">
        <f aca="false">MAX(0,N22)*N21+'Long range 15-yr'!N59-'Long range 15-yr'!N56</f>
        <v>11353079.965143</v>
      </c>
      <c r="O23" s="24" t="n">
        <f aca="false">MAX(0,O22)*O21+'Long range 15-yr'!O59-'Long range 15-yr'!O56</f>
        <v>12401842.2665323</v>
      </c>
      <c r="P23" s="24" t="n">
        <f aca="false">MAX(0,P22)*P21+'Long range 15-yr'!P59-'Long range 15-yr'!P56</f>
        <v>13454921.9845546</v>
      </c>
      <c r="Q23" s="3"/>
      <c r="R23" s="53" t="s">
        <v>791</v>
      </c>
    </row>
    <row r="24" customFormat="false" ht="32.8" hidden="false" customHeight="false" outlineLevel="0" collapsed="false">
      <c r="A24" s="18" t="s">
        <v>792</v>
      </c>
      <c r="B24" s="24" t="n">
        <f aca="false">B23*Assumptions!$B$129</f>
        <v>560218.91493716</v>
      </c>
      <c r="C24" s="24" t="n">
        <f aca="false">C23*Assumptions!$B$129</f>
        <v>603141.068629575</v>
      </c>
      <c r="D24" s="24" t="n">
        <f aca="false">D23*Assumptions!$B$129</f>
        <v>740081.802317703</v>
      </c>
      <c r="E24" s="24" t="n">
        <f aca="false">E23*Assumptions!$B$129</f>
        <v>1295679.23756396</v>
      </c>
      <c r="F24" s="24" t="n">
        <f aca="false">F23*Assumptions!$B$129</f>
        <v>1354263.95016125</v>
      </c>
      <c r="G24" s="24" t="n">
        <f aca="false">G23*Assumptions!$B$129</f>
        <v>1579842.18840537</v>
      </c>
      <c r="H24" s="24" t="n">
        <f aca="false">H23*Assumptions!$B$129</f>
        <v>2119537.79646878</v>
      </c>
      <c r="I24" s="24" t="n">
        <f aca="false">I23*Assumptions!$B$129</f>
        <v>2724392.238832</v>
      </c>
      <c r="J24" s="24" t="n">
        <f aca="false">J23*Assumptions!$B$129</f>
        <v>3185293.64878992</v>
      </c>
      <c r="K24" s="24" t="n">
        <f aca="false">K23*Assumptions!$B$129</f>
        <v>3927846.40490589</v>
      </c>
      <c r="L24" s="24" t="n">
        <f aca="false">L23*Assumptions!$B$129</f>
        <v>6266724.8131044</v>
      </c>
      <c r="M24" s="24" t="n">
        <f aca="false">M23*Assumptions!$B$129</f>
        <v>7402188.85390795</v>
      </c>
      <c r="N24" s="24" t="n">
        <f aca="false">N23*Assumptions!$B$129</f>
        <v>8628340.77350869</v>
      </c>
      <c r="O24" s="24" t="n">
        <f aca="false">O23*Assumptions!$B$129</f>
        <v>9425400.12256457</v>
      </c>
      <c r="P24" s="24" t="n">
        <f aca="false">P23*Assumptions!$B$129</f>
        <v>10225740.7082615</v>
      </c>
      <c r="Q24" s="3"/>
      <c r="R24" s="53" t="s">
        <v>793</v>
      </c>
    </row>
    <row r="25" customFormat="false" ht="15" hidden="false" customHeight="false" outlineLevel="0" collapsed="false">
      <c r="A25" s="5" t="s">
        <v>794</v>
      </c>
      <c r="B25" s="6"/>
      <c r="C25" s="6"/>
      <c r="D25" s="6"/>
      <c r="E25" s="6"/>
      <c r="F25" s="6"/>
      <c r="G25" s="6"/>
      <c r="H25" s="6"/>
      <c r="I25" s="6"/>
      <c r="J25" s="6"/>
      <c r="K25" s="6"/>
      <c r="L25" s="6"/>
      <c r="M25" s="6"/>
      <c r="N25" s="6"/>
      <c r="O25" s="6"/>
      <c r="P25" s="6"/>
      <c r="Q25" s="3"/>
      <c r="R25" s="6"/>
    </row>
    <row r="26" customFormat="false" ht="22.35" hidden="false" customHeight="false" outlineLevel="0" collapsed="false">
      <c r="A26" s="20" t="s">
        <v>795</v>
      </c>
      <c r="B26" s="17" t="n">
        <f aca="false">MAX(0,B23-Assumptions!$B$123)</f>
        <v>567130.151233105</v>
      </c>
      <c r="C26" s="17" t="n">
        <f aca="false">MAX(0,C23-Assumptions!$B$123)</f>
        <v>623606.669249441</v>
      </c>
      <c r="D26" s="17" t="n">
        <f aca="false">MAX(0,D23-Assumptions!$B$123)</f>
        <v>803791.845154872</v>
      </c>
      <c r="E26" s="17" t="n">
        <f aca="false">MAX(0,E23-Assumptions!$B$123)</f>
        <v>1534841.10205784</v>
      </c>
      <c r="F26" s="17" t="n">
        <f aca="false">MAX(0,F23-Assumptions!$B$123)</f>
        <v>1611926.25021217</v>
      </c>
      <c r="G26" s="17" t="n">
        <f aca="false">MAX(0,G23-Assumptions!$B$123)</f>
        <v>1908739.72158601</v>
      </c>
      <c r="H26" s="17" t="n">
        <f aca="false">MAX(0,H23-Assumptions!$B$123)</f>
        <v>2618865.52166945</v>
      </c>
      <c r="I26" s="17" t="n">
        <f aca="false">MAX(0,I23-Assumptions!$B$123)</f>
        <v>3414726.63004211</v>
      </c>
      <c r="J26" s="17" t="n">
        <f aca="false">MAX(0,J23-Assumptions!$B$123)</f>
        <v>4021175.85367095</v>
      </c>
      <c r="K26" s="17" t="n">
        <f aca="false">MAX(0,K23-Assumptions!$B$123)</f>
        <v>4998218.95382355</v>
      </c>
      <c r="L26" s="17" t="n">
        <f aca="false">MAX(0,L23-Assumptions!$B$123)</f>
        <v>8075690.54355842</v>
      </c>
      <c r="M26" s="17" t="n">
        <f aca="false">MAX(0,M23-Assumptions!$B$123)</f>
        <v>9569722.17619467</v>
      </c>
      <c r="N26" s="17" t="n">
        <f aca="false">MAX(0,N23-Assumptions!$B$123)</f>
        <v>11183079.965143</v>
      </c>
      <c r="O26" s="17" t="n">
        <f aca="false">MAX(0,O23-Assumptions!$B$123)</f>
        <v>12231842.2665323</v>
      </c>
      <c r="P26" s="17" t="n">
        <f aca="false">MAX(0,P23-Assumptions!$B$123)</f>
        <v>13284921.9845546</v>
      </c>
      <c r="Q26" s="3"/>
      <c r="R26" s="53" t="s">
        <v>796</v>
      </c>
    </row>
    <row r="27" customFormat="false" ht="15" hidden="false" customHeight="false" outlineLevel="0" collapsed="false">
      <c r="A27" s="18" t="s">
        <v>797</v>
      </c>
      <c r="B27" s="24" t="n">
        <f aca="false">B26*Assumptions!$B$122</f>
        <v>85069.5226849658</v>
      </c>
      <c r="C27" s="24" t="n">
        <f aca="false">C26*Assumptions!$B$122</f>
        <v>93541.0003874162</v>
      </c>
      <c r="D27" s="24" t="n">
        <f aca="false">D26*Assumptions!$B$122</f>
        <v>120568.776773231</v>
      </c>
      <c r="E27" s="24" t="n">
        <f aca="false">E26*Assumptions!$B$122</f>
        <v>230226.165308677</v>
      </c>
      <c r="F27" s="24" t="n">
        <f aca="false">F26*Assumptions!$B$122</f>
        <v>241788.937531826</v>
      </c>
      <c r="G27" s="24" t="n">
        <f aca="false">G26*Assumptions!$B$122</f>
        <v>286310.958237902</v>
      </c>
      <c r="H27" s="24" t="n">
        <f aca="false">H26*Assumptions!$B$122</f>
        <v>392829.828250417</v>
      </c>
      <c r="I27" s="24" t="n">
        <f aca="false">I26*Assumptions!$B$122</f>
        <v>512208.994506316</v>
      </c>
      <c r="J27" s="24" t="n">
        <f aca="false">J26*Assumptions!$B$122</f>
        <v>603176.378050642</v>
      </c>
      <c r="K27" s="24" t="n">
        <f aca="false">K26*Assumptions!$B$122</f>
        <v>749732.843073532</v>
      </c>
      <c r="L27" s="24" t="n">
        <f aca="false">L26*Assumptions!$B$122</f>
        <v>1211353.58153376</v>
      </c>
      <c r="M27" s="24" t="n">
        <f aca="false">M26*Assumptions!$B$122</f>
        <v>1435458.3264292</v>
      </c>
      <c r="N27" s="24" t="n">
        <f aca="false">N26*Assumptions!$B$122</f>
        <v>1677461.99477145</v>
      </c>
      <c r="O27" s="24" t="n">
        <f aca="false">O26*Assumptions!$B$122</f>
        <v>1834776.33997985</v>
      </c>
      <c r="P27" s="24" t="n">
        <f aca="false">P26*Assumptions!$B$122</f>
        <v>1992738.2976832</v>
      </c>
      <c r="Q27" s="3"/>
      <c r="R27" s="3"/>
    </row>
    <row r="28" customFormat="false" ht="22.35" hidden="false" customHeight="false" outlineLevel="0" collapsed="false">
      <c r="A28" s="18" t="s">
        <v>798</v>
      </c>
      <c r="B28" s="24" t="n">
        <f aca="false">B23-B27</f>
        <v>652060.628548139</v>
      </c>
      <c r="C28" s="24" t="n">
        <f aca="false">C23-C27</f>
        <v>700065.668862025</v>
      </c>
      <c r="D28" s="24" t="n">
        <f aca="false">D23-D27</f>
        <v>853223.068381641</v>
      </c>
      <c r="E28" s="24" t="n">
        <f aca="false">E23-E27</f>
        <v>1474614.93674917</v>
      </c>
      <c r="F28" s="24" t="n">
        <f aca="false">F23-F27</f>
        <v>1540137.31268034</v>
      </c>
      <c r="G28" s="24" t="n">
        <f aca="false">G23-G27</f>
        <v>1792428.76334811</v>
      </c>
      <c r="H28" s="24" t="n">
        <f aca="false">H23-H27</f>
        <v>2396035.69341903</v>
      </c>
      <c r="I28" s="24" t="n">
        <f aca="false">I23-I27</f>
        <v>3072517.63553579</v>
      </c>
      <c r="J28" s="24" t="n">
        <f aca="false">J23-J27</f>
        <v>3587999.47562031</v>
      </c>
      <c r="K28" s="24" t="n">
        <f aca="false">K23-K27</f>
        <v>4418486.11075001</v>
      </c>
      <c r="L28" s="24" t="n">
        <f aca="false">L23-L27</f>
        <v>7034336.96202465</v>
      </c>
      <c r="M28" s="24" t="n">
        <f aca="false">M23-M27</f>
        <v>8304263.84976547</v>
      </c>
      <c r="N28" s="24" t="n">
        <f aca="false">N23-N27</f>
        <v>9675617.97037157</v>
      </c>
      <c r="O28" s="24" t="n">
        <f aca="false">O23-O27</f>
        <v>10567065.9265525</v>
      </c>
      <c r="P28" s="24" t="n">
        <f aca="false">P23-P27</f>
        <v>11462183.6868714</v>
      </c>
      <c r="Q28" s="3"/>
      <c r="R28" s="53" t="s">
        <v>799</v>
      </c>
    </row>
    <row r="29" customFormat="false" ht="22.35" hidden="false" customHeight="false" outlineLevel="0" collapsed="false">
      <c r="A29" s="20" t="s">
        <v>800</v>
      </c>
      <c r="B29" s="17" t="n">
        <f aca="false">Assumptions!$B$123</f>
        <v>170000</v>
      </c>
      <c r="C29" s="17" t="n">
        <f aca="false">Assumptions!$B$123</f>
        <v>170000</v>
      </c>
      <c r="D29" s="17" t="n">
        <f aca="false">Assumptions!$B$123</f>
        <v>170000</v>
      </c>
      <c r="E29" s="17" t="n">
        <f aca="false">Assumptions!$B$123</f>
        <v>170000</v>
      </c>
      <c r="F29" s="17" t="n">
        <f aca="false">Assumptions!$B$123</f>
        <v>170000</v>
      </c>
      <c r="G29" s="17" t="n">
        <f aca="false">Assumptions!$B$123</f>
        <v>170000</v>
      </c>
      <c r="H29" s="17" t="n">
        <f aca="false">Assumptions!$B$123</f>
        <v>170000</v>
      </c>
      <c r="I29" s="17" t="n">
        <f aca="false">Assumptions!$B$123</f>
        <v>170000</v>
      </c>
      <c r="J29" s="17" t="n">
        <f aca="false">Assumptions!$B$123</f>
        <v>170000</v>
      </c>
      <c r="K29" s="17" t="n">
        <f aca="false">Assumptions!$B$123</f>
        <v>170000</v>
      </c>
      <c r="L29" s="17" t="n">
        <f aca="false">Assumptions!$B$123</f>
        <v>170000</v>
      </c>
      <c r="M29" s="17" t="n">
        <f aca="false">Assumptions!$B$123</f>
        <v>170000</v>
      </c>
      <c r="N29" s="17" t="n">
        <f aca="false">Assumptions!$B$123</f>
        <v>170000</v>
      </c>
      <c r="O29" s="17" t="n">
        <f aca="false">Assumptions!$B$123</f>
        <v>170000</v>
      </c>
      <c r="P29" s="17" t="n">
        <f aca="false">Assumptions!$B$123</f>
        <v>170000</v>
      </c>
      <c r="Q29" s="3"/>
      <c r="R29" s="53" t="s">
        <v>801</v>
      </c>
    </row>
    <row r="30" customFormat="false" ht="15" hidden="false" customHeight="false" outlineLevel="0" collapsed="false">
      <c r="A30" s="18" t="s">
        <v>802</v>
      </c>
      <c r="B30" s="24" t="n">
        <f aca="false">B28-B29</f>
        <v>482060.628548139</v>
      </c>
      <c r="C30" s="24" t="n">
        <f aca="false">C28-C29</f>
        <v>530065.668862025</v>
      </c>
      <c r="D30" s="24" t="n">
        <f aca="false">D28-D29</f>
        <v>683223.068381641</v>
      </c>
      <c r="E30" s="24" t="n">
        <f aca="false">E28-E29</f>
        <v>1304614.93674917</v>
      </c>
      <c r="F30" s="24" t="n">
        <f aca="false">F28-F29</f>
        <v>1370137.31268034</v>
      </c>
      <c r="G30" s="24" t="n">
        <f aca="false">G28-G29</f>
        <v>1622428.76334811</v>
      </c>
      <c r="H30" s="24" t="n">
        <f aca="false">H28-H29</f>
        <v>2226035.69341903</v>
      </c>
      <c r="I30" s="24" t="n">
        <f aca="false">I28-I29</f>
        <v>2902517.63553579</v>
      </c>
      <c r="J30" s="24" t="n">
        <f aca="false">J28-J29</f>
        <v>3417999.47562031</v>
      </c>
      <c r="K30" s="24" t="n">
        <f aca="false">K28-K29</f>
        <v>4248486.11075001</v>
      </c>
      <c r="L30" s="24" t="n">
        <f aca="false">L28-L29</f>
        <v>6864336.96202465</v>
      </c>
      <c r="M30" s="24" t="n">
        <f aca="false">M28-M29</f>
        <v>8134263.84976547</v>
      </c>
      <c r="N30" s="24" t="n">
        <f aca="false">N28-N29</f>
        <v>9505617.97037157</v>
      </c>
      <c r="O30" s="24" t="n">
        <f aca="false">O28-O29</f>
        <v>10397065.9265525</v>
      </c>
      <c r="P30" s="24" t="n">
        <f aca="false">P28-P29</f>
        <v>11292183.6868714</v>
      </c>
      <c r="Q30" s="3"/>
      <c r="R30" s="3"/>
    </row>
    <row r="31" customFormat="false" ht="15" hidden="false" customHeight="false" outlineLevel="0" collapsed="false">
      <c r="A31" s="43" t="s">
        <v>803</v>
      </c>
      <c r="B31" s="44"/>
      <c r="C31" s="44"/>
      <c r="D31" s="44"/>
      <c r="E31" s="44"/>
      <c r="F31" s="44"/>
      <c r="G31" s="44"/>
      <c r="H31" s="44"/>
      <c r="I31" s="44"/>
      <c r="J31" s="44"/>
      <c r="K31" s="44"/>
      <c r="L31" s="44"/>
      <c r="M31" s="44"/>
      <c r="N31" s="44"/>
      <c r="O31" s="44"/>
      <c r="P31" s="44"/>
      <c r="Q31" s="3"/>
      <c r="R31" s="44"/>
    </row>
    <row r="32" customFormat="false" ht="32.8" hidden="false" customHeight="false" outlineLevel="0" collapsed="false">
      <c r="A32" s="18" t="s">
        <v>804</v>
      </c>
      <c r="B32" s="24" t="n">
        <f aca="false">B27</f>
        <v>85069.5226849658</v>
      </c>
      <c r="C32" s="24" t="n">
        <f aca="false">C27</f>
        <v>93541.0003874162</v>
      </c>
      <c r="D32" s="24" t="n">
        <f aca="false">D27</f>
        <v>120568.776773231</v>
      </c>
      <c r="E32" s="24" t="n">
        <f aca="false">E27</f>
        <v>230226.165308677</v>
      </c>
      <c r="F32" s="24" t="n">
        <f aca="false">F27</f>
        <v>241788.937531826</v>
      </c>
      <c r="G32" s="24" t="n">
        <f aca="false">G27</f>
        <v>286310.958237902</v>
      </c>
      <c r="H32" s="24" t="n">
        <f aca="false">H27</f>
        <v>392829.828250417</v>
      </c>
      <c r="I32" s="24" t="n">
        <f aca="false">I27</f>
        <v>512208.994506316</v>
      </c>
      <c r="J32" s="24" t="n">
        <f aca="false">J27</f>
        <v>603176.378050642</v>
      </c>
      <c r="K32" s="24" t="n">
        <f aca="false">K27</f>
        <v>749732.843073532</v>
      </c>
      <c r="L32" s="24" t="n">
        <f aca="false">L27</f>
        <v>1211353.58153376</v>
      </c>
      <c r="M32" s="24" t="n">
        <f aca="false">M27</f>
        <v>1435458.3264292</v>
      </c>
      <c r="N32" s="24" t="n">
        <f aca="false">N27</f>
        <v>1677461.99477145</v>
      </c>
      <c r="O32" s="24" t="n">
        <f aca="false">O27</f>
        <v>1834776.33997985</v>
      </c>
      <c r="P32" s="24" t="n">
        <f aca="false">P27</f>
        <v>1992738.2976832</v>
      </c>
      <c r="Q32" s="3"/>
      <c r="R32" s="53" t="s">
        <v>805</v>
      </c>
    </row>
    <row r="33" customFormat="false" ht="22.35" hidden="false" customHeight="false" outlineLevel="0" collapsed="false">
      <c r="A33" s="20" t="s">
        <v>806</v>
      </c>
      <c r="B33" s="17" t="n">
        <f aca="false">IF(B32=0,0,PMT(Assumptions!$B$111/12,60,-B32))</f>
        <v>1924.72351233583</v>
      </c>
      <c r="C33" s="17" t="n">
        <f aca="false">IF(C32=0,0,PMT(Assumptions!$B$111/12,60,-C32))</f>
        <v>2116.39324085326</v>
      </c>
      <c r="D33" s="17" t="n">
        <f aca="false">IF(D32=0,0,PMT(Assumptions!$B$111/12,60,-D32))</f>
        <v>2727.90480285626</v>
      </c>
      <c r="E33" s="17" t="n">
        <f aca="false">IF(E32=0,0,PMT(Assumptions!$B$111/12,60,-E32))</f>
        <v>5208.93616819174</v>
      </c>
      <c r="F33" s="17" t="n">
        <f aca="false">IF(F32=0,0,PMT(Assumptions!$B$111/12,60,-F32))</f>
        <v>5470.54736410845</v>
      </c>
      <c r="G33" s="17" t="n">
        <f aca="false">IF(G32=0,0,PMT(Assumptions!$B$111/12,60,-G32))</f>
        <v>6477.871460507</v>
      </c>
      <c r="H33" s="17" t="n">
        <f aca="false">IF(H32=0,0,PMT(Assumptions!$B$111/12,60,-H32))</f>
        <v>8887.89290120287</v>
      </c>
      <c r="I33" s="17" t="n">
        <f aca="false">IF(I32=0,0,PMT(Assumptions!$B$111/12,60,-I32))</f>
        <v>11588.8824086518</v>
      </c>
      <c r="J33" s="17" t="n">
        <f aca="false">IF(J32=0,0,PMT(Assumptions!$B$111/12,60,-J32))</f>
        <v>13647.0467951128</v>
      </c>
      <c r="K33" s="17" t="n">
        <f aca="false">IF(K32=0,0,PMT(Assumptions!$B$111/12,60,-K32))</f>
        <v>16962.9308533671</v>
      </c>
      <c r="L33" s="17" t="n">
        <f aca="false">IF(L32=0,0,PMT(Assumptions!$B$111/12,60,-L32))</f>
        <v>27407.2387682774</v>
      </c>
      <c r="M33" s="17" t="n">
        <f aca="false">IF(M32=0,0,PMT(Assumptions!$B$111/12,60,-M32))</f>
        <v>32477.6759602626</v>
      </c>
      <c r="N33" s="17" t="n">
        <f aca="false">IF(N32=0,0,PMT(Assumptions!$B$111/12,60,-N32))</f>
        <v>37953.081673479</v>
      </c>
      <c r="O33" s="17" t="n">
        <f aca="false">IF(O32=0,0,PMT(Assumptions!$B$111/12,60,-O32))</f>
        <v>41512.3660034453</v>
      </c>
      <c r="P33" s="17" t="n">
        <f aca="false">IF(P32=0,0,PMT(Assumptions!$B$111/12,60,-P32))</f>
        <v>45086.3027607038</v>
      </c>
      <c r="Q33" s="3"/>
      <c r="R33" s="53" t="s">
        <v>807</v>
      </c>
    </row>
    <row r="34" customFormat="false" ht="15" hidden="false" customHeight="false" outlineLevel="0" collapsed="false">
      <c r="A34" s="3"/>
      <c r="B34" s="3"/>
      <c r="C34" s="3"/>
      <c r="D34" s="3"/>
      <c r="E34" s="3"/>
      <c r="F34" s="3"/>
      <c r="G34" s="3"/>
      <c r="H34" s="3"/>
      <c r="I34" s="3"/>
      <c r="J34" s="3"/>
      <c r="K34" s="3"/>
      <c r="L34" s="3"/>
      <c r="M34" s="3"/>
      <c r="N34" s="3"/>
      <c r="O34" s="3"/>
      <c r="P34" s="3"/>
      <c r="Q34" s="3"/>
      <c r="R34" s="3"/>
    </row>
    <row r="35" customFormat="false" ht="15" hidden="false" customHeight="false" outlineLevel="0" collapsed="false">
      <c r="A35" s="5" t="s">
        <v>808</v>
      </c>
      <c r="B35" s="6"/>
      <c r="C35" s="6"/>
      <c r="D35" s="6"/>
      <c r="E35" s="6"/>
      <c r="F35" s="6"/>
      <c r="G35" s="6"/>
      <c r="H35" s="6"/>
      <c r="I35" s="6"/>
      <c r="J35" s="6"/>
      <c r="K35" s="6"/>
      <c r="L35" s="6"/>
      <c r="M35" s="6"/>
      <c r="N35" s="6"/>
      <c r="O35" s="6"/>
      <c r="P35" s="6"/>
      <c r="Q35" s="3"/>
      <c r="R35" s="6"/>
    </row>
    <row r="36" customFormat="false" ht="57.75" hidden="false" customHeight="true" outlineLevel="0" collapsed="false">
      <c r="A36" s="33" t="s">
        <v>809</v>
      </c>
      <c r="B36" s="33"/>
      <c r="C36" s="33"/>
      <c r="D36" s="33"/>
      <c r="E36" s="33"/>
      <c r="F36" s="33"/>
      <c r="G36" s="33"/>
      <c r="H36" s="33"/>
      <c r="I36" s="33"/>
      <c r="J36" s="33"/>
      <c r="K36" s="33"/>
      <c r="L36" s="33"/>
      <c r="M36" s="33"/>
      <c r="N36" s="33"/>
      <c r="O36" s="33"/>
      <c r="P36" s="33"/>
      <c r="Q36" s="33"/>
      <c r="R36" s="33"/>
    </row>
  </sheetData>
  <sheetProtection sheet="true" password="ef11" formatCells="false" formatColumns="false" formatRows="false"/>
  <mergeCells count="1">
    <mergeCell ref="A36:R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16" min="2" style="1" width="12"/>
    <col collapsed="false" customWidth="true" hidden="false" outlineLevel="0" max="18" min="18" style="1" width="60"/>
  </cols>
  <sheetData>
    <row r="1" customFormat="false" ht="17.35" hidden="false" customHeight="false" outlineLevel="0" collapsed="false">
      <c r="A1" s="2" t="s">
        <v>810</v>
      </c>
      <c r="B1" s="3"/>
      <c r="C1" s="3"/>
      <c r="D1" s="3"/>
      <c r="E1" s="3"/>
      <c r="F1" s="3"/>
      <c r="G1" s="3"/>
      <c r="H1" s="3"/>
      <c r="I1" s="3"/>
      <c r="J1" s="3"/>
      <c r="K1" s="3"/>
      <c r="L1" s="3"/>
      <c r="M1" s="3"/>
      <c r="N1" s="3"/>
      <c r="O1" s="3"/>
      <c r="P1" s="3"/>
      <c r="Q1" s="3"/>
      <c r="R1" s="3"/>
    </row>
    <row r="2" customFormat="false" ht="15" hidden="false" customHeight="false" outlineLevel="0" collapsed="false">
      <c r="A2" s="4" t="s">
        <v>811</v>
      </c>
      <c r="B2" s="3"/>
      <c r="C2" s="3"/>
      <c r="D2" s="3"/>
      <c r="E2" s="3"/>
      <c r="F2" s="3"/>
      <c r="G2" s="3"/>
      <c r="H2" s="3"/>
      <c r="I2" s="3"/>
      <c r="J2" s="3"/>
      <c r="K2" s="3"/>
      <c r="L2" s="3"/>
      <c r="M2" s="3"/>
      <c r="N2" s="3"/>
      <c r="O2" s="3"/>
      <c r="P2" s="3"/>
      <c r="Q2" s="3"/>
      <c r="R2" s="3"/>
    </row>
    <row r="3" customFormat="false" ht="15" hidden="false" customHeight="false" outlineLevel="0" collapsed="false">
      <c r="A3" s="3"/>
      <c r="B3" s="3"/>
      <c r="C3" s="3"/>
      <c r="D3" s="3"/>
      <c r="E3" s="3"/>
      <c r="F3" s="3"/>
      <c r="G3" s="3"/>
      <c r="H3" s="3"/>
      <c r="I3" s="3"/>
      <c r="J3" s="3"/>
      <c r="K3" s="3"/>
      <c r="L3" s="3"/>
      <c r="M3" s="3"/>
      <c r="N3" s="3"/>
      <c r="O3" s="3"/>
      <c r="P3" s="3"/>
      <c r="Q3" s="3"/>
      <c r="R3" s="3"/>
    </row>
    <row r="4" customFormat="false" ht="15" hidden="false" customHeight="false" outlineLevel="0" collapsed="false">
      <c r="A4" s="5" t="s">
        <v>618</v>
      </c>
      <c r="B4" s="6"/>
      <c r="C4" s="6"/>
      <c r="D4" s="6"/>
      <c r="E4" s="6"/>
      <c r="F4" s="6"/>
      <c r="G4" s="6"/>
      <c r="H4" s="6"/>
      <c r="I4" s="6"/>
      <c r="J4" s="6"/>
      <c r="K4" s="6"/>
      <c r="L4" s="6"/>
      <c r="M4" s="6"/>
      <c r="N4" s="6"/>
      <c r="O4" s="6"/>
      <c r="P4" s="6"/>
      <c r="Q4" s="3"/>
      <c r="R4" s="6"/>
    </row>
    <row r="5" customFormat="false" ht="15" hidden="false" customHeight="false" outlineLevel="0" collapsed="false">
      <c r="A5" s="8" t="s">
        <v>739</v>
      </c>
      <c r="B5" s="3"/>
      <c r="C5" s="3"/>
      <c r="D5" s="3"/>
      <c r="E5" s="8" t="s">
        <v>812</v>
      </c>
      <c r="F5" s="3"/>
      <c r="G5" s="3"/>
      <c r="H5" s="3"/>
      <c r="I5" s="8" t="s">
        <v>813</v>
      </c>
      <c r="J5" s="3"/>
      <c r="K5" s="3"/>
      <c r="L5" s="3"/>
      <c r="M5" s="8" t="s">
        <v>814</v>
      </c>
      <c r="N5" s="3"/>
      <c r="O5" s="3"/>
      <c r="P5" s="3"/>
      <c r="Q5" s="3"/>
      <c r="R5" s="3"/>
    </row>
    <row r="6" customFormat="false" ht="15" hidden="false" customHeight="false" outlineLevel="0" collapsed="false">
      <c r="A6" s="45" t="n">
        <f aca="false">Assumptions!$B$39</f>
        <v>10</v>
      </c>
      <c r="B6" s="3"/>
      <c r="C6" s="3"/>
      <c r="D6" s="3"/>
      <c r="E6" s="47" t="n">
        <f aca="false">INDEX(B18:P18,Assumptions!$B$39)</f>
        <v>82459.6807714524</v>
      </c>
      <c r="F6" s="3"/>
      <c r="G6" s="3"/>
      <c r="H6" s="3"/>
      <c r="I6" s="47" t="n">
        <f aca="false">INDEX(B20:P20,Assumptions!$B$39)</f>
        <v>87916.6335282246</v>
      </c>
      <c r="J6" s="3"/>
      <c r="K6" s="3"/>
      <c r="L6" s="3"/>
      <c r="M6" s="47" t="n">
        <f aca="false">INDEX(B21:P21,Assumptions!$B$39)</f>
        <v>170376.314299677</v>
      </c>
      <c r="N6" s="3"/>
      <c r="O6" s="3"/>
      <c r="P6" s="3"/>
      <c r="Q6" s="3"/>
      <c r="R6" s="3"/>
    </row>
    <row r="7" customFormat="false" ht="15" hidden="false" customHeight="false" outlineLevel="0" collapsed="false">
      <c r="A7" s="8" t="s">
        <v>815</v>
      </c>
      <c r="B7" s="3"/>
      <c r="C7" s="3"/>
      <c r="D7" s="3"/>
      <c r="E7" s="8" t="s">
        <v>816</v>
      </c>
      <c r="F7" s="3"/>
      <c r="G7" s="3"/>
      <c r="H7" s="3"/>
      <c r="I7" s="8" t="s">
        <v>817</v>
      </c>
      <c r="J7" s="3"/>
      <c r="K7" s="3"/>
      <c r="L7" s="3"/>
      <c r="M7" s="8" t="s">
        <v>818</v>
      </c>
      <c r="N7" s="3"/>
      <c r="O7" s="3"/>
      <c r="P7" s="3"/>
      <c r="Q7" s="3"/>
      <c r="R7" s="3"/>
    </row>
    <row r="8" customFormat="false" ht="15" hidden="false" customHeight="false" outlineLevel="0" collapsed="false">
      <c r="A8" s="47" t="n">
        <f aca="false">INDEX(B22:P22,Assumptions!$B$39)</f>
        <v>1146776.41584236</v>
      </c>
      <c r="B8" s="3"/>
      <c r="C8" s="3"/>
      <c r="D8" s="3"/>
      <c r="E8" s="62" t="n">
        <f aca="false">INDEX(B23:P23,Assumptions!$B$39)</f>
        <v>0.0344049799140254</v>
      </c>
      <c r="F8" s="3"/>
      <c r="G8" s="3"/>
      <c r="H8" s="3"/>
      <c r="I8" s="47" t="n">
        <f aca="false">INDEX(B29:P29,Assumptions!$B$39)</f>
        <v>749732.843073532</v>
      </c>
      <c r="J8" s="3"/>
      <c r="K8" s="3"/>
      <c r="L8" s="3"/>
      <c r="M8" s="47" t="n">
        <f aca="false">INDEX(B30:P30,Assumptions!$B$39)</f>
        <v>1896509.25891589</v>
      </c>
      <c r="N8" s="3"/>
      <c r="O8" s="3"/>
      <c r="P8" s="3"/>
      <c r="Q8" s="3"/>
      <c r="R8" s="3"/>
    </row>
    <row r="9" customFormat="false" ht="15" hidden="false" customHeight="false" outlineLevel="0" collapsed="false">
      <c r="A9" s="3"/>
      <c r="B9" s="3"/>
      <c r="C9" s="3"/>
      <c r="D9" s="3"/>
      <c r="E9" s="3"/>
      <c r="F9" s="3"/>
      <c r="G9" s="3"/>
      <c r="H9" s="3"/>
      <c r="I9" s="3"/>
      <c r="J9" s="3"/>
      <c r="K9" s="3"/>
      <c r="L9" s="3"/>
      <c r="M9" s="3"/>
      <c r="N9" s="3"/>
      <c r="O9" s="3"/>
      <c r="P9" s="3"/>
      <c r="Q9" s="3"/>
      <c r="R9" s="3"/>
    </row>
    <row r="10" customFormat="false" ht="15" hidden="false" customHeight="false" outlineLevel="0" collapsed="false">
      <c r="A10" s="3"/>
      <c r="B10" s="3"/>
      <c r="C10" s="3"/>
      <c r="D10" s="3"/>
      <c r="E10" s="3"/>
      <c r="F10" s="3"/>
      <c r="G10" s="3"/>
      <c r="H10" s="3"/>
      <c r="I10" s="3"/>
      <c r="J10" s="3"/>
      <c r="K10" s="3"/>
      <c r="L10" s="3"/>
      <c r="M10" s="3"/>
      <c r="N10" s="3"/>
      <c r="O10" s="3"/>
      <c r="P10" s="3"/>
      <c r="Q10" s="3"/>
      <c r="R10" s="3"/>
    </row>
    <row r="11" customFormat="false" ht="15" hidden="false" customHeight="false" outlineLevel="0" collapsed="false">
      <c r="A11" s="3"/>
      <c r="B11" s="3"/>
      <c r="C11" s="3"/>
      <c r="D11" s="3"/>
      <c r="E11" s="3"/>
      <c r="F11" s="3"/>
      <c r="G11" s="3"/>
      <c r="H11" s="3"/>
      <c r="I11" s="3"/>
      <c r="J11" s="3"/>
      <c r="K11" s="3"/>
      <c r="L11" s="3"/>
      <c r="M11" s="3"/>
      <c r="N11" s="3"/>
      <c r="O11" s="3"/>
      <c r="P11" s="3"/>
      <c r="Q11" s="3"/>
      <c r="R11" s="3"/>
    </row>
    <row r="12" customFormat="false" ht="15" hidden="false" customHeight="false" outlineLevel="0" collapsed="false">
      <c r="A12" s="3"/>
      <c r="B12" s="3"/>
      <c r="C12" s="3"/>
      <c r="D12" s="3"/>
      <c r="E12" s="3"/>
      <c r="F12" s="3"/>
      <c r="G12" s="3"/>
      <c r="H12" s="3"/>
      <c r="I12" s="3"/>
      <c r="J12" s="3"/>
      <c r="K12" s="3"/>
      <c r="L12" s="3"/>
      <c r="M12" s="3"/>
      <c r="N12" s="3"/>
      <c r="O12" s="3"/>
      <c r="P12" s="3"/>
      <c r="Q12" s="3"/>
      <c r="R12" s="3"/>
    </row>
    <row r="13" customFormat="false" ht="15" hidden="false" customHeight="false" outlineLevel="0" collapsed="false">
      <c r="A13" s="18" t="s">
        <v>632</v>
      </c>
      <c r="B13" s="19" t="n">
        <v>1</v>
      </c>
      <c r="C13" s="19" t="n">
        <v>2</v>
      </c>
      <c r="D13" s="19" t="n">
        <v>3</v>
      </c>
      <c r="E13" s="19" t="n">
        <v>4</v>
      </c>
      <c r="F13" s="19" t="n">
        <v>5</v>
      </c>
      <c r="G13" s="19" t="n">
        <v>6</v>
      </c>
      <c r="H13" s="19" t="n">
        <v>7</v>
      </c>
      <c r="I13" s="19" t="n">
        <v>8</v>
      </c>
      <c r="J13" s="19" t="n">
        <v>9</v>
      </c>
      <c r="K13" s="19" t="n">
        <v>10</v>
      </c>
      <c r="L13" s="19" t="n">
        <v>11</v>
      </c>
      <c r="M13" s="19" t="n">
        <v>12</v>
      </c>
      <c r="N13" s="19" t="n">
        <v>13</v>
      </c>
      <c r="O13" s="19" t="n">
        <v>14</v>
      </c>
      <c r="P13" s="19" t="n">
        <v>15</v>
      </c>
      <c r="Q13" s="3"/>
      <c r="R13" s="18" t="s">
        <v>490</v>
      </c>
    </row>
    <row r="14" customFormat="false" ht="15" hidden="false" customHeight="false" outlineLevel="0" collapsed="false">
      <c r="A14" s="5" t="s">
        <v>819</v>
      </c>
      <c r="B14" s="6"/>
      <c r="C14" s="6"/>
      <c r="D14" s="6"/>
      <c r="E14" s="6"/>
      <c r="F14" s="6"/>
      <c r="G14" s="6"/>
      <c r="H14" s="6"/>
      <c r="I14" s="6"/>
      <c r="J14" s="6"/>
      <c r="K14" s="6"/>
      <c r="L14" s="6"/>
      <c r="M14" s="6"/>
      <c r="N14" s="6"/>
      <c r="O14" s="6"/>
      <c r="P14" s="6"/>
      <c r="Q14" s="3"/>
      <c r="R14" s="6"/>
    </row>
    <row r="15" customFormat="false" ht="15" hidden="false" customHeight="false" outlineLevel="0" collapsed="false">
      <c r="A15" s="20" t="s">
        <v>749</v>
      </c>
      <c r="B15" s="17" t="n">
        <f aca="false">'Long range 15-yr'!B36</f>
        <v>1107883.476</v>
      </c>
      <c r="C15" s="17" t="n">
        <f aca="false">'Long range 15-yr'!C36</f>
        <v>1130224.27392</v>
      </c>
      <c r="D15" s="17" t="n">
        <f aca="false">'Long range 15-yr'!D36</f>
        <v>1470581.13731659</v>
      </c>
      <c r="E15" s="17" t="n">
        <f aca="false">'Long range 15-yr'!E36</f>
        <v>2128361.5241759</v>
      </c>
      <c r="F15" s="17" t="n">
        <f aca="false">'Long range 15-yr'!F36</f>
        <v>2531696.60117519</v>
      </c>
      <c r="G15" s="17" t="n">
        <f aca="false">'Long range 15-yr'!G36</f>
        <v>2960567.60023987</v>
      </c>
      <c r="H15" s="17" t="n">
        <f aca="false">'Long range 15-yr'!H36</f>
        <v>3415973.30476096</v>
      </c>
      <c r="I15" s="17" t="n">
        <f aca="false">'Long range 15-yr'!I36</f>
        <v>3898958.3702101</v>
      </c>
      <c r="J15" s="17" t="n">
        <f aca="false">'Long range 15-yr'!J36</f>
        <v>4410614.70976327</v>
      </c>
      <c r="K15" s="17" t="n">
        <f aca="false">'Long range 15-yr'!K36</f>
        <v>4952082.94628947</v>
      </c>
      <c r="L15" s="17" t="n">
        <f aca="false">'Long range 15-yr'!L36</f>
        <v>5524553.93215493</v>
      </c>
      <c r="M15" s="17" t="n">
        <f aca="false">'Long range 15-yr'!M36</f>
        <v>6129270.33838766</v>
      </c>
      <c r="N15" s="17" t="n">
        <f aca="false">'Long range 15-yr'!N36</f>
        <v>6767528.314843</v>
      </c>
      <c r="O15" s="17" t="n">
        <f aca="false">'Long range 15-yr'!O36</f>
        <v>7045784.99129078</v>
      </c>
      <c r="P15" s="17" t="n">
        <f aca="false">'Long range 15-yr'!P36</f>
        <v>7328447.27269707</v>
      </c>
      <c r="Q15" s="3"/>
      <c r="R15" s="3"/>
    </row>
    <row r="16" customFormat="false" ht="22.35" hidden="false" customHeight="false" outlineLevel="0" collapsed="false">
      <c r="A16" s="18" t="s">
        <v>820</v>
      </c>
      <c r="B16" s="24" t="n">
        <f aca="false">'Long range 15-yr'!B51</f>
        <v>159346.07309104</v>
      </c>
      <c r="C16" s="24" t="n">
        <f aca="false">'Long range 15-yr'!C51</f>
        <v>148686.24221904</v>
      </c>
      <c r="D16" s="24" t="n">
        <f aca="false">'Long range 15-yr'!D51</f>
        <v>205430.854335931</v>
      </c>
      <c r="E16" s="24" t="n">
        <f aca="false">'Long range 15-yr'!E51</f>
        <v>330212.618568055</v>
      </c>
      <c r="F16" s="24" t="n">
        <f aca="false">'Long range 15-yr'!F51</f>
        <v>321947.318307169</v>
      </c>
      <c r="G16" s="24" t="n">
        <f aca="false">'Long range 15-yr'!G51</f>
        <v>364099.926862789</v>
      </c>
      <c r="H16" s="24" t="n">
        <f aca="false">'Long range 15-yr'!H51</f>
        <v>496151.297211341</v>
      </c>
      <c r="I16" s="24" t="n">
        <f aca="false">'Long range 15-yr'!I51</f>
        <v>635530.442582843</v>
      </c>
      <c r="J16" s="24" t="n">
        <f aca="false">'Long range 15-yr'!J51</f>
        <v>719075.961720472</v>
      </c>
      <c r="K16" s="24" t="n">
        <f aca="false">'Long range 15-yr'!K51</f>
        <v>879166.335282246</v>
      </c>
      <c r="L16" s="24" t="n">
        <f aca="false">'Long range 15-yr'!L51</f>
        <v>1047070.66564829</v>
      </c>
      <c r="M16" s="24" t="n">
        <f aca="false">'Long range 15-yr'!M51</f>
        <v>1222827.40169565</v>
      </c>
      <c r="N16" s="24" t="n">
        <f aca="false">'Long range 15-yr'!N51</f>
        <v>1406465.40590655</v>
      </c>
      <c r="O16" s="24" t="n">
        <f aca="false">'Long range 15-yr'!O51</f>
        <v>1477343.6700041</v>
      </c>
      <c r="P16" s="24" t="n">
        <f aca="false">'Long range 15-yr'!P51</f>
        <v>1546229.81094027</v>
      </c>
      <c r="Q16" s="3"/>
      <c r="R16" s="53" t="s">
        <v>821</v>
      </c>
    </row>
    <row r="17" customFormat="false" ht="15" hidden="false" customHeight="false" outlineLevel="0" collapsed="false">
      <c r="A17" s="43" t="s">
        <v>822</v>
      </c>
      <c r="B17" s="44"/>
      <c r="C17" s="44"/>
      <c r="D17" s="44"/>
      <c r="E17" s="44"/>
      <c r="F17" s="44"/>
      <c r="G17" s="44"/>
      <c r="H17" s="44"/>
      <c r="I17" s="44"/>
      <c r="J17" s="44"/>
      <c r="K17" s="44"/>
      <c r="L17" s="44"/>
      <c r="M17" s="44"/>
      <c r="N17" s="44"/>
      <c r="O17" s="44"/>
      <c r="P17" s="44"/>
      <c r="Q17" s="3"/>
      <c r="R17" s="44"/>
    </row>
    <row r="18" customFormat="false" ht="22.35" hidden="false" customHeight="false" outlineLevel="0" collapsed="false">
      <c r="A18" s="20" t="s">
        <v>812</v>
      </c>
      <c r="B18" s="17" t="n">
        <f aca="false">Assumptions!$B$144</f>
        <v>60000</v>
      </c>
      <c r="C18" s="17" t="n">
        <f aca="false">Assumptions!$B$144</f>
        <v>60000</v>
      </c>
      <c r="D18" s="17" t="n">
        <f aca="false">Assumptions!$B$145</f>
        <v>66000</v>
      </c>
      <c r="E18" s="17" t="n">
        <f aca="false">Assumptions!$B$146</f>
        <v>72000</v>
      </c>
      <c r="F18" s="17" t="n">
        <f aca="false">Assumptions!$B$146</f>
        <v>72000</v>
      </c>
      <c r="G18" s="17" t="n">
        <f aca="false">F18*(1+Assumptions!$B$147)</f>
        <v>73980</v>
      </c>
      <c r="H18" s="17" t="n">
        <f aca="false">G18*(1+Assumptions!$B$147)</f>
        <v>76014.45</v>
      </c>
      <c r="I18" s="17" t="n">
        <f aca="false">H18*(1+Assumptions!$B$147)</f>
        <v>78104.847375</v>
      </c>
      <c r="J18" s="17" t="n">
        <f aca="false">I18*(1+Assumptions!$B$147)</f>
        <v>80252.7306778125</v>
      </c>
      <c r="K18" s="17" t="n">
        <f aca="false">J18*(1+Assumptions!$B$147)</f>
        <v>82459.6807714524</v>
      </c>
      <c r="L18" s="17" t="n">
        <f aca="false">K18*(1+Assumptions!$B$147)</f>
        <v>84727.3219926673</v>
      </c>
      <c r="M18" s="17" t="n">
        <f aca="false">L18*(1+Assumptions!$B$147)</f>
        <v>87057.3233474657</v>
      </c>
      <c r="N18" s="17" t="n">
        <f aca="false">M18*(1+Assumptions!$B$147)</f>
        <v>89451.399739521</v>
      </c>
      <c r="O18" s="17" t="n">
        <f aca="false">N18*(1+Assumptions!$B$147)</f>
        <v>91911.3132323578</v>
      </c>
      <c r="P18" s="17" t="n">
        <f aca="false">O18*(1+Assumptions!$B$147)</f>
        <v>94438.8743462477</v>
      </c>
      <c r="Q18" s="3"/>
      <c r="R18" s="53" t="s">
        <v>823</v>
      </c>
    </row>
    <row r="19" customFormat="false" ht="22.35" hidden="false" customHeight="false" outlineLevel="0" collapsed="false">
      <c r="A19" s="20" t="s">
        <v>824</v>
      </c>
      <c r="B19" s="17" t="n">
        <f aca="false">MAX(0,B16-Assumptions!$B$148)</f>
        <v>159346.07309104</v>
      </c>
      <c r="C19" s="17" t="n">
        <f aca="false">MAX(0,C16-Assumptions!$B$148)</f>
        <v>148686.24221904</v>
      </c>
      <c r="D19" s="17" t="n">
        <f aca="false">MAX(0,D16-Assumptions!$B$148)</f>
        <v>205430.854335931</v>
      </c>
      <c r="E19" s="17" t="n">
        <f aca="false">MAX(0,E16-Assumptions!$B$148)</f>
        <v>330212.618568055</v>
      </c>
      <c r="F19" s="17" t="n">
        <f aca="false">MAX(0,F16-Assumptions!$B$148)</f>
        <v>321947.318307169</v>
      </c>
      <c r="G19" s="17" t="n">
        <f aca="false">MAX(0,G16-Assumptions!$B$148)</f>
        <v>364099.926862789</v>
      </c>
      <c r="H19" s="17" t="n">
        <f aca="false">MAX(0,H16-Assumptions!$B$148)</f>
        <v>496151.297211341</v>
      </c>
      <c r="I19" s="17" t="n">
        <f aca="false">MAX(0,I16-Assumptions!$B$148)</f>
        <v>635530.442582843</v>
      </c>
      <c r="J19" s="17" t="n">
        <f aca="false">MAX(0,J16-Assumptions!$B$148)</f>
        <v>719075.961720472</v>
      </c>
      <c r="K19" s="17" t="n">
        <f aca="false">MAX(0,K16-Assumptions!$B$148)</f>
        <v>879166.335282246</v>
      </c>
      <c r="L19" s="17" t="n">
        <f aca="false">MAX(0,L16-Assumptions!$B$148)</f>
        <v>1047070.66564829</v>
      </c>
      <c r="M19" s="17" t="n">
        <f aca="false">MAX(0,M16-Assumptions!$B$148)</f>
        <v>1222827.40169565</v>
      </c>
      <c r="N19" s="17" t="n">
        <f aca="false">MAX(0,N16-Assumptions!$B$148)</f>
        <v>1406465.40590655</v>
      </c>
      <c r="O19" s="17" t="n">
        <f aca="false">MAX(0,O16-Assumptions!$B$148)</f>
        <v>1477343.6700041</v>
      </c>
      <c r="P19" s="17" t="n">
        <f aca="false">MAX(0,P16-Assumptions!$B$148)</f>
        <v>1546229.81094027</v>
      </c>
      <c r="Q19" s="3"/>
      <c r="R19" s="53" t="s">
        <v>825</v>
      </c>
    </row>
    <row r="20" customFormat="false" ht="15" hidden="false" customHeight="false" outlineLevel="0" collapsed="false">
      <c r="A20" s="20" t="s">
        <v>826</v>
      </c>
      <c r="B20" s="17" t="n">
        <f aca="false">B19*Assumptions!$B$121</f>
        <v>15934.607309104</v>
      </c>
      <c r="C20" s="17" t="n">
        <f aca="false">C19*Assumptions!$B$121</f>
        <v>14868.624221904</v>
      </c>
      <c r="D20" s="17" t="n">
        <f aca="false">D19*Assumptions!$B$121</f>
        <v>20543.0854335931</v>
      </c>
      <c r="E20" s="17" t="n">
        <f aca="false">E19*Assumptions!$B$121</f>
        <v>33021.2618568055</v>
      </c>
      <c r="F20" s="17" t="n">
        <f aca="false">F19*Assumptions!$B$121</f>
        <v>32194.7318307169</v>
      </c>
      <c r="G20" s="17" t="n">
        <f aca="false">G19*Assumptions!$B$121</f>
        <v>36409.9926862789</v>
      </c>
      <c r="H20" s="17" t="n">
        <f aca="false">H19*Assumptions!$B$121</f>
        <v>49615.1297211341</v>
      </c>
      <c r="I20" s="17" t="n">
        <f aca="false">I19*Assumptions!$B$121</f>
        <v>63553.0442582843</v>
      </c>
      <c r="J20" s="17" t="n">
        <f aca="false">J19*Assumptions!$B$121</f>
        <v>71907.5961720472</v>
      </c>
      <c r="K20" s="17" t="n">
        <f aca="false">K19*Assumptions!$B$121</f>
        <v>87916.6335282246</v>
      </c>
      <c r="L20" s="17" t="n">
        <f aca="false">L19*Assumptions!$B$121</f>
        <v>104707.066564829</v>
      </c>
      <c r="M20" s="17" t="n">
        <f aca="false">M19*Assumptions!$B$121</f>
        <v>122282.740169565</v>
      </c>
      <c r="N20" s="17" t="n">
        <f aca="false">N19*Assumptions!$B$121</f>
        <v>140646.540590655</v>
      </c>
      <c r="O20" s="17" t="n">
        <f aca="false">O19*Assumptions!$B$121</f>
        <v>147734.36700041</v>
      </c>
      <c r="P20" s="17" t="n">
        <f aca="false">P19*Assumptions!$B$121</f>
        <v>154622.981094027</v>
      </c>
      <c r="Q20" s="3"/>
      <c r="R20" s="3"/>
    </row>
    <row r="21" customFormat="false" ht="15" hidden="false" customHeight="false" outlineLevel="0" collapsed="false">
      <c r="A21" s="18" t="s">
        <v>827</v>
      </c>
      <c r="B21" s="24" t="n">
        <f aca="false">B18+B20</f>
        <v>75934.607309104</v>
      </c>
      <c r="C21" s="24" t="n">
        <f aca="false">C18+C20</f>
        <v>74868.624221904</v>
      </c>
      <c r="D21" s="24" t="n">
        <f aca="false">D18+D20</f>
        <v>86543.0854335931</v>
      </c>
      <c r="E21" s="24" t="n">
        <f aca="false">E18+E20</f>
        <v>105021.261856805</v>
      </c>
      <c r="F21" s="24" t="n">
        <f aca="false">F18+F20</f>
        <v>104194.731830717</v>
      </c>
      <c r="G21" s="24" t="n">
        <f aca="false">G18+G20</f>
        <v>110389.992686279</v>
      </c>
      <c r="H21" s="24" t="n">
        <f aca="false">H18+H20</f>
        <v>125629.579721134</v>
      </c>
      <c r="I21" s="24" t="n">
        <f aca="false">I18+I20</f>
        <v>141657.891633284</v>
      </c>
      <c r="J21" s="24" t="n">
        <f aca="false">J18+J20</f>
        <v>152160.32684986</v>
      </c>
      <c r="K21" s="24" t="n">
        <f aca="false">K18+K20</f>
        <v>170376.314299677</v>
      </c>
      <c r="L21" s="24" t="n">
        <f aca="false">L18+L20</f>
        <v>189434.388557496</v>
      </c>
      <c r="M21" s="24" t="n">
        <f aca="false">M18+M20</f>
        <v>209340.06351703</v>
      </c>
      <c r="N21" s="24" t="n">
        <f aca="false">N18+N20</f>
        <v>230097.940330176</v>
      </c>
      <c r="O21" s="24" t="n">
        <f aca="false">O18+O20</f>
        <v>239645.680232767</v>
      </c>
      <c r="P21" s="24" t="n">
        <f aca="false">P18+P20</f>
        <v>249061.855440275</v>
      </c>
      <c r="Q21" s="3"/>
      <c r="R21" s="3"/>
    </row>
    <row r="22" customFormat="false" ht="15" hidden="false" customHeight="false" outlineLevel="0" collapsed="false">
      <c r="A22" s="18" t="s">
        <v>828</v>
      </c>
      <c r="B22" s="24" t="n">
        <f aca="false">B21</f>
        <v>75934.607309104</v>
      </c>
      <c r="C22" s="24" t="n">
        <f aca="false">B22+C21</f>
        <v>150803.231531008</v>
      </c>
      <c r="D22" s="24" t="n">
        <f aca="false">C22+D21</f>
        <v>237346.316964601</v>
      </c>
      <c r="E22" s="24" t="n">
        <f aca="false">D22+E21</f>
        <v>342367.578821407</v>
      </c>
      <c r="F22" s="24" t="n">
        <f aca="false">E22+F21</f>
        <v>446562.310652123</v>
      </c>
      <c r="G22" s="24" t="n">
        <f aca="false">F22+G21</f>
        <v>556952.303338402</v>
      </c>
      <c r="H22" s="24" t="n">
        <f aca="false">G22+H21</f>
        <v>682581.883059537</v>
      </c>
      <c r="I22" s="24" t="n">
        <f aca="false">H22+I21</f>
        <v>824239.774692821</v>
      </c>
      <c r="J22" s="24" t="n">
        <f aca="false">I22+J21</f>
        <v>976400.101542681</v>
      </c>
      <c r="K22" s="24" t="n">
        <f aca="false">J22+K21</f>
        <v>1146776.41584236</v>
      </c>
      <c r="L22" s="24" t="n">
        <f aca="false">K22+L21</f>
        <v>1336210.80439985</v>
      </c>
      <c r="M22" s="24" t="n">
        <f aca="false">L22+M21</f>
        <v>1545550.86791688</v>
      </c>
      <c r="N22" s="24" t="n">
        <f aca="false">M22+N21</f>
        <v>1775648.80824706</v>
      </c>
      <c r="O22" s="24" t="n">
        <f aca="false">N22+O21</f>
        <v>2015294.48847983</v>
      </c>
      <c r="P22" s="24" t="n">
        <f aca="false">O22+P21</f>
        <v>2264356.3439201</v>
      </c>
      <c r="Q22" s="3"/>
      <c r="R22" s="3"/>
    </row>
    <row r="23" customFormat="false" ht="22.35" hidden="false" customHeight="false" outlineLevel="0" collapsed="false">
      <c r="A23" s="20" t="s">
        <v>829</v>
      </c>
      <c r="B23" s="23" t="n">
        <f aca="false">B21/B15</f>
        <v>0.0685402471957294</v>
      </c>
      <c r="C23" s="23" t="n">
        <f aca="false">C21/C15</f>
        <v>0.0662422723962867</v>
      </c>
      <c r="D23" s="23" t="n">
        <f aca="false">D21/D15</f>
        <v>0.0588495821396911</v>
      </c>
      <c r="E23" s="23" t="n">
        <f aca="false">E21/E15</f>
        <v>0.0493437137741294</v>
      </c>
      <c r="F23" s="23" t="n">
        <f aca="false">F21/F15</f>
        <v>0.0411560894707331</v>
      </c>
      <c r="G23" s="23" t="n">
        <f aca="false">G21/G15</f>
        <v>0.0372867664556401</v>
      </c>
      <c r="H23" s="23" t="n">
        <f aca="false">H21/H15</f>
        <v>0.0367770964562399</v>
      </c>
      <c r="I23" s="23" t="n">
        <f aca="false">I21/I15</f>
        <v>0.0363322400966418</v>
      </c>
      <c r="J23" s="23" t="n">
        <f aca="false">J21/J15</f>
        <v>0.0344986667080759</v>
      </c>
      <c r="K23" s="23" t="n">
        <f aca="false">K21/K15</f>
        <v>0.0344049799140254</v>
      </c>
      <c r="L23" s="23" t="n">
        <f aca="false">L21/L15</f>
        <v>0.03428953556864</v>
      </c>
      <c r="M23" s="23" t="n">
        <f aca="false">M21/M15</f>
        <v>0.034154157340056</v>
      </c>
      <c r="N23" s="23" t="n">
        <f aca="false">N21/N15</f>
        <v>0.0340002922227173</v>
      </c>
      <c r="O23" s="23" t="n">
        <f aca="false">O21/O15</f>
        <v>0.0340126303213894</v>
      </c>
      <c r="P23" s="23" t="n">
        <f aca="false">P21/P15</f>
        <v>0.0339856242628888</v>
      </c>
      <c r="Q23" s="3"/>
      <c r="R23" s="53" t="s">
        <v>830</v>
      </c>
    </row>
    <row r="24" customFormat="false" ht="15" hidden="false" customHeight="false" outlineLevel="0" collapsed="false">
      <c r="A24" s="5" t="s">
        <v>831</v>
      </c>
      <c r="B24" s="6"/>
      <c r="C24" s="6"/>
      <c r="D24" s="6"/>
      <c r="E24" s="6"/>
      <c r="F24" s="6"/>
      <c r="G24" s="6"/>
      <c r="H24" s="6"/>
      <c r="I24" s="6"/>
      <c r="J24" s="6"/>
      <c r="K24" s="6"/>
      <c r="L24" s="6"/>
      <c r="M24" s="6"/>
      <c r="N24" s="6"/>
      <c r="O24" s="6"/>
      <c r="P24" s="6"/>
      <c r="Q24" s="3"/>
      <c r="R24" s="6"/>
    </row>
    <row r="25" customFormat="false" ht="15" hidden="false" customHeight="false" outlineLevel="0" collapsed="false">
      <c r="A25" s="18" t="s">
        <v>832</v>
      </c>
      <c r="B25" s="24" t="n">
        <f aca="false">B16-B21</f>
        <v>83411.4657819358</v>
      </c>
      <c r="C25" s="24" t="n">
        <f aca="false">C16-C21</f>
        <v>73817.6179971358</v>
      </c>
      <c r="D25" s="24" t="n">
        <f aca="false">D16-D21</f>
        <v>118887.768902338</v>
      </c>
      <c r="E25" s="24" t="n">
        <f aca="false">E16-E21</f>
        <v>225191.356711249</v>
      </c>
      <c r="F25" s="24" t="n">
        <f aca="false">F16-F21</f>
        <v>217752.586476452</v>
      </c>
      <c r="G25" s="24" t="n">
        <f aca="false">G16-G21</f>
        <v>253709.93417651</v>
      </c>
      <c r="H25" s="24" t="n">
        <f aca="false">H16-H21</f>
        <v>370521.717490207</v>
      </c>
      <c r="I25" s="24" t="n">
        <f aca="false">I16-I21</f>
        <v>493872.550949559</v>
      </c>
      <c r="J25" s="24" t="n">
        <f aca="false">J16-J21</f>
        <v>566915.634870612</v>
      </c>
      <c r="K25" s="24" t="n">
        <f aca="false">K16-K21</f>
        <v>708790.020982569</v>
      </c>
      <c r="L25" s="24" t="n">
        <f aca="false">L16-L21</f>
        <v>857636.277090794</v>
      </c>
      <c r="M25" s="24" t="n">
        <f aca="false">M16-M21</f>
        <v>1013487.33817862</v>
      </c>
      <c r="N25" s="24" t="n">
        <f aca="false">N16-N21</f>
        <v>1176367.46557637</v>
      </c>
      <c r="O25" s="24" t="n">
        <f aca="false">O16-O21</f>
        <v>1237697.98977133</v>
      </c>
      <c r="P25" s="24" t="n">
        <f aca="false">P16-P21</f>
        <v>1297167.95549999</v>
      </c>
      <c r="Q25" s="3"/>
      <c r="R25" s="3"/>
    </row>
    <row r="26" customFormat="false" ht="15" hidden="false" customHeight="false" outlineLevel="0" collapsed="false">
      <c r="A26" s="18" t="s">
        <v>833</v>
      </c>
      <c r="B26" s="24" t="n">
        <f aca="false">B25+'Long range 15-yr'!B48</f>
        <v>233411.465781936</v>
      </c>
      <c r="C26" s="24" t="n">
        <f aca="false">C25+'Long range 15-yr'!C48</f>
        <v>223817.617997136</v>
      </c>
      <c r="D26" s="24" t="n">
        <f aca="false">D25+'Long range 15-yr'!D48</f>
        <v>268887.768902338</v>
      </c>
      <c r="E26" s="24" t="n">
        <f aca="false">E25+'Long range 15-yr'!E48</f>
        <v>375191.356711249</v>
      </c>
      <c r="F26" s="24" t="n">
        <f aca="false">F25+'Long range 15-yr'!F48</f>
        <v>367752.586476452</v>
      </c>
      <c r="G26" s="24" t="n">
        <f aca="false">G25+'Long range 15-yr'!G48</f>
        <v>403709.93417651</v>
      </c>
      <c r="H26" s="24" t="n">
        <f aca="false">H25+'Long range 15-yr'!H48</f>
        <v>520521.717490207</v>
      </c>
      <c r="I26" s="24" t="n">
        <f aca="false">I25+'Long range 15-yr'!I48</f>
        <v>643872.550949559</v>
      </c>
      <c r="J26" s="24" t="n">
        <f aca="false">J25+'Long range 15-yr'!J48</f>
        <v>716915.634870612</v>
      </c>
      <c r="K26" s="24" t="n">
        <f aca="false">K25+'Long range 15-yr'!K48</f>
        <v>858790.020982569</v>
      </c>
      <c r="L26" s="24" t="n">
        <f aca="false">L25+'Long range 15-yr'!L48</f>
        <v>1007636.27709079</v>
      </c>
      <c r="M26" s="24" t="n">
        <f aca="false">M25+'Long range 15-yr'!M48</f>
        <v>1163487.33817862</v>
      </c>
      <c r="N26" s="24" t="n">
        <f aca="false">N25+'Long range 15-yr'!N48</f>
        <v>1326367.46557637</v>
      </c>
      <c r="O26" s="24" t="n">
        <f aca="false">O25+'Long range 15-yr'!O48</f>
        <v>1387697.98977133</v>
      </c>
      <c r="P26" s="24" t="n">
        <f aca="false">P25+'Long range 15-yr'!P48</f>
        <v>1447167.95549999</v>
      </c>
      <c r="Q26" s="3"/>
      <c r="R26" s="3"/>
    </row>
    <row r="27" customFormat="false" ht="15" hidden="false" customHeight="false" outlineLevel="0" collapsed="false">
      <c r="A27" s="43" t="s">
        <v>834</v>
      </c>
      <c r="B27" s="44"/>
      <c r="C27" s="44"/>
      <c r="D27" s="44"/>
      <c r="E27" s="44"/>
      <c r="F27" s="44"/>
      <c r="G27" s="44"/>
      <c r="H27" s="44"/>
      <c r="I27" s="44"/>
      <c r="J27" s="44"/>
      <c r="K27" s="44"/>
      <c r="L27" s="44"/>
      <c r="M27" s="44"/>
      <c r="N27" s="44"/>
      <c r="O27" s="44"/>
      <c r="P27" s="44"/>
      <c r="Q27" s="3"/>
      <c r="R27" s="44"/>
    </row>
    <row r="28" customFormat="false" ht="15" hidden="false" customHeight="false" outlineLevel="0" collapsed="false">
      <c r="A28" s="20" t="s">
        <v>835</v>
      </c>
      <c r="B28" s="17" t="n">
        <f aca="false">'Buyout &amp; exit'!B23</f>
        <v>737130.151233105</v>
      </c>
      <c r="C28" s="17" t="n">
        <f aca="false">'Buyout &amp; exit'!C23</f>
        <v>793606.669249441</v>
      </c>
      <c r="D28" s="17" t="n">
        <f aca="false">'Buyout &amp; exit'!D23</f>
        <v>973791.845154872</v>
      </c>
      <c r="E28" s="17" t="n">
        <f aca="false">'Buyout &amp; exit'!E23</f>
        <v>1704841.10205784</v>
      </c>
      <c r="F28" s="17" t="n">
        <f aca="false">'Buyout &amp; exit'!F23</f>
        <v>1781926.25021217</v>
      </c>
      <c r="G28" s="17" t="n">
        <f aca="false">'Buyout &amp; exit'!G23</f>
        <v>2078739.72158601</v>
      </c>
      <c r="H28" s="17" t="n">
        <f aca="false">'Buyout &amp; exit'!H23</f>
        <v>2788865.52166945</v>
      </c>
      <c r="I28" s="17" t="n">
        <f aca="false">'Buyout &amp; exit'!I23</f>
        <v>3584726.63004211</v>
      </c>
      <c r="J28" s="17" t="n">
        <f aca="false">'Buyout &amp; exit'!J23</f>
        <v>4191175.85367095</v>
      </c>
      <c r="K28" s="17" t="n">
        <f aca="false">'Buyout &amp; exit'!K23</f>
        <v>5168218.95382355</v>
      </c>
      <c r="L28" s="17" t="n">
        <f aca="false">'Buyout &amp; exit'!L23</f>
        <v>8245690.54355842</v>
      </c>
      <c r="M28" s="17" t="n">
        <f aca="false">'Buyout &amp; exit'!M23</f>
        <v>9739722.17619467</v>
      </c>
      <c r="N28" s="17" t="n">
        <f aca="false">'Buyout &amp; exit'!N23</f>
        <v>11353079.965143</v>
      </c>
      <c r="O28" s="17" t="n">
        <f aca="false">'Buyout &amp; exit'!O23</f>
        <v>12401842.2665323</v>
      </c>
      <c r="P28" s="17" t="n">
        <f aca="false">'Buyout &amp; exit'!P23</f>
        <v>13454921.9845546</v>
      </c>
      <c r="Q28" s="3"/>
      <c r="R28" s="3"/>
    </row>
    <row r="29" customFormat="false" ht="22.35" hidden="false" customHeight="false" outlineLevel="0" collapsed="false">
      <c r="A29" s="18" t="s">
        <v>836</v>
      </c>
      <c r="B29" s="24" t="n">
        <f aca="false">'Buyout &amp; exit'!B27</f>
        <v>85069.5226849658</v>
      </c>
      <c r="C29" s="24" t="n">
        <f aca="false">'Buyout &amp; exit'!C27</f>
        <v>93541.0003874162</v>
      </c>
      <c r="D29" s="24" t="n">
        <f aca="false">'Buyout &amp; exit'!D27</f>
        <v>120568.776773231</v>
      </c>
      <c r="E29" s="24" t="n">
        <f aca="false">'Buyout &amp; exit'!E27</f>
        <v>230226.165308677</v>
      </c>
      <c r="F29" s="24" t="n">
        <f aca="false">'Buyout &amp; exit'!F27</f>
        <v>241788.937531826</v>
      </c>
      <c r="G29" s="24" t="n">
        <f aca="false">'Buyout &amp; exit'!G27</f>
        <v>286310.958237902</v>
      </c>
      <c r="H29" s="24" t="n">
        <f aca="false">'Buyout &amp; exit'!H27</f>
        <v>392829.828250417</v>
      </c>
      <c r="I29" s="24" t="n">
        <f aca="false">'Buyout &amp; exit'!I27</f>
        <v>512208.994506316</v>
      </c>
      <c r="J29" s="24" t="n">
        <f aca="false">'Buyout &amp; exit'!J27</f>
        <v>603176.378050642</v>
      </c>
      <c r="K29" s="24" t="n">
        <f aca="false">'Buyout &amp; exit'!K27</f>
        <v>749732.843073532</v>
      </c>
      <c r="L29" s="24" t="n">
        <f aca="false">'Buyout &amp; exit'!L27</f>
        <v>1211353.58153376</v>
      </c>
      <c r="M29" s="24" t="n">
        <f aca="false">'Buyout &amp; exit'!M27</f>
        <v>1435458.3264292</v>
      </c>
      <c r="N29" s="24" t="n">
        <f aca="false">'Buyout &amp; exit'!N27</f>
        <v>1677461.99477145</v>
      </c>
      <c r="O29" s="24" t="n">
        <f aca="false">'Buyout &amp; exit'!O27</f>
        <v>1834776.33997985</v>
      </c>
      <c r="P29" s="24" t="n">
        <f aca="false">'Buyout &amp; exit'!P27</f>
        <v>1992738.2976832</v>
      </c>
      <c r="Q29" s="3"/>
      <c r="R29" s="53" t="s">
        <v>837</v>
      </c>
    </row>
    <row r="30" customFormat="false" ht="22.35" hidden="false" customHeight="false" outlineLevel="0" collapsed="false">
      <c r="A30" s="18" t="s">
        <v>838</v>
      </c>
      <c r="B30" s="24" t="n">
        <f aca="false">B22+B29</f>
        <v>161004.12999407</v>
      </c>
      <c r="C30" s="24" t="n">
        <f aca="false">C22+C29</f>
        <v>244344.231918424</v>
      </c>
      <c r="D30" s="24" t="n">
        <f aca="false">D22+D29</f>
        <v>357915.093737832</v>
      </c>
      <c r="E30" s="24" t="n">
        <f aca="false">E22+E29</f>
        <v>572593.744130083</v>
      </c>
      <c r="F30" s="24" t="n">
        <f aca="false">F22+F29</f>
        <v>688351.248183949</v>
      </c>
      <c r="G30" s="24" t="n">
        <f aca="false">G22+G29</f>
        <v>843263.261576304</v>
      </c>
      <c r="H30" s="24" t="n">
        <f aca="false">H22+H29</f>
        <v>1075411.71130995</v>
      </c>
      <c r="I30" s="24" t="n">
        <f aca="false">I22+I29</f>
        <v>1336448.76919914</v>
      </c>
      <c r="J30" s="24" t="n">
        <f aca="false">J22+J29</f>
        <v>1579576.47959332</v>
      </c>
      <c r="K30" s="24" t="n">
        <f aca="false">K22+K29</f>
        <v>1896509.25891589</v>
      </c>
      <c r="L30" s="24" t="n">
        <f aca="false">L22+L29</f>
        <v>2547564.38593362</v>
      </c>
      <c r="M30" s="24" t="n">
        <f aca="false">M22+M29</f>
        <v>2981009.19434609</v>
      </c>
      <c r="N30" s="24" t="n">
        <f aca="false">N22+N29</f>
        <v>3453110.80301851</v>
      </c>
      <c r="O30" s="24" t="n">
        <f aca="false">O22+O29</f>
        <v>3850070.82845968</v>
      </c>
      <c r="P30" s="24" t="n">
        <f aca="false">P22+P29</f>
        <v>4257094.6416033</v>
      </c>
      <c r="Q30" s="3"/>
      <c r="R30" s="53" t="s">
        <v>839</v>
      </c>
    </row>
    <row r="31" customFormat="false" ht="15" hidden="false" customHeight="false" outlineLevel="0" collapsed="false">
      <c r="A31" s="3"/>
      <c r="B31" s="3"/>
      <c r="C31" s="3"/>
      <c r="D31" s="3"/>
      <c r="E31" s="3"/>
      <c r="F31" s="3"/>
      <c r="G31" s="3"/>
      <c r="H31" s="3"/>
      <c r="I31" s="3"/>
      <c r="J31" s="3"/>
      <c r="K31" s="3"/>
      <c r="L31" s="3"/>
      <c r="M31" s="3"/>
      <c r="N31" s="3"/>
      <c r="O31" s="3"/>
      <c r="P31" s="3"/>
      <c r="Q31" s="3"/>
      <c r="R31" s="3"/>
    </row>
    <row r="32" customFormat="false" ht="39.75" hidden="false" customHeight="true" outlineLevel="0" collapsed="false">
      <c r="A32" s="33" t="s">
        <v>840</v>
      </c>
      <c r="B32" s="33"/>
      <c r="C32" s="33"/>
      <c r="D32" s="33"/>
      <c r="E32" s="33"/>
      <c r="F32" s="33"/>
      <c r="G32" s="33"/>
      <c r="H32" s="33"/>
      <c r="I32" s="33"/>
      <c r="J32" s="33"/>
      <c r="K32" s="33"/>
      <c r="L32" s="33"/>
      <c r="M32" s="33"/>
      <c r="N32" s="33"/>
      <c r="O32" s="33"/>
      <c r="P32" s="33"/>
      <c r="Q32" s="33"/>
      <c r="R32" s="33"/>
    </row>
  </sheetData>
  <sheetProtection sheet="true" password="ef11" formatCells="false" formatColumns="false" formatRows="false"/>
  <mergeCells count="1">
    <mergeCell ref="A32:R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16" min="2" style="1" width="12"/>
    <col collapsed="false" customWidth="true" hidden="false" outlineLevel="0" max="18" min="18" style="1" width="60"/>
  </cols>
  <sheetData>
    <row r="1" customFormat="false" ht="17.35" hidden="false" customHeight="false" outlineLevel="0" collapsed="false">
      <c r="A1" s="2" t="s">
        <v>841</v>
      </c>
      <c r="B1" s="3"/>
      <c r="C1" s="3"/>
      <c r="D1" s="3"/>
      <c r="E1" s="3"/>
      <c r="F1" s="3"/>
      <c r="G1" s="3"/>
      <c r="H1" s="3"/>
      <c r="I1" s="3"/>
      <c r="J1" s="3"/>
      <c r="K1" s="3"/>
      <c r="L1" s="3"/>
      <c r="M1" s="3"/>
      <c r="N1" s="3"/>
      <c r="O1" s="3"/>
      <c r="P1" s="3"/>
      <c r="Q1" s="3"/>
      <c r="R1" s="3"/>
    </row>
    <row r="2" customFormat="false" ht="15" hidden="false" customHeight="false" outlineLevel="0" collapsed="false">
      <c r="A2" s="4" t="s">
        <v>842</v>
      </c>
      <c r="B2" s="3"/>
      <c r="C2" s="3"/>
      <c r="D2" s="3"/>
      <c r="E2" s="3"/>
      <c r="F2" s="3"/>
      <c r="G2" s="3"/>
      <c r="H2" s="3"/>
      <c r="I2" s="3"/>
      <c r="J2" s="3"/>
      <c r="K2" s="3"/>
      <c r="L2" s="3"/>
      <c r="M2" s="3"/>
      <c r="N2" s="3"/>
      <c r="O2" s="3"/>
      <c r="P2" s="3"/>
      <c r="Q2" s="3"/>
      <c r="R2" s="3"/>
    </row>
    <row r="3" customFormat="false" ht="15" hidden="false" customHeight="false" outlineLevel="0" collapsed="false">
      <c r="A3" s="3"/>
      <c r="B3" s="3"/>
      <c r="C3" s="3"/>
      <c r="D3" s="3"/>
      <c r="E3" s="3"/>
      <c r="F3" s="3"/>
      <c r="G3" s="3"/>
      <c r="H3" s="3"/>
      <c r="I3" s="3"/>
      <c r="J3" s="3"/>
      <c r="K3" s="3"/>
      <c r="L3" s="3"/>
      <c r="M3" s="3"/>
      <c r="N3" s="3"/>
      <c r="O3" s="3"/>
      <c r="P3" s="3"/>
      <c r="Q3" s="3"/>
      <c r="R3" s="3"/>
    </row>
    <row r="4" customFormat="false" ht="15" hidden="false" customHeight="false" outlineLevel="0" collapsed="false">
      <c r="A4" s="5" t="s">
        <v>618</v>
      </c>
      <c r="B4" s="6"/>
      <c r="C4" s="6"/>
      <c r="D4" s="6"/>
      <c r="E4" s="6"/>
      <c r="F4" s="6"/>
      <c r="G4" s="6"/>
      <c r="H4" s="6"/>
      <c r="I4" s="6"/>
      <c r="J4" s="6"/>
      <c r="K4" s="6"/>
      <c r="L4" s="6"/>
      <c r="M4" s="6"/>
      <c r="N4" s="6"/>
      <c r="O4" s="6"/>
      <c r="P4" s="6"/>
      <c r="Q4" s="3"/>
      <c r="R4" s="6"/>
    </row>
    <row r="5" customFormat="false" ht="15" hidden="false" customHeight="false" outlineLevel="0" collapsed="false">
      <c r="A5" s="8" t="s">
        <v>739</v>
      </c>
      <c r="B5" s="3"/>
      <c r="C5" s="3"/>
      <c r="D5" s="3"/>
      <c r="E5" s="8" t="s">
        <v>812</v>
      </c>
      <c r="F5" s="3"/>
      <c r="G5" s="3"/>
      <c r="H5" s="3"/>
      <c r="I5" s="8" t="s">
        <v>843</v>
      </c>
      <c r="J5" s="3"/>
      <c r="K5" s="3"/>
      <c r="L5" s="3"/>
      <c r="M5" s="8" t="s">
        <v>844</v>
      </c>
      <c r="N5" s="3"/>
      <c r="O5" s="3"/>
      <c r="P5" s="3"/>
      <c r="Q5" s="3"/>
      <c r="R5" s="3"/>
    </row>
    <row r="6" customFormat="false" ht="15" hidden="false" customHeight="false" outlineLevel="0" collapsed="false">
      <c r="A6" s="45" t="n">
        <f aca="false">Assumptions!$B$39</f>
        <v>10</v>
      </c>
      <c r="B6" s="3"/>
      <c r="C6" s="3"/>
      <c r="D6" s="3"/>
      <c r="E6" s="47" t="n">
        <f aca="false">INDEX(B19:P19,Assumptions!$B$39)</f>
        <v>155000</v>
      </c>
      <c r="F6" s="3"/>
      <c r="G6" s="3"/>
      <c r="H6" s="3"/>
      <c r="I6" s="47" t="n">
        <f aca="false">INDEX(B20:P20,Assumptions!$B$39)</f>
        <v>34100</v>
      </c>
      <c r="J6" s="3"/>
      <c r="K6" s="3"/>
      <c r="L6" s="3"/>
      <c r="M6" s="47" t="n">
        <f aca="false">INDEX(B21:P21,Assumptions!$B$39)</f>
        <v>189100</v>
      </c>
      <c r="N6" s="3"/>
      <c r="O6" s="3"/>
      <c r="P6" s="3"/>
      <c r="Q6" s="3"/>
      <c r="R6" s="3"/>
    </row>
    <row r="7" customFormat="false" ht="15" hidden="false" customHeight="false" outlineLevel="0" collapsed="false">
      <c r="A7" s="8" t="s">
        <v>845</v>
      </c>
      <c r="B7" s="3"/>
      <c r="C7" s="3"/>
      <c r="D7" s="3"/>
      <c r="E7" s="8" t="s">
        <v>846</v>
      </c>
      <c r="F7" s="3"/>
      <c r="G7" s="3"/>
      <c r="H7" s="3"/>
      <c r="I7" s="8" t="s">
        <v>847</v>
      </c>
      <c r="J7" s="3"/>
      <c r="K7" s="3"/>
      <c r="L7" s="3"/>
      <c r="M7" s="8" t="s">
        <v>848</v>
      </c>
      <c r="N7" s="3"/>
      <c r="O7" s="3"/>
      <c r="P7" s="3"/>
      <c r="Q7" s="3"/>
      <c r="R7" s="3"/>
    </row>
    <row r="8" customFormat="false" ht="15" hidden="false" customHeight="false" outlineLevel="0" collapsed="false">
      <c r="A8" s="62" t="n">
        <f aca="false">INDEX(B27:P27,Assumptions!$B$39)</f>
        <v>0.12</v>
      </c>
      <c r="B8" s="3"/>
      <c r="C8" s="3"/>
      <c r="D8" s="3"/>
      <c r="E8" s="47" t="n">
        <f aca="false">INDEX(B32:P32,Assumptions!$B$39)</f>
        <v>531730.656310853</v>
      </c>
      <c r="F8" s="3"/>
      <c r="G8" s="3"/>
      <c r="H8" s="3"/>
      <c r="I8" s="47" t="n">
        <f aca="false">INDEX(B36:P36,Assumptions!$B$39)</f>
        <v>42096.3160608399</v>
      </c>
      <c r="J8" s="3"/>
      <c r="K8" s="3"/>
      <c r="L8" s="3"/>
      <c r="M8" s="47" t="n">
        <f aca="false">INDEX(B37:P37,Assumptions!$B$39)</f>
        <v>573826.972371693</v>
      </c>
      <c r="N8" s="3"/>
      <c r="O8" s="3"/>
      <c r="P8" s="3"/>
      <c r="Q8" s="3"/>
      <c r="R8" s="3"/>
    </row>
    <row r="9" customFormat="false" ht="15" hidden="false" customHeight="false" outlineLevel="0" collapsed="false">
      <c r="A9" s="3"/>
      <c r="B9" s="3"/>
      <c r="C9" s="3"/>
      <c r="D9" s="3"/>
      <c r="E9" s="3"/>
      <c r="F9" s="3"/>
      <c r="G9" s="3"/>
      <c r="H9" s="3"/>
      <c r="I9" s="3"/>
      <c r="J9" s="3"/>
      <c r="K9" s="3"/>
      <c r="L9" s="3"/>
      <c r="M9" s="3"/>
      <c r="N9" s="3"/>
      <c r="O9" s="3"/>
      <c r="P9" s="3"/>
      <c r="Q9" s="3"/>
      <c r="R9" s="3"/>
    </row>
    <row r="10" customFormat="false" ht="15" hidden="false" customHeight="false" outlineLevel="0" collapsed="false">
      <c r="A10" s="3"/>
      <c r="B10" s="3"/>
      <c r="C10" s="3"/>
      <c r="D10" s="3"/>
      <c r="E10" s="3"/>
      <c r="F10" s="3"/>
      <c r="G10" s="3"/>
      <c r="H10" s="3"/>
      <c r="I10" s="3"/>
      <c r="J10" s="3"/>
      <c r="K10" s="3"/>
      <c r="L10" s="3"/>
      <c r="M10" s="3"/>
      <c r="N10" s="3"/>
      <c r="O10" s="3"/>
      <c r="P10" s="3"/>
      <c r="Q10" s="3"/>
      <c r="R10" s="3"/>
    </row>
    <row r="11" customFormat="false" ht="15" hidden="false" customHeight="false" outlineLevel="0" collapsed="false">
      <c r="A11" s="3"/>
      <c r="B11" s="3"/>
      <c r="C11" s="3"/>
      <c r="D11" s="3"/>
      <c r="E11" s="3"/>
      <c r="F11" s="3"/>
      <c r="G11" s="3"/>
      <c r="H11" s="3"/>
      <c r="I11" s="3"/>
      <c r="J11" s="3"/>
      <c r="K11" s="3"/>
      <c r="L11" s="3"/>
      <c r="M11" s="3"/>
      <c r="N11" s="3"/>
      <c r="O11" s="3"/>
      <c r="P11" s="3"/>
      <c r="Q11" s="3"/>
      <c r="R11" s="3"/>
    </row>
    <row r="12" customFormat="false" ht="15" hidden="false" customHeight="false" outlineLevel="0" collapsed="false">
      <c r="A12" s="3"/>
      <c r="B12" s="3"/>
      <c r="C12" s="3"/>
      <c r="D12" s="3"/>
      <c r="E12" s="3"/>
      <c r="F12" s="3"/>
      <c r="G12" s="3"/>
      <c r="H12" s="3"/>
      <c r="I12" s="3"/>
      <c r="J12" s="3"/>
      <c r="K12" s="3"/>
      <c r="L12" s="3"/>
      <c r="M12" s="3"/>
      <c r="N12" s="3"/>
      <c r="O12" s="3"/>
      <c r="P12" s="3"/>
      <c r="Q12" s="3"/>
      <c r="R12" s="3"/>
    </row>
    <row r="13" customFormat="false" ht="15" hidden="false" customHeight="false" outlineLevel="0" collapsed="false">
      <c r="A13" s="18" t="s">
        <v>632</v>
      </c>
      <c r="B13" s="19" t="n">
        <v>1</v>
      </c>
      <c r="C13" s="19" t="n">
        <v>2</v>
      </c>
      <c r="D13" s="19" t="n">
        <v>3</v>
      </c>
      <c r="E13" s="19" t="n">
        <v>4</v>
      </c>
      <c r="F13" s="19" t="n">
        <v>5</v>
      </c>
      <c r="G13" s="19" t="n">
        <v>6</v>
      </c>
      <c r="H13" s="19" t="n">
        <v>7</v>
      </c>
      <c r="I13" s="19" t="n">
        <v>8</v>
      </c>
      <c r="J13" s="19" t="n">
        <v>9</v>
      </c>
      <c r="K13" s="19" t="n">
        <v>10</v>
      </c>
      <c r="L13" s="19" t="n">
        <v>11</v>
      </c>
      <c r="M13" s="19" t="n">
        <v>12</v>
      </c>
      <c r="N13" s="19" t="n">
        <v>13</v>
      </c>
      <c r="O13" s="19" t="n">
        <v>14</v>
      </c>
      <c r="P13" s="19" t="n">
        <v>15</v>
      </c>
      <c r="Q13" s="3"/>
      <c r="R13" s="18" t="s">
        <v>490</v>
      </c>
    </row>
    <row r="14" customFormat="false" ht="15" hidden="false" customHeight="false" outlineLevel="0" collapsed="false">
      <c r="A14" s="5" t="s">
        <v>849</v>
      </c>
      <c r="B14" s="6"/>
      <c r="C14" s="6"/>
      <c r="D14" s="6"/>
      <c r="E14" s="6"/>
      <c r="F14" s="6"/>
      <c r="G14" s="6"/>
      <c r="H14" s="6"/>
      <c r="I14" s="6"/>
      <c r="J14" s="6"/>
      <c r="K14" s="6"/>
      <c r="L14" s="6"/>
      <c r="M14" s="6"/>
      <c r="N14" s="6"/>
      <c r="O14" s="6"/>
      <c r="P14" s="6"/>
      <c r="Q14" s="3"/>
      <c r="R14" s="6"/>
    </row>
    <row r="15" customFormat="false" ht="15" hidden="false" customHeight="false" outlineLevel="0" collapsed="false">
      <c r="A15" s="20" t="s">
        <v>749</v>
      </c>
      <c r="B15" s="17" t="n">
        <f aca="false">'Long range 15-yr'!B36</f>
        <v>1107883.476</v>
      </c>
      <c r="C15" s="17" t="n">
        <f aca="false">'Long range 15-yr'!C36</f>
        <v>1130224.27392</v>
      </c>
      <c r="D15" s="17" t="n">
        <f aca="false">'Long range 15-yr'!D36</f>
        <v>1470581.13731659</v>
      </c>
      <c r="E15" s="17" t="n">
        <f aca="false">'Long range 15-yr'!E36</f>
        <v>2128361.5241759</v>
      </c>
      <c r="F15" s="17" t="n">
        <f aca="false">'Long range 15-yr'!F36</f>
        <v>2531696.60117519</v>
      </c>
      <c r="G15" s="17" t="n">
        <f aca="false">'Long range 15-yr'!G36</f>
        <v>2960567.60023987</v>
      </c>
      <c r="H15" s="17" t="n">
        <f aca="false">'Long range 15-yr'!H36</f>
        <v>3415973.30476096</v>
      </c>
      <c r="I15" s="17" t="n">
        <f aca="false">'Long range 15-yr'!I36</f>
        <v>3898958.3702101</v>
      </c>
      <c r="J15" s="17" t="n">
        <f aca="false">'Long range 15-yr'!J36</f>
        <v>4410614.70976327</v>
      </c>
      <c r="K15" s="17" t="n">
        <f aca="false">'Long range 15-yr'!K36</f>
        <v>4952082.94628947</v>
      </c>
      <c r="L15" s="17" t="n">
        <f aca="false">'Long range 15-yr'!L36</f>
        <v>5524553.93215493</v>
      </c>
      <c r="M15" s="17" t="n">
        <f aca="false">'Long range 15-yr'!M36</f>
        <v>6129270.33838766</v>
      </c>
      <c r="N15" s="17" t="n">
        <f aca="false">'Long range 15-yr'!N36</f>
        <v>6767528.314843</v>
      </c>
      <c r="O15" s="17" t="n">
        <f aca="false">'Long range 15-yr'!O36</f>
        <v>7045784.99129078</v>
      </c>
      <c r="P15" s="17" t="n">
        <f aca="false">'Long range 15-yr'!P36</f>
        <v>7328447.27269707</v>
      </c>
      <c r="Q15" s="3"/>
      <c r="R15" s="3"/>
    </row>
    <row r="16" customFormat="false" ht="15" hidden="false" customHeight="false" outlineLevel="0" collapsed="false">
      <c r="A16" s="20" t="s">
        <v>850</v>
      </c>
      <c r="B16" s="16" t="n">
        <f aca="false">'Long range 15-yr'!B17</f>
        <v>2</v>
      </c>
      <c r="C16" s="16" t="n">
        <f aca="false">'Long range 15-yr'!C17</f>
        <v>2</v>
      </c>
      <c r="D16" s="16" t="n">
        <f aca="false">'Long range 15-yr'!D17</f>
        <v>2.5</v>
      </c>
      <c r="E16" s="16" t="n">
        <f aca="false">'Long range 15-yr'!E17</f>
        <v>3.5</v>
      </c>
      <c r="F16" s="16" t="n">
        <f aca="false">'Long range 15-yr'!F17</f>
        <v>4</v>
      </c>
      <c r="G16" s="16" t="n">
        <f aca="false">'Long range 15-yr'!G17</f>
        <v>4.5</v>
      </c>
      <c r="H16" s="16" t="n">
        <f aca="false">'Long range 15-yr'!H17</f>
        <v>5</v>
      </c>
      <c r="I16" s="16" t="n">
        <f aca="false">'Long range 15-yr'!I17</f>
        <v>5.5</v>
      </c>
      <c r="J16" s="16" t="n">
        <f aca="false">'Long range 15-yr'!J17</f>
        <v>6</v>
      </c>
      <c r="K16" s="16" t="n">
        <f aca="false">'Long range 15-yr'!K17</f>
        <v>6.5</v>
      </c>
      <c r="L16" s="16" t="n">
        <f aca="false">'Long range 15-yr'!L17</f>
        <v>7</v>
      </c>
      <c r="M16" s="16" t="n">
        <f aca="false">'Long range 15-yr'!M17</f>
        <v>7.5</v>
      </c>
      <c r="N16" s="16" t="n">
        <f aca="false">'Long range 15-yr'!N17</f>
        <v>8</v>
      </c>
      <c r="O16" s="16" t="n">
        <f aca="false">'Long range 15-yr'!O17</f>
        <v>8</v>
      </c>
      <c r="P16" s="16" t="n">
        <f aca="false">'Long range 15-yr'!P17</f>
        <v>8</v>
      </c>
      <c r="Q16" s="3"/>
      <c r="R16" s="3"/>
    </row>
    <row r="17" customFormat="false" ht="22.35" hidden="false" customHeight="false" outlineLevel="0" collapsed="false">
      <c r="A17" s="20" t="s">
        <v>851</v>
      </c>
      <c r="B17" s="21" t="n">
        <f aca="false">'Long range 15-yr'!B34</f>
        <v>9</v>
      </c>
      <c r="C17" s="21" t="n">
        <f aca="false">'Long range 15-yr'!C34</f>
        <v>9</v>
      </c>
      <c r="D17" s="21" t="n">
        <f aca="false">'Long range 15-yr'!D34</f>
        <v>12</v>
      </c>
      <c r="E17" s="21" t="n">
        <f aca="false">'Long range 15-yr'!E34</f>
        <v>16</v>
      </c>
      <c r="F17" s="21" t="n">
        <f aca="false">'Long range 15-yr'!F34</f>
        <v>19</v>
      </c>
      <c r="G17" s="21" t="n">
        <f aca="false">'Long range 15-yr'!G34</f>
        <v>22</v>
      </c>
      <c r="H17" s="21" t="n">
        <f aca="false">'Long range 15-yr'!H34</f>
        <v>24</v>
      </c>
      <c r="I17" s="21" t="n">
        <f aca="false">'Long range 15-yr'!I34</f>
        <v>26</v>
      </c>
      <c r="J17" s="21" t="n">
        <f aca="false">'Long range 15-yr'!J34</f>
        <v>28</v>
      </c>
      <c r="K17" s="21" t="n">
        <f aca="false">'Long range 15-yr'!K34</f>
        <v>30</v>
      </c>
      <c r="L17" s="21" t="n">
        <f aca="false">'Long range 15-yr'!L34</f>
        <v>31</v>
      </c>
      <c r="M17" s="21" t="n">
        <f aca="false">'Long range 15-yr'!M34</f>
        <v>34</v>
      </c>
      <c r="N17" s="21" t="n">
        <f aca="false">'Long range 15-yr'!N34</f>
        <v>35</v>
      </c>
      <c r="O17" s="21" t="n">
        <f aca="false">'Long range 15-yr'!O34</f>
        <v>35</v>
      </c>
      <c r="P17" s="21" t="n">
        <f aca="false">'Long range 15-yr'!P34</f>
        <v>35</v>
      </c>
      <c r="Q17" s="3"/>
      <c r="R17" s="53" t="s">
        <v>852</v>
      </c>
    </row>
    <row r="18" customFormat="false" ht="15" hidden="false" customHeight="false" outlineLevel="0" collapsed="false">
      <c r="A18" s="43" t="s">
        <v>853</v>
      </c>
      <c r="B18" s="44"/>
      <c r="C18" s="44"/>
      <c r="D18" s="44"/>
      <c r="E18" s="44"/>
      <c r="F18" s="44"/>
      <c r="G18" s="44"/>
      <c r="H18" s="44"/>
      <c r="I18" s="44"/>
      <c r="J18" s="44"/>
      <c r="K18" s="44"/>
      <c r="L18" s="44"/>
      <c r="M18" s="44"/>
      <c r="N18" s="44"/>
      <c r="O18" s="44"/>
      <c r="P18" s="44"/>
      <c r="Q18" s="3"/>
      <c r="R18" s="44"/>
    </row>
    <row r="19" customFormat="false" ht="53.7" hidden="false" customHeight="false" outlineLevel="0" collapsed="false">
      <c r="A19" s="20" t="s">
        <v>854</v>
      </c>
      <c r="B19" s="17" t="n">
        <f aca="false">IF(1&lt;Assumptions!$B$150,0,(IF(B15&gt;=6000000,Assumptions!$B$154,IF(B15&gt;=3000000,Assumptions!$B$153,IF(B15&gt;=1500000,Assumptions!$B$152,Assumptions!$B$151))))*IF(1&gt;=Assumptions!$B$165,1,Assumptions!$B$164))</f>
        <v>57000</v>
      </c>
      <c r="C19" s="17" t="n">
        <f aca="false">IF(2&lt;Assumptions!$B$150,0,(IF(C15&gt;=6000000,Assumptions!$B$154,IF(C15&gt;=3000000,Assumptions!$B$153,IF(C15&gt;=1500000,Assumptions!$B$152,Assumptions!$B$151))))*IF(2&gt;=Assumptions!$B$165,1,Assumptions!$B$164))</f>
        <v>95000</v>
      </c>
      <c r="D19" s="17" t="n">
        <f aca="false">IF(3&lt;Assumptions!$B$150,0,(IF(D15&gt;=6000000,Assumptions!$B$154,IF(D15&gt;=3000000,Assumptions!$B$153,IF(D15&gt;=1500000,Assumptions!$B$152,Assumptions!$B$151))))*IF(3&gt;=Assumptions!$B$165,1,Assumptions!$B$164))</f>
        <v>95000</v>
      </c>
      <c r="E19" s="17" t="n">
        <f aca="false">IF(4&lt;Assumptions!$B$150,0,(IF(E15&gt;=6000000,Assumptions!$B$154,IF(E15&gt;=3000000,Assumptions!$B$153,IF(E15&gt;=1500000,Assumptions!$B$152,Assumptions!$B$151))))*IF(4&gt;=Assumptions!$B$165,1,Assumptions!$B$164))</f>
        <v>120000</v>
      </c>
      <c r="F19" s="17" t="n">
        <f aca="false">IF(5&lt;Assumptions!$B$150,0,(IF(F15&gt;=6000000,Assumptions!$B$154,IF(F15&gt;=3000000,Assumptions!$B$153,IF(F15&gt;=1500000,Assumptions!$B$152,Assumptions!$B$151))))*IF(5&gt;=Assumptions!$B$165,1,Assumptions!$B$164))</f>
        <v>120000</v>
      </c>
      <c r="G19" s="17" t="n">
        <f aca="false">IF(6&lt;Assumptions!$B$150,0,(IF(G15&gt;=6000000,Assumptions!$B$154,IF(G15&gt;=3000000,Assumptions!$B$153,IF(G15&gt;=1500000,Assumptions!$B$152,Assumptions!$B$151))))*IF(6&gt;=Assumptions!$B$165,1,Assumptions!$B$164))</f>
        <v>120000</v>
      </c>
      <c r="H19" s="17" t="n">
        <f aca="false">IF(7&lt;Assumptions!$B$150,0,(IF(H15&gt;=6000000,Assumptions!$B$154,IF(H15&gt;=3000000,Assumptions!$B$153,IF(H15&gt;=1500000,Assumptions!$B$152,Assumptions!$B$151))))*IF(7&gt;=Assumptions!$B$165,1,Assumptions!$B$164))</f>
        <v>155000</v>
      </c>
      <c r="I19" s="17" t="n">
        <f aca="false">IF(8&lt;Assumptions!$B$150,0,(IF(I15&gt;=6000000,Assumptions!$B$154,IF(I15&gt;=3000000,Assumptions!$B$153,IF(I15&gt;=1500000,Assumptions!$B$152,Assumptions!$B$151))))*IF(8&gt;=Assumptions!$B$165,1,Assumptions!$B$164))</f>
        <v>155000</v>
      </c>
      <c r="J19" s="17" t="n">
        <f aca="false">IF(9&lt;Assumptions!$B$150,0,(IF(J15&gt;=6000000,Assumptions!$B$154,IF(J15&gt;=3000000,Assumptions!$B$153,IF(J15&gt;=1500000,Assumptions!$B$152,Assumptions!$B$151))))*IF(9&gt;=Assumptions!$B$165,1,Assumptions!$B$164))</f>
        <v>155000</v>
      </c>
      <c r="K19" s="17" t="n">
        <f aca="false">IF(10&lt;Assumptions!$B$150,0,(IF(K15&gt;=6000000,Assumptions!$B$154,IF(K15&gt;=3000000,Assumptions!$B$153,IF(K15&gt;=1500000,Assumptions!$B$152,Assumptions!$B$151))))*IF(10&gt;=Assumptions!$B$165,1,Assumptions!$B$164))</f>
        <v>155000</v>
      </c>
      <c r="L19" s="17" t="n">
        <f aca="false">IF(11&lt;Assumptions!$B$150,0,(IF(L15&gt;=6000000,Assumptions!$B$154,IF(L15&gt;=3000000,Assumptions!$B$153,IF(L15&gt;=1500000,Assumptions!$B$152,Assumptions!$B$151))))*IF(11&gt;=Assumptions!$B$165,1,Assumptions!$B$164))</f>
        <v>155000</v>
      </c>
      <c r="M19" s="17" t="n">
        <f aca="false">IF(12&lt;Assumptions!$B$150,0,(IF(M15&gt;=6000000,Assumptions!$B$154,IF(M15&gt;=3000000,Assumptions!$B$153,IF(M15&gt;=1500000,Assumptions!$B$152,Assumptions!$B$151))))*IF(12&gt;=Assumptions!$B$165,1,Assumptions!$B$164))</f>
        <v>185000</v>
      </c>
      <c r="N19" s="17" t="n">
        <f aca="false">IF(13&lt;Assumptions!$B$150,0,(IF(N15&gt;=6000000,Assumptions!$B$154,IF(N15&gt;=3000000,Assumptions!$B$153,IF(N15&gt;=1500000,Assumptions!$B$152,Assumptions!$B$151))))*IF(13&gt;=Assumptions!$B$165,1,Assumptions!$B$164))</f>
        <v>185000</v>
      </c>
      <c r="O19" s="17" t="n">
        <f aca="false">IF(14&lt;Assumptions!$B$150,0,(IF(O15&gt;=6000000,Assumptions!$B$154,IF(O15&gt;=3000000,Assumptions!$B$153,IF(O15&gt;=1500000,Assumptions!$B$152,Assumptions!$B$151))))*IF(14&gt;=Assumptions!$B$165,1,Assumptions!$B$164))</f>
        <v>185000</v>
      </c>
      <c r="P19" s="17" t="n">
        <f aca="false">IF(15&lt;Assumptions!$B$150,0,(IF(P15&gt;=6000000,Assumptions!$B$154,IF(P15&gt;=3000000,Assumptions!$B$153,IF(P15&gt;=1500000,Assumptions!$B$152,Assumptions!$B$151))))*IF(15&gt;=Assumptions!$B$165,1,Assumptions!$B$164))</f>
        <v>185000</v>
      </c>
      <c r="Q19" s="3"/>
      <c r="R19" s="53" t="s">
        <v>855</v>
      </c>
    </row>
    <row r="20" customFormat="false" ht="32.8" hidden="false" customHeight="false" outlineLevel="0" collapsed="false">
      <c r="A20" s="20" t="s">
        <v>856</v>
      </c>
      <c r="B20" s="17" t="n">
        <f aca="false">B19*Assumptions!$B$155*Assumptions!$B$156</f>
        <v>12540</v>
      </c>
      <c r="C20" s="17" t="n">
        <f aca="false">C19*Assumptions!$B$155*Assumptions!$B$156</f>
        <v>20900</v>
      </c>
      <c r="D20" s="17" t="n">
        <f aca="false">D19*Assumptions!$B$155*Assumptions!$B$156</f>
        <v>20900</v>
      </c>
      <c r="E20" s="17" t="n">
        <f aca="false">E19*Assumptions!$B$155*Assumptions!$B$156</f>
        <v>26400</v>
      </c>
      <c r="F20" s="17" t="n">
        <f aca="false">F19*Assumptions!$B$155*Assumptions!$B$156</f>
        <v>26400</v>
      </c>
      <c r="G20" s="17" t="n">
        <f aca="false">G19*Assumptions!$B$155*Assumptions!$B$156</f>
        <v>26400</v>
      </c>
      <c r="H20" s="17" t="n">
        <f aca="false">H19*Assumptions!$B$155*Assumptions!$B$156</f>
        <v>34100</v>
      </c>
      <c r="I20" s="17" t="n">
        <f aca="false">I19*Assumptions!$B$155*Assumptions!$B$156</f>
        <v>34100</v>
      </c>
      <c r="J20" s="17" t="n">
        <f aca="false">J19*Assumptions!$B$155*Assumptions!$B$156</f>
        <v>34100</v>
      </c>
      <c r="K20" s="17" t="n">
        <f aca="false">K19*Assumptions!$B$155*Assumptions!$B$156</f>
        <v>34100</v>
      </c>
      <c r="L20" s="17" t="n">
        <f aca="false">L19*Assumptions!$B$155*Assumptions!$B$156</f>
        <v>34100</v>
      </c>
      <c r="M20" s="17" t="n">
        <f aca="false">M19*Assumptions!$B$155*Assumptions!$B$156</f>
        <v>40700</v>
      </c>
      <c r="N20" s="17" t="n">
        <f aca="false">N19*Assumptions!$B$155*Assumptions!$B$156</f>
        <v>40700</v>
      </c>
      <c r="O20" s="17" t="n">
        <f aca="false">O19*Assumptions!$B$155*Assumptions!$B$156</f>
        <v>40700</v>
      </c>
      <c r="P20" s="17" t="n">
        <f aca="false">P19*Assumptions!$B$155*Assumptions!$B$156</f>
        <v>40700</v>
      </c>
      <c r="Q20" s="3"/>
      <c r="R20" s="53" t="s">
        <v>857</v>
      </c>
    </row>
    <row r="21" customFormat="false" ht="15" hidden="false" customHeight="false" outlineLevel="0" collapsed="false">
      <c r="A21" s="18" t="s">
        <v>858</v>
      </c>
      <c r="B21" s="24" t="n">
        <f aca="false">B19+B20</f>
        <v>69540</v>
      </c>
      <c r="C21" s="24" t="n">
        <f aca="false">C19+C20</f>
        <v>115900</v>
      </c>
      <c r="D21" s="24" t="n">
        <f aca="false">D19+D20</f>
        <v>115900</v>
      </c>
      <c r="E21" s="24" t="n">
        <f aca="false">E19+E20</f>
        <v>146400</v>
      </c>
      <c r="F21" s="24" t="n">
        <f aca="false">F19+F20</f>
        <v>146400</v>
      </c>
      <c r="G21" s="24" t="n">
        <f aca="false">G19+G20</f>
        <v>146400</v>
      </c>
      <c r="H21" s="24" t="n">
        <f aca="false">H19+H20</f>
        <v>189100</v>
      </c>
      <c r="I21" s="24" t="n">
        <f aca="false">I19+I20</f>
        <v>189100</v>
      </c>
      <c r="J21" s="24" t="n">
        <f aca="false">J19+J20</f>
        <v>189100</v>
      </c>
      <c r="K21" s="24" t="n">
        <f aca="false">K19+K20</f>
        <v>189100</v>
      </c>
      <c r="L21" s="24" t="n">
        <f aca="false">L19+L20</f>
        <v>189100</v>
      </c>
      <c r="M21" s="24" t="n">
        <f aca="false">M19+M20</f>
        <v>225700</v>
      </c>
      <c r="N21" s="24" t="n">
        <f aca="false">N19+N20</f>
        <v>225700</v>
      </c>
      <c r="O21" s="24" t="n">
        <f aca="false">O19+O20</f>
        <v>225700</v>
      </c>
      <c r="P21" s="24" t="n">
        <f aca="false">P19+P20</f>
        <v>225700</v>
      </c>
      <c r="Q21" s="3"/>
      <c r="R21" s="3"/>
    </row>
    <row r="22" customFormat="false" ht="53.7" hidden="false" customHeight="false" outlineLevel="0" collapsed="false">
      <c r="A22" s="20" t="s">
        <v>859</v>
      </c>
      <c r="B22" s="17" t="n">
        <f aca="false">IF(1&lt;Assumptions!$B$150,0,MIN(1,'Long range 15-yr'!B24)*Assumptions!$B$56)</f>
        <v>0</v>
      </c>
      <c r="C22" s="17" t="n">
        <f aca="false">IF(2&lt;Assumptions!$B$150,0,MIN(1,'Long range 15-yr'!C24)*Assumptions!$B$56*(1+Assumptions!$B$137)^1)</f>
        <v>0</v>
      </c>
      <c r="D22" s="17" t="n">
        <f aca="false">IF(3&lt;Assumptions!$B$150,0,MIN(1,'Long range 15-yr'!D24)*Assumptions!$B$56*(1+Assumptions!$B$137)^2)</f>
        <v>0</v>
      </c>
      <c r="E22" s="17" t="n">
        <f aca="false">IF(4&lt;Assumptions!$B$150,0,MIN(1,'Long range 15-yr'!E24)*Assumptions!$B$56*(1+Assumptions!$B$137)^3)</f>
        <v>79827.687</v>
      </c>
      <c r="F22" s="17" t="n">
        <f aca="false">IF(5&lt;Assumptions!$B$150,0,MIN(1,'Long range 15-yr'!F24)*Assumptions!$B$56*(1+Assumptions!$B$137)^4)</f>
        <v>82621.656045</v>
      </c>
      <c r="G22" s="17" t="n">
        <f aca="false">IF(6&lt;Assumptions!$B$150,0,MIN(1,'Long range 15-yr'!G24)*Assumptions!$B$56*(1+Assumptions!$B$137)^5)</f>
        <v>85513.414006575</v>
      </c>
      <c r="H22" s="17" t="n">
        <f aca="false">IF(7&lt;Assumptions!$B$150,0,MIN(1,'Long range 15-yr'!H24)*Assumptions!$B$56*(1+Assumptions!$B$137)^6)</f>
        <v>88506.3834968051</v>
      </c>
      <c r="I22" s="17" t="n">
        <f aca="false">IF(8&lt;Assumptions!$B$150,0,MIN(1,'Long range 15-yr'!I24)*Assumptions!$B$56*(1+Assumptions!$B$137)^7)</f>
        <v>91604.1069191933</v>
      </c>
      <c r="J22" s="17" t="n">
        <f aca="false">IF(9&lt;Assumptions!$B$150,0,MIN(1,'Long range 15-yr'!J24)*Assumptions!$B$56*(1+Assumptions!$B$137)^8)</f>
        <v>94810.250661365</v>
      </c>
      <c r="K22" s="17" t="n">
        <f aca="false">IF(10&lt;Assumptions!$B$150,0,MIN(1,'Long range 15-yr'!K24)*Assumptions!$B$56*(1+Assumptions!$B$137)^9)</f>
        <v>98128.6094345128</v>
      </c>
      <c r="L22" s="17" t="n">
        <f aca="false">IF(11&lt;Assumptions!$B$150,0,MIN(1,'Long range 15-yr'!L24)*Assumptions!$B$56*(1+Assumptions!$B$137)^10)</f>
        <v>101563.110764721</v>
      </c>
      <c r="M22" s="17" t="n">
        <f aca="false">IF(12&lt;Assumptions!$B$150,0,MIN(1,'Long range 15-yr'!M24)*Assumptions!$B$56*(1+Assumptions!$B$137)^11)</f>
        <v>105117.819641486</v>
      </c>
      <c r="N22" s="17" t="n">
        <f aca="false">IF(13&lt;Assumptions!$B$150,0,MIN(1,'Long range 15-yr'!N24)*Assumptions!$B$56*(1+Assumptions!$B$137)^12)</f>
        <v>108796.943328938</v>
      </c>
      <c r="O22" s="17" t="n">
        <f aca="false">IF(14&lt;Assumptions!$B$150,0,MIN(1,'Long range 15-yr'!O24)*Assumptions!$B$56*(1+Assumptions!$B$137)^13)</f>
        <v>112604.836345451</v>
      </c>
      <c r="P22" s="17" t="n">
        <f aca="false">IF(15&lt;Assumptions!$B$150,0,MIN(1,'Long range 15-yr'!P24)*Assumptions!$B$56*(1+Assumptions!$B$137)^14)</f>
        <v>116546.005617542</v>
      </c>
      <c r="Q22" s="3"/>
      <c r="R22" s="53" t="s">
        <v>860</v>
      </c>
    </row>
    <row r="23" customFormat="false" ht="22.35" hidden="false" customHeight="false" outlineLevel="0" collapsed="false">
      <c r="A23" s="18" t="s">
        <v>861</v>
      </c>
      <c r="B23" s="24" t="n">
        <f aca="false">B21-B22</f>
        <v>69540</v>
      </c>
      <c r="C23" s="24" t="n">
        <f aca="false">C21-C22</f>
        <v>115900</v>
      </c>
      <c r="D23" s="24" t="n">
        <f aca="false">D21-D22</f>
        <v>115900</v>
      </c>
      <c r="E23" s="24" t="n">
        <f aca="false">E21-E22</f>
        <v>66572.313</v>
      </c>
      <c r="F23" s="24" t="n">
        <f aca="false">F21-F22</f>
        <v>63778.343955</v>
      </c>
      <c r="G23" s="24" t="n">
        <f aca="false">G21-G22</f>
        <v>60886.585993425</v>
      </c>
      <c r="H23" s="24" t="n">
        <f aca="false">H21-H22</f>
        <v>100593.616503195</v>
      </c>
      <c r="I23" s="24" t="n">
        <f aca="false">I21-I22</f>
        <v>97495.8930808068</v>
      </c>
      <c r="J23" s="24" t="n">
        <f aca="false">J21-J22</f>
        <v>94289.749338635</v>
      </c>
      <c r="K23" s="24" t="n">
        <f aca="false">K21-K22</f>
        <v>90971.3905654872</v>
      </c>
      <c r="L23" s="24" t="n">
        <f aca="false">L21-L22</f>
        <v>87536.8892352793</v>
      </c>
      <c r="M23" s="24" t="n">
        <f aca="false">M21-M22</f>
        <v>120582.180358514</v>
      </c>
      <c r="N23" s="24" t="n">
        <f aca="false">N21-N22</f>
        <v>116903.056671062</v>
      </c>
      <c r="O23" s="24" t="n">
        <f aca="false">O21-O22</f>
        <v>113095.163654549</v>
      </c>
      <c r="P23" s="24" t="n">
        <f aca="false">P21-P22</f>
        <v>109153.994382458</v>
      </c>
      <c r="Q23" s="3"/>
      <c r="R23" s="53" t="s">
        <v>862</v>
      </c>
    </row>
    <row r="24" customFormat="false" ht="32.8" hidden="false" customHeight="false" outlineLevel="0" collapsed="false">
      <c r="A24" s="20" t="s">
        <v>863</v>
      </c>
      <c r="B24" s="23" t="n">
        <f aca="false">IF(B15=0,0,B23/B15)</f>
        <v>0.0627683339506726</v>
      </c>
      <c r="C24" s="23" t="n">
        <f aca="false">IF(C15=0,0,C23/C15)</f>
        <v>0.10254601911709</v>
      </c>
      <c r="D24" s="23" t="n">
        <f aca="false">IF(D15=0,0,D23/D15)</f>
        <v>0.0788123803977833</v>
      </c>
      <c r="E24" s="23" t="n">
        <f aca="false">IF(E15=0,0,E23/E15)</f>
        <v>0.0312786677657015</v>
      </c>
      <c r="F24" s="23" t="n">
        <f aca="false">IF(F15=0,0,F23/F15)</f>
        <v>0.0251919380566355</v>
      </c>
      <c r="G24" s="23" t="n">
        <f aca="false">IF(G15=0,0,G23/G15)</f>
        <v>0.0205658489231902</v>
      </c>
      <c r="H24" s="23" t="n">
        <f aca="false">IF(H15=0,0,H23/H15)</f>
        <v>0.0294480101360846</v>
      </c>
      <c r="I24" s="23" t="n">
        <f aca="false">IF(I15=0,0,I23/I15)</f>
        <v>0.0250056255603348</v>
      </c>
      <c r="J24" s="23" t="n">
        <f aca="false">IF(J15=0,0,J23/J15)</f>
        <v>0.0213779156746375</v>
      </c>
      <c r="K24" s="23" t="n">
        <f aca="false">IF(K15=0,0,K23/K15)</f>
        <v>0.0183703285167408</v>
      </c>
      <c r="L24" s="23" t="n">
        <f aca="false">IF(L15=0,0,L23/L15)</f>
        <v>0.0158450601279829</v>
      </c>
      <c r="M24" s="23" t="n">
        <f aca="false">IF(M15=0,0,M23/M15)</f>
        <v>0.0196731704919764</v>
      </c>
      <c r="N24" s="23" t="n">
        <f aca="false">IF(N15=0,0,N23/N15)</f>
        <v>0.0172741141569607</v>
      </c>
      <c r="O24" s="23" t="n">
        <f aca="false">IF(O15=0,0,O23/O15)</f>
        <v>0.0160514639311794</v>
      </c>
      <c r="P24" s="23" t="n">
        <f aca="false">IF(P15=0,0,P23/P15)</f>
        <v>0.0148945595595841</v>
      </c>
      <c r="Q24" s="3"/>
      <c r="R24" s="53" t="s">
        <v>864</v>
      </c>
    </row>
    <row r="25" customFormat="false" ht="15" hidden="false" customHeight="false" outlineLevel="0" collapsed="false">
      <c r="A25" s="5" t="s">
        <v>865</v>
      </c>
      <c r="B25" s="6"/>
      <c r="C25" s="6"/>
      <c r="D25" s="6"/>
      <c r="E25" s="6"/>
      <c r="F25" s="6"/>
      <c r="G25" s="6"/>
      <c r="H25" s="6"/>
      <c r="I25" s="6"/>
      <c r="J25" s="6"/>
      <c r="K25" s="6"/>
      <c r="L25" s="6"/>
      <c r="M25" s="6"/>
      <c r="N25" s="6"/>
      <c r="O25" s="6"/>
      <c r="P25" s="6"/>
      <c r="Q25" s="3"/>
      <c r="R25" s="6"/>
    </row>
    <row r="26" customFormat="false" ht="43.25" hidden="false" customHeight="false" outlineLevel="0" collapsed="false">
      <c r="A26" s="20" t="s">
        <v>866</v>
      </c>
      <c r="B26" s="23" t="n">
        <f aca="false">IF(1&lt;Assumptions!$B$150,0,MIN(1,MAX(0,(1-Assumptions!$B$150+1)/Assumptions!$B$158)))</f>
        <v>0.25</v>
      </c>
      <c r="C26" s="23" t="n">
        <f aca="false">IF(2&lt;Assumptions!$B$150,0,MIN(1,MAX(0,(2-Assumptions!$B$150+1)/Assumptions!$B$158)))</f>
        <v>0.5</v>
      </c>
      <c r="D26" s="23" t="n">
        <f aca="false">IF(3&lt;Assumptions!$B$150,0,MIN(1,MAX(0,(3-Assumptions!$B$150+1)/Assumptions!$B$158)))</f>
        <v>0.75</v>
      </c>
      <c r="E26" s="23" t="n">
        <f aca="false">IF(4&lt;Assumptions!$B$150,0,MIN(1,MAX(0,(4-Assumptions!$B$150+1)/Assumptions!$B$158)))</f>
        <v>1</v>
      </c>
      <c r="F26" s="23" t="n">
        <f aca="false">IF(5&lt;Assumptions!$B$150,0,MIN(1,MAX(0,(5-Assumptions!$B$150+1)/Assumptions!$B$158)))</f>
        <v>1</v>
      </c>
      <c r="G26" s="23" t="n">
        <f aca="false">IF(6&lt;Assumptions!$B$150,0,MIN(1,MAX(0,(6-Assumptions!$B$150+1)/Assumptions!$B$158)))</f>
        <v>1</v>
      </c>
      <c r="H26" s="23" t="n">
        <f aca="false">IF(7&lt;Assumptions!$B$150,0,MIN(1,MAX(0,(7-Assumptions!$B$150+1)/Assumptions!$B$158)))</f>
        <v>1</v>
      </c>
      <c r="I26" s="23" t="n">
        <f aca="false">IF(8&lt;Assumptions!$B$150,0,MIN(1,MAX(0,(8-Assumptions!$B$150+1)/Assumptions!$B$158)))</f>
        <v>1</v>
      </c>
      <c r="J26" s="23" t="n">
        <f aca="false">IF(9&lt;Assumptions!$B$150,0,MIN(1,MAX(0,(9-Assumptions!$B$150+1)/Assumptions!$B$158)))</f>
        <v>1</v>
      </c>
      <c r="K26" s="23" t="n">
        <f aca="false">IF(10&lt;Assumptions!$B$150,0,MIN(1,MAX(0,(10-Assumptions!$B$150+1)/Assumptions!$B$158)))</f>
        <v>1</v>
      </c>
      <c r="L26" s="23" t="n">
        <f aca="false">IF(11&lt;Assumptions!$B$150,0,MIN(1,MAX(0,(11-Assumptions!$B$150+1)/Assumptions!$B$158)))</f>
        <v>1</v>
      </c>
      <c r="M26" s="23" t="n">
        <f aca="false">IF(12&lt;Assumptions!$B$150,0,MIN(1,MAX(0,(12-Assumptions!$B$150+1)/Assumptions!$B$158)))</f>
        <v>1</v>
      </c>
      <c r="N26" s="23" t="n">
        <f aca="false">IF(13&lt;Assumptions!$B$150,0,MIN(1,MAX(0,(13-Assumptions!$B$150+1)/Assumptions!$B$158)))</f>
        <v>1</v>
      </c>
      <c r="O26" s="23" t="n">
        <f aca="false">IF(14&lt;Assumptions!$B$150,0,MIN(1,MAX(0,(14-Assumptions!$B$150+1)/Assumptions!$B$158)))</f>
        <v>1</v>
      </c>
      <c r="P26" s="23" t="n">
        <f aca="false">IF(15&lt;Assumptions!$B$150,0,MIN(1,MAX(0,(15-Assumptions!$B$150+1)/Assumptions!$B$158)))</f>
        <v>1</v>
      </c>
      <c r="Q26" s="3"/>
      <c r="R26" s="53" t="s">
        <v>867</v>
      </c>
    </row>
    <row r="27" customFormat="false" ht="15" hidden="false" customHeight="false" outlineLevel="0" collapsed="false">
      <c r="A27" s="18" t="s">
        <v>868</v>
      </c>
      <c r="B27" s="48" t="n">
        <f aca="false">B26*Assumptions!$B$157</f>
        <v>0.03</v>
      </c>
      <c r="C27" s="48" t="n">
        <f aca="false">C26*Assumptions!$B$157</f>
        <v>0.06</v>
      </c>
      <c r="D27" s="48" t="n">
        <f aca="false">D26*Assumptions!$B$157</f>
        <v>0.09</v>
      </c>
      <c r="E27" s="48" t="n">
        <f aca="false">E26*Assumptions!$B$157</f>
        <v>0.12</v>
      </c>
      <c r="F27" s="48" t="n">
        <f aca="false">F26*Assumptions!$B$157</f>
        <v>0.12</v>
      </c>
      <c r="G27" s="48" t="n">
        <f aca="false">G26*Assumptions!$B$157</f>
        <v>0.12</v>
      </c>
      <c r="H27" s="48" t="n">
        <f aca="false">H26*Assumptions!$B$157</f>
        <v>0.12</v>
      </c>
      <c r="I27" s="48" t="n">
        <f aca="false">I26*Assumptions!$B$157</f>
        <v>0.12</v>
      </c>
      <c r="J27" s="48" t="n">
        <f aca="false">J26*Assumptions!$B$157</f>
        <v>0.12</v>
      </c>
      <c r="K27" s="48" t="n">
        <f aca="false">K26*Assumptions!$B$157</f>
        <v>0.12</v>
      </c>
      <c r="L27" s="48" t="n">
        <f aca="false">L26*Assumptions!$B$157</f>
        <v>0.12</v>
      </c>
      <c r="M27" s="48" t="n">
        <f aca="false">M26*Assumptions!$B$157</f>
        <v>0.12</v>
      </c>
      <c r="N27" s="48" t="n">
        <f aca="false">N26*Assumptions!$B$157</f>
        <v>0.12</v>
      </c>
      <c r="O27" s="48" t="n">
        <f aca="false">O26*Assumptions!$B$157</f>
        <v>0.12</v>
      </c>
      <c r="P27" s="48" t="n">
        <f aca="false">P26*Assumptions!$B$157</f>
        <v>0.12</v>
      </c>
      <c r="Q27" s="3"/>
      <c r="R27" s="3"/>
    </row>
    <row r="28" customFormat="false" ht="15" hidden="false" customHeight="false" outlineLevel="0" collapsed="false">
      <c r="A28" s="20" t="s">
        <v>750</v>
      </c>
      <c r="B28" s="17" t="n">
        <f aca="false">'Buyout &amp; exit'!B23</f>
        <v>737130.151233105</v>
      </c>
      <c r="C28" s="17" t="n">
        <f aca="false">'Buyout &amp; exit'!C23</f>
        <v>793606.669249441</v>
      </c>
      <c r="D28" s="17" t="n">
        <f aca="false">'Buyout &amp; exit'!D23</f>
        <v>973791.845154872</v>
      </c>
      <c r="E28" s="17" t="n">
        <f aca="false">'Buyout &amp; exit'!E23</f>
        <v>1704841.10205784</v>
      </c>
      <c r="F28" s="17" t="n">
        <f aca="false">'Buyout &amp; exit'!F23</f>
        <v>1781926.25021217</v>
      </c>
      <c r="G28" s="17" t="n">
        <f aca="false">'Buyout &amp; exit'!G23</f>
        <v>2078739.72158601</v>
      </c>
      <c r="H28" s="17" t="n">
        <f aca="false">'Buyout &amp; exit'!H23</f>
        <v>2788865.52166945</v>
      </c>
      <c r="I28" s="17" t="n">
        <f aca="false">'Buyout &amp; exit'!I23</f>
        <v>3584726.63004211</v>
      </c>
      <c r="J28" s="17" t="n">
        <f aca="false">'Buyout &amp; exit'!J23</f>
        <v>4191175.85367095</v>
      </c>
      <c r="K28" s="17" t="n">
        <f aca="false">'Buyout &amp; exit'!K23</f>
        <v>5168218.95382355</v>
      </c>
      <c r="L28" s="17" t="n">
        <f aca="false">'Buyout &amp; exit'!L23</f>
        <v>8245690.54355842</v>
      </c>
      <c r="M28" s="17" t="n">
        <f aca="false">'Buyout &amp; exit'!M23</f>
        <v>9739722.17619467</v>
      </c>
      <c r="N28" s="17" t="n">
        <f aca="false">'Buyout &amp; exit'!N23</f>
        <v>11353079.965143</v>
      </c>
      <c r="O28" s="17" t="n">
        <f aca="false">'Buyout &amp; exit'!O23</f>
        <v>12401842.2665323</v>
      </c>
      <c r="P28" s="17" t="n">
        <f aca="false">'Buyout &amp; exit'!P23</f>
        <v>13454921.9845546</v>
      </c>
      <c r="Q28" s="3"/>
      <c r="R28" s="3"/>
    </row>
    <row r="29" customFormat="false" ht="32.8" hidden="false" customHeight="false" outlineLevel="0" collapsed="false">
      <c r="A29" s="20" t="s">
        <v>869</v>
      </c>
      <c r="B29" s="17" t="n">
        <f aca="false">MAX(0,B28-INDEX('Buyout &amp; exit'!$B$23:$P$23,Assumptions!$B$150))</f>
        <v>0</v>
      </c>
      <c r="C29" s="17" t="n">
        <f aca="false">MAX(0,C28-INDEX('Buyout &amp; exit'!$B$23:$P$23,Assumptions!$B$150))</f>
        <v>56476.5180163361</v>
      </c>
      <c r="D29" s="17" t="n">
        <f aca="false">MAX(0,D28-INDEX('Buyout &amp; exit'!$B$23:$P$23,Assumptions!$B$150))</f>
        <v>236661.693921767</v>
      </c>
      <c r="E29" s="17" t="n">
        <f aca="false">MAX(0,E28-INDEX('Buyout &amp; exit'!$B$23:$P$23,Assumptions!$B$150))</f>
        <v>967710.95082474</v>
      </c>
      <c r="F29" s="17" t="n">
        <f aca="false">MAX(0,F28-INDEX('Buyout &amp; exit'!$B$23:$P$23,Assumptions!$B$150))</f>
        <v>1044796.09897907</v>
      </c>
      <c r="G29" s="17" t="n">
        <f aca="false">MAX(0,G28-INDEX('Buyout &amp; exit'!$B$23:$P$23,Assumptions!$B$150))</f>
        <v>1341609.57035291</v>
      </c>
      <c r="H29" s="17" t="n">
        <f aca="false">MAX(0,H28-INDEX('Buyout &amp; exit'!$B$23:$P$23,Assumptions!$B$150))</f>
        <v>2051735.37043634</v>
      </c>
      <c r="I29" s="17" t="n">
        <f aca="false">MAX(0,I28-INDEX('Buyout &amp; exit'!$B$23:$P$23,Assumptions!$B$150))</f>
        <v>2847596.478809</v>
      </c>
      <c r="J29" s="17" t="n">
        <f aca="false">MAX(0,J28-INDEX('Buyout &amp; exit'!$B$23:$P$23,Assumptions!$B$150))</f>
        <v>3454045.70243784</v>
      </c>
      <c r="K29" s="17" t="n">
        <f aca="false">MAX(0,K28-INDEX('Buyout &amp; exit'!$B$23:$P$23,Assumptions!$B$150))</f>
        <v>4431088.80259044</v>
      </c>
      <c r="L29" s="17" t="n">
        <f aca="false">MAX(0,L28-INDEX('Buyout &amp; exit'!$B$23:$P$23,Assumptions!$B$150))</f>
        <v>7508560.39232531</v>
      </c>
      <c r="M29" s="17" t="n">
        <f aca="false">MAX(0,M28-INDEX('Buyout &amp; exit'!$B$23:$P$23,Assumptions!$B$150))</f>
        <v>9002592.02496157</v>
      </c>
      <c r="N29" s="17" t="n">
        <f aca="false">MAX(0,N28-INDEX('Buyout &amp; exit'!$B$23:$P$23,Assumptions!$B$150))</f>
        <v>10615949.8139099</v>
      </c>
      <c r="O29" s="17" t="n">
        <f aca="false">MAX(0,O28-INDEX('Buyout &amp; exit'!$B$23:$P$23,Assumptions!$B$150))</f>
        <v>11664712.1152992</v>
      </c>
      <c r="P29" s="17" t="n">
        <f aca="false">MAX(0,P28-INDEX('Buyout &amp; exit'!$B$23:$P$23,Assumptions!$B$150))</f>
        <v>12717791.8333215</v>
      </c>
      <c r="Q29" s="3"/>
      <c r="R29" s="53" t="s">
        <v>870</v>
      </c>
    </row>
    <row r="30" customFormat="false" ht="15" hidden="false" customHeight="false" outlineLevel="0" collapsed="false">
      <c r="A30" s="18" t="s">
        <v>871</v>
      </c>
      <c r="B30" s="24" t="n">
        <f aca="false">B27*B29</f>
        <v>0</v>
      </c>
      <c r="C30" s="24" t="n">
        <f aca="false">C27*C29</f>
        <v>3388.59108098017</v>
      </c>
      <c r="D30" s="24" t="n">
        <f aca="false">D27*D29</f>
        <v>21299.552452959</v>
      </c>
      <c r="E30" s="24" t="n">
        <f aca="false">E27*E29</f>
        <v>116125.314098969</v>
      </c>
      <c r="F30" s="24" t="n">
        <f aca="false">F27*F29</f>
        <v>125375.531877488</v>
      </c>
      <c r="G30" s="24" t="n">
        <f aca="false">G27*G29</f>
        <v>160993.148442349</v>
      </c>
      <c r="H30" s="24" t="n">
        <f aca="false">H27*H29</f>
        <v>246208.244452361</v>
      </c>
      <c r="I30" s="24" t="n">
        <f aca="false">I27*I29</f>
        <v>341711.577457081</v>
      </c>
      <c r="J30" s="24" t="n">
        <f aca="false">J27*J29</f>
        <v>414485.484292541</v>
      </c>
      <c r="K30" s="24" t="n">
        <f aca="false">K27*K29</f>
        <v>531730.656310853</v>
      </c>
      <c r="L30" s="24" t="n">
        <f aca="false">L27*L29</f>
        <v>901027.247079037</v>
      </c>
      <c r="M30" s="24" t="n">
        <f aca="false">M27*M29</f>
        <v>1080311.04299539</v>
      </c>
      <c r="N30" s="24" t="n">
        <f aca="false">N27*N29</f>
        <v>1273913.97766919</v>
      </c>
      <c r="O30" s="24" t="n">
        <f aca="false">O27*O29</f>
        <v>1399765.45383591</v>
      </c>
      <c r="P30" s="24" t="n">
        <f aca="false">P27*P29</f>
        <v>1526135.01999858</v>
      </c>
      <c r="Q30" s="3"/>
      <c r="R30" s="3"/>
    </row>
    <row r="31" customFormat="false" ht="22.35" hidden="false" customHeight="false" outlineLevel="0" collapsed="false">
      <c r="A31" s="20" t="s">
        <v>872</v>
      </c>
      <c r="B31" s="17" t="n">
        <f aca="false">IF(OR(Assumptions!$B$159=0,1&lt;Assumptions!$B$150),0,Assumptions!$B$159/(1-Assumptions!$B$160)/MAX(1,INDEX('Buyout &amp; exit'!$B$23:$P$23,Assumptions!$B$150))*B28)</f>
        <v>0</v>
      </c>
      <c r="C31" s="17" t="n">
        <f aca="false">IF(OR(Assumptions!$B$159=0,2&lt;Assumptions!$B$150),0,Assumptions!$B$159/(1-Assumptions!$B$160)/MAX(1,INDEX('Buyout &amp; exit'!$B$23:$P$23,Assumptions!$B$150))*C28)</f>
        <v>0</v>
      </c>
      <c r="D31" s="17" t="n">
        <f aca="false">IF(OR(Assumptions!$B$159=0,3&lt;Assumptions!$B$150),0,Assumptions!$B$159/(1-Assumptions!$B$160)/MAX(1,INDEX('Buyout &amp; exit'!$B$23:$P$23,Assumptions!$B$150))*D28)</f>
        <v>0</v>
      </c>
      <c r="E31" s="17" t="n">
        <f aca="false">IF(OR(Assumptions!$B$159=0,4&lt;Assumptions!$B$150),0,Assumptions!$B$159/(1-Assumptions!$B$160)/MAX(1,INDEX('Buyout &amp; exit'!$B$23:$P$23,Assumptions!$B$150))*E28)</f>
        <v>0</v>
      </c>
      <c r="F31" s="17" t="n">
        <f aca="false">IF(OR(Assumptions!$B$159=0,5&lt;Assumptions!$B$150),0,Assumptions!$B$159/(1-Assumptions!$B$160)/MAX(1,INDEX('Buyout &amp; exit'!$B$23:$P$23,Assumptions!$B$150))*F28)</f>
        <v>0</v>
      </c>
      <c r="G31" s="17" t="n">
        <f aca="false">IF(OR(Assumptions!$B$159=0,6&lt;Assumptions!$B$150),0,Assumptions!$B$159/(1-Assumptions!$B$160)/MAX(1,INDEX('Buyout &amp; exit'!$B$23:$P$23,Assumptions!$B$150))*G28)</f>
        <v>0</v>
      </c>
      <c r="H31" s="17" t="n">
        <f aca="false">IF(OR(Assumptions!$B$159=0,7&lt;Assumptions!$B$150),0,Assumptions!$B$159/(1-Assumptions!$B$160)/MAX(1,INDEX('Buyout &amp; exit'!$B$23:$P$23,Assumptions!$B$150))*H28)</f>
        <v>0</v>
      </c>
      <c r="I31" s="17" t="n">
        <f aca="false">IF(OR(Assumptions!$B$159=0,8&lt;Assumptions!$B$150),0,Assumptions!$B$159/(1-Assumptions!$B$160)/MAX(1,INDEX('Buyout &amp; exit'!$B$23:$P$23,Assumptions!$B$150))*I28)</f>
        <v>0</v>
      </c>
      <c r="J31" s="17" t="n">
        <f aca="false">IF(OR(Assumptions!$B$159=0,9&lt;Assumptions!$B$150),0,Assumptions!$B$159/(1-Assumptions!$B$160)/MAX(1,INDEX('Buyout &amp; exit'!$B$23:$P$23,Assumptions!$B$150))*J28)</f>
        <v>0</v>
      </c>
      <c r="K31" s="17" t="n">
        <f aca="false">IF(OR(Assumptions!$B$159=0,10&lt;Assumptions!$B$150),0,Assumptions!$B$159/(1-Assumptions!$B$160)/MAX(1,INDEX('Buyout &amp; exit'!$B$23:$P$23,Assumptions!$B$150))*K28)</f>
        <v>0</v>
      </c>
      <c r="L31" s="17" t="n">
        <f aca="false">IF(OR(Assumptions!$B$159=0,11&lt;Assumptions!$B$150),0,Assumptions!$B$159/(1-Assumptions!$B$160)/MAX(1,INDEX('Buyout &amp; exit'!$B$23:$P$23,Assumptions!$B$150))*L28)</f>
        <v>0</v>
      </c>
      <c r="M31" s="17" t="n">
        <f aca="false">IF(OR(Assumptions!$B$159=0,12&lt;Assumptions!$B$150),0,Assumptions!$B$159/(1-Assumptions!$B$160)/MAX(1,INDEX('Buyout &amp; exit'!$B$23:$P$23,Assumptions!$B$150))*M28)</f>
        <v>0</v>
      </c>
      <c r="N31" s="17" t="n">
        <f aca="false">IF(OR(Assumptions!$B$159=0,13&lt;Assumptions!$B$150),0,Assumptions!$B$159/(1-Assumptions!$B$160)/MAX(1,INDEX('Buyout &amp; exit'!$B$23:$P$23,Assumptions!$B$150))*N28)</f>
        <v>0</v>
      </c>
      <c r="O31" s="17" t="n">
        <f aca="false">IF(OR(Assumptions!$B$159=0,14&lt;Assumptions!$B$150),0,Assumptions!$B$159/(1-Assumptions!$B$160)/MAX(1,INDEX('Buyout &amp; exit'!$B$23:$P$23,Assumptions!$B$150))*O28)</f>
        <v>0</v>
      </c>
      <c r="P31" s="17" t="n">
        <f aca="false">IF(OR(Assumptions!$B$159=0,15&lt;Assumptions!$B$150),0,Assumptions!$B$159/(1-Assumptions!$B$160)/MAX(1,INDEX('Buyout &amp; exit'!$B$23:$P$23,Assumptions!$B$150))*P28)</f>
        <v>0</v>
      </c>
      <c r="Q31" s="3"/>
      <c r="R31" s="53" t="s">
        <v>873</v>
      </c>
    </row>
    <row r="32" customFormat="false" ht="15" hidden="false" customHeight="false" outlineLevel="0" collapsed="false">
      <c r="A32" s="18" t="s">
        <v>874</v>
      </c>
      <c r="B32" s="24" t="n">
        <f aca="false">B30+B31</f>
        <v>0</v>
      </c>
      <c r="C32" s="24" t="n">
        <f aca="false">C30+C31</f>
        <v>3388.59108098017</v>
      </c>
      <c r="D32" s="24" t="n">
        <f aca="false">D30+D31</f>
        <v>21299.552452959</v>
      </c>
      <c r="E32" s="24" t="n">
        <f aca="false">E30+E31</f>
        <v>116125.314098969</v>
      </c>
      <c r="F32" s="24" t="n">
        <f aca="false">F30+F31</f>
        <v>125375.531877488</v>
      </c>
      <c r="G32" s="24" t="n">
        <f aca="false">G30+G31</f>
        <v>160993.148442349</v>
      </c>
      <c r="H32" s="24" t="n">
        <f aca="false">H30+H31</f>
        <v>246208.244452361</v>
      </c>
      <c r="I32" s="24" t="n">
        <f aca="false">I30+I31</f>
        <v>341711.577457081</v>
      </c>
      <c r="J32" s="24" t="n">
        <f aca="false">J30+J31</f>
        <v>414485.484292541</v>
      </c>
      <c r="K32" s="24" t="n">
        <f aca="false">K30+K31</f>
        <v>531730.656310853</v>
      </c>
      <c r="L32" s="24" t="n">
        <f aca="false">L30+L31</f>
        <v>901027.247079037</v>
      </c>
      <c r="M32" s="24" t="n">
        <f aca="false">M30+M31</f>
        <v>1080311.04299539</v>
      </c>
      <c r="N32" s="24" t="n">
        <f aca="false">N30+N31</f>
        <v>1273913.97766919</v>
      </c>
      <c r="O32" s="24" t="n">
        <f aca="false">O30+O31</f>
        <v>1399765.45383591</v>
      </c>
      <c r="P32" s="24" t="n">
        <f aca="false">P30+P31</f>
        <v>1526135.01999858</v>
      </c>
      <c r="Q32" s="3"/>
      <c r="R32" s="3"/>
    </row>
    <row r="33" customFormat="false" ht="15" hidden="false" customHeight="false" outlineLevel="0" collapsed="false">
      <c r="A33" s="43" t="s">
        <v>875</v>
      </c>
      <c r="B33" s="44"/>
      <c r="C33" s="44"/>
      <c r="D33" s="44"/>
      <c r="E33" s="44"/>
      <c r="F33" s="44"/>
      <c r="G33" s="44"/>
      <c r="H33" s="44"/>
      <c r="I33" s="44"/>
      <c r="J33" s="44"/>
      <c r="K33" s="44"/>
      <c r="L33" s="44"/>
      <c r="M33" s="44"/>
      <c r="N33" s="44"/>
      <c r="O33" s="44"/>
      <c r="P33" s="44"/>
      <c r="Q33" s="3"/>
      <c r="R33" s="44"/>
    </row>
    <row r="34" customFormat="false" ht="32.8" hidden="false" customHeight="false" outlineLevel="0" collapsed="false">
      <c r="A34" s="20" t="s">
        <v>876</v>
      </c>
      <c r="B34" s="17" t="n">
        <f aca="false">Assumptions!$B$161</f>
        <v>128375</v>
      </c>
      <c r="C34" s="17" t="n">
        <f aca="false">Assumptions!$B$161*(1+Assumptions!$B$141)^1</f>
        <v>131905.3125</v>
      </c>
      <c r="D34" s="17" t="n">
        <f aca="false">Assumptions!$B$161*(1+Assumptions!$B$141)^2</f>
        <v>135532.70859375</v>
      </c>
      <c r="E34" s="17" t="n">
        <f aca="false">Assumptions!$B$161*(1+Assumptions!$B$141)^3</f>
        <v>139259.858080078</v>
      </c>
      <c r="F34" s="17" t="n">
        <f aca="false">Assumptions!$B$161*(1+Assumptions!$B$141)^4</f>
        <v>143089.50417728</v>
      </c>
      <c r="G34" s="17" t="n">
        <f aca="false">Assumptions!$B$161*(1+Assumptions!$B$141)^5</f>
        <v>147024.465542156</v>
      </c>
      <c r="H34" s="17" t="n">
        <f aca="false">Assumptions!$B$161*(1+Assumptions!$B$141)^6</f>
        <v>151067.638344565</v>
      </c>
      <c r="I34" s="17" t="n">
        <f aca="false">Assumptions!$B$161*(1+Assumptions!$B$141)^7</f>
        <v>155221.99839904</v>
      </c>
      <c r="J34" s="17" t="n">
        <f aca="false">Assumptions!$B$161*(1+Assumptions!$B$141)^8</f>
        <v>159490.603355014</v>
      </c>
      <c r="K34" s="17" t="n">
        <f aca="false">Assumptions!$B$161*(1+Assumptions!$B$141)^9</f>
        <v>163876.594947277</v>
      </c>
      <c r="L34" s="17" t="n">
        <f aca="false">Assumptions!$B$161*(1+Assumptions!$B$141)^10</f>
        <v>168383.201308327</v>
      </c>
      <c r="M34" s="17" t="n">
        <f aca="false">Assumptions!$B$161*(1+Assumptions!$B$141)^11</f>
        <v>173013.739344306</v>
      </c>
      <c r="N34" s="17" t="n">
        <f aca="false">Assumptions!$B$161*(1+Assumptions!$B$141)^12</f>
        <v>177771.617176274</v>
      </c>
      <c r="O34" s="17" t="n">
        <f aca="false">Assumptions!$B$161*(1+Assumptions!$B$141)^13</f>
        <v>182660.336648622</v>
      </c>
      <c r="P34" s="17" t="n">
        <f aca="false">Assumptions!$B$161*(1+Assumptions!$B$141)^14</f>
        <v>187683.495906459</v>
      </c>
      <c r="Q34" s="3"/>
      <c r="R34" s="53" t="s">
        <v>877</v>
      </c>
    </row>
    <row r="35" customFormat="false" ht="22.35" hidden="false" customHeight="false" outlineLevel="0" collapsed="false">
      <c r="A35" s="18" t="s">
        <v>878</v>
      </c>
      <c r="B35" s="24" t="n">
        <f aca="false">B21-B34</f>
        <v>-58835</v>
      </c>
      <c r="C35" s="24" t="n">
        <f aca="false">C21-C34</f>
        <v>-16005.3125</v>
      </c>
      <c r="D35" s="24" t="n">
        <f aca="false">D21-D34</f>
        <v>-19632.70859375</v>
      </c>
      <c r="E35" s="24" t="n">
        <f aca="false">E21-E34</f>
        <v>7140.14191992185</v>
      </c>
      <c r="F35" s="24" t="n">
        <f aca="false">F21-F34</f>
        <v>3310.49582271971</v>
      </c>
      <c r="G35" s="24" t="n">
        <f aca="false">G21-G34</f>
        <v>-624.465542155551</v>
      </c>
      <c r="H35" s="24" t="n">
        <f aca="false">H21-H34</f>
        <v>38032.3616554352</v>
      </c>
      <c r="I35" s="24" t="n">
        <f aca="false">I21-I34</f>
        <v>33878.0016009596</v>
      </c>
      <c r="J35" s="24" t="n">
        <f aca="false">J21-J34</f>
        <v>29609.396644986</v>
      </c>
      <c r="K35" s="24" t="n">
        <f aca="false">K21-K34</f>
        <v>25223.4050527231</v>
      </c>
      <c r="L35" s="24" t="n">
        <f aca="false">L21-L34</f>
        <v>20716.798691673</v>
      </c>
      <c r="M35" s="24" t="n">
        <f aca="false">M21-M34</f>
        <v>52686.260655694</v>
      </c>
      <c r="N35" s="24" t="n">
        <f aca="false">N21-N34</f>
        <v>47928.3828237256</v>
      </c>
      <c r="O35" s="24" t="n">
        <f aca="false">O21-O34</f>
        <v>43039.663351378</v>
      </c>
      <c r="P35" s="24" t="n">
        <f aca="false">P21-P34</f>
        <v>38016.5040935409</v>
      </c>
      <c r="Q35" s="3"/>
      <c r="R35" s="53" t="s">
        <v>879</v>
      </c>
    </row>
    <row r="36" customFormat="false" ht="15" hidden="false" customHeight="false" outlineLevel="0" collapsed="false">
      <c r="A36" s="18" t="s">
        <v>880</v>
      </c>
      <c r="B36" s="24" t="n">
        <f aca="false">B35</f>
        <v>-58835</v>
      </c>
      <c r="C36" s="24" t="n">
        <f aca="false">B36+C35</f>
        <v>-74840.3125</v>
      </c>
      <c r="D36" s="24" t="n">
        <f aca="false">C36+D35</f>
        <v>-94473.02109375</v>
      </c>
      <c r="E36" s="24" t="n">
        <f aca="false">D36+E35</f>
        <v>-87332.8791738282</v>
      </c>
      <c r="F36" s="24" t="n">
        <f aca="false">E36+F35</f>
        <v>-84022.3833511085</v>
      </c>
      <c r="G36" s="24" t="n">
        <f aca="false">F36+G35</f>
        <v>-84646.848893264</v>
      </c>
      <c r="H36" s="24" t="n">
        <f aca="false">G36+H35</f>
        <v>-46614.4872378288</v>
      </c>
      <c r="I36" s="24" t="n">
        <f aca="false">H36+I35</f>
        <v>-12736.4856368692</v>
      </c>
      <c r="J36" s="24" t="n">
        <f aca="false">I36+J35</f>
        <v>16872.9110081168</v>
      </c>
      <c r="K36" s="24" t="n">
        <f aca="false">J36+K35</f>
        <v>42096.3160608399</v>
      </c>
      <c r="L36" s="24" t="n">
        <f aca="false">K36+L35</f>
        <v>62813.1147525129</v>
      </c>
      <c r="M36" s="24" t="n">
        <f aca="false">L36+M35</f>
        <v>115499.375408207</v>
      </c>
      <c r="N36" s="24" t="n">
        <f aca="false">M36+N35</f>
        <v>163427.758231932</v>
      </c>
      <c r="O36" s="24" t="n">
        <f aca="false">N36+O35</f>
        <v>206467.42158331</v>
      </c>
      <c r="P36" s="24" t="n">
        <f aca="false">O36+P35</f>
        <v>244483.925676851</v>
      </c>
      <c r="Q36" s="3"/>
      <c r="R36" s="3"/>
    </row>
    <row r="37" customFormat="false" ht="22.35" hidden="false" customHeight="false" outlineLevel="0" collapsed="false">
      <c r="A37" s="18" t="s">
        <v>881</v>
      </c>
      <c r="B37" s="24" t="n">
        <f aca="false">B36+B32</f>
        <v>-58835</v>
      </c>
      <c r="C37" s="24" t="n">
        <f aca="false">C36+C32</f>
        <v>-71451.7214190198</v>
      </c>
      <c r="D37" s="24" t="n">
        <f aca="false">D36+D32</f>
        <v>-73173.468640791</v>
      </c>
      <c r="E37" s="24" t="n">
        <f aca="false">E36+E32</f>
        <v>28792.4349251406</v>
      </c>
      <c r="F37" s="24" t="n">
        <f aca="false">F36+F32</f>
        <v>41353.1485263794</v>
      </c>
      <c r="G37" s="24" t="n">
        <f aca="false">G36+G32</f>
        <v>76346.2995490851</v>
      </c>
      <c r="H37" s="24" t="n">
        <f aca="false">H36+H32</f>
        <v>199593.757214532</v>
      </c>
      <c r="I37" s="24" t="n">
        <f aca="false">I36+I32</f>
        <v>328975.091820211</v>
      </c>
      <c r="J37" s="24" t="n">
        <f aca="false">J36+J32</f>
        <v>431358.395300658</v>
      </c>
      <c r="K37" s="24" t="n">
        <f aca="false">K36+K32</f>
        <v>573826.972371693</v>
      </c>
      <c r="L37" s="24" t="n">
        <f aca="false">L36+L32</f>
        <v>963840.36183155</v>
      </c>
      <c r="M37" s="24" t="n">
        <f aca="false">M36+M32</f>
        <v>1195810.41840359</v>
      </c>
      <c r="N37" s="24" t="n">
        <f aca="false">N36+N32</f>
        <v>1437341.73590112</v>
      </c>
      <c r="O37" s="24" t="n">
        <f aca="false">O36+O32</f>
        <v>1606232.87541922</v>
      </c>
      <c r="P37" s="24" t="n">
        <f aca="false">P36+P32</f>
        <v>1770618.94567544</v>
      </c>
      <c r="Q37" s="3"/>
      <c r="R37" s="53" t="s">
        <v>882</v>
      </c>
    </row>
    <row r="38" customFormat="false" ht="15" hidden="false" customHeight="false" outlineLevel="0" collapsed="false">
      <c r="A38" s="20" t="s">
        <v>883</v>
      </c>
      <c r="B38" s="21" t="str">
        <f aca="false">IF(B37&gt;0,"AHEAD","behind")</f>
        <v>behind</v>
      </c>
      <c r="C38" s="21" t="str">
        <f aca="false">IF(C37&gt;0,"AHEAD","behind")</f>
        <v>behind</v>
      </c>
      <c r="D38" s="21" t="str">
        <f aca="false">IF(D37&gt;0,"AHEAD","behind")</f>
        <v>behind</v>
      </c>
      <c r="E38" s="21" t="str">
        <f aca="false">IF(E37&gt;0,"AHEAD","behind")</f>
        <v>AHEAD</v>
      </c>
      <c r="F38" s="21" t="str">
        <f aca="false">IF(F37&gt;0,"AHEAD","behind")</f>
        <v>AHEAD</v>
      </c>
      <c r="G38" s="21" t="str">
        <f aca="false">IF(G37&gt;0,"AHEAD","behind")</f>
        <v>AHEAD</v>
      </c>
      <c r="H38" s="21" t="str">
        <f aca="false">IF(H37&gt;0,"AHEAD","behind")</f>
        <v>AHEAD</v>
      </c>
      <c r="I38" s="21" t="str">
        <f aca="false">IF(I37&gt;0,"AHEAD","behind")</f>
        <v>AHEAD</v>
      </c>
      <c r="J38" s="21" t="str">
        <f aca="false">IF(J37&gt;0,"AHEAD","behind")</f>
        <v>AHEAD</v>
      </c>
      <c r="K38" s="21" t="str">
        <f aca="false">IF(K37&gt;0,"AHEAD","behind")</f>
        <v>AHEAD</v>
      </c>
      <c r="L38" s="21" t="str">
        <f aca="false">IF(L37&gt;0,"AHEAD","behind")</f>
        <v>AHEAD</v>
      </c>
      <c r="M38" s="21" t="str">
        <f aca="false">IF(M37&gt;0,"AHEAD","behind")</f>
        <v>AHEAD</v>
      </c>
      <c r="N38" s="21" t="str">
        <f aca="false">IF(N37&gt;0,"AHEAD","behind")</f>
        <v>AHEAD</v>
      </c>
      <c r="O38" s="21" t="str">
        <f aca="false">IF(O37&gt;0,"AHEAD","behind")</f>
        <v>AHEAD</v>
      </c>
      <c r="P38" s="21" t="str">
        <f aca="false">IF(P37&gt;0,"AHEAD","behind")</f>
        <v>AHEAD</v>
      </c>
      <c r="Q38" s="3"/>
      <c r="R38" s="3"/>
    </row>
    <row r="39" customFormat="false" ht="15" hidden="false" customHeight="false" outlineLevel="0" collapsed="false">
      <c r="A39" s="3"/>
      <c r="B39" s="3"/>
      <c r="C39" s="3"/>
      <c r="D39" s="3"/>
      <c r="E39" s="3"/>
      <c r="F39" s="3"/>
      <c r="G39" s="3"/>
      <c r="H39" s="3"/>
      <c r="I39" s="3"/>
      <c r="J39" s="3"/>
      <c r="K39" s="3"/>
      <c r="L39" s="3"/>
      <c r="M39" s="3"/>
      <c r="N39" s="3"/>
      <c r="O39" s="3"/>
      <c r="P39" s="3"/>
      <c r="Q39" s="3"/>
      <c r="R39" s="3"/>
    </row>
    <row r="40" customFormat="false" ht="15" hidden="false" customHeight="false" outlineLevel="0" collapsed="false">
      <c r="A40" s="63" t="s">
        <v>884</v>
      </c>
      <c r="B40" s="64"/>
      <c r="C40" s="64"/>
      <c r="D40" s="64"/>
      <c r="E40" s="64"/>
      <c r="F40" s="64"/>
      <c r="G40" s="64"/>
      <c r="H40" s="64"/>
      <c r="I40" s="64"/>
      <c r="J40" s="64"/>
      <c r="K40" s="64"/>
      <c r="L40" s="64"/>
      <c r="M40" s="64"/>
      <c r="N40" s="64"/>
      <c r="O40" s="64"/>
      <c r="P40" s="64"/>
      <c r="Q40" s="3"/>
      <c r="R40" s="64"/>
    </row>
    <row r="41" customFormat="false" ht="72" hidden="false" customHeight="true" outlineLevel="0" collapsed="false">
      <c r="A41" s="33" t="s">
        <v>885</v>
      </c>
      <c r="B41" s="33"/>
      <c r="C41" s="33"/>
      <c r="D41" s="33"/>
      <c r="E41" s="33"/>
      <c r="F41" s="33"/>
      <c r="G41" s="33"/>
      <c r="H41" s="33"/>
      <c r="I41" s="33"/>
      <c r="J41" s="33"/>
      <c r="K41" s="33"/>
      <c r="L41" s="33"/>
      <c r="M41" s="33"/>
      <c r="N41" s="33"/>
      <c r="O41" s="33"/>
      <c r="P41" s="33"/>
      <c r="Q41" s="33"/>
      <c r="R41" s="33"/>
    </row>
  </sheetData>
  <sheetProtection sheet="true" password="ef11" formatCells="false" formatColumns="false" formatRows="false"/>
  <mergeCells count="1">
    <mergeCell ref="A41:R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16" min="2" style="1" width="12"/>
    <col collapsed="false" customWidth="true" hidden="false" outlineLevel="0" max="18" min="18" style="1" width="58"/>
  </cols>
  <sheetData>
    <row r="1" customFormat="false" ht="17.35" hidden="false" customHeight="false" outlineLevel="0" collapsed="false">
      <c r="A1" s="2" t="s">
        <v>886</v>
      </c>
      <c r="B1" s="3"/>
      <c r="C1" s="3"/>
      <c r="D1" s="3"/>
      <c r="E1" s="3"/>
      <c r="F1" s="3"/>
      <c r="G1" s="3"/>
      <c r="H1" s="3"/>
      <c r="I1" s="3"/>
      <c r="J1" s="3"/>
      <c r="K1" s="3"/>
      <c r="L1" s="3"/>
      <c r="M1" s="3"/>
      <c r="N1" s="3"/>
      <c r="O1" s="3"/>
      <c r="P1" s="3"/>
      <c r="Q1" s="3"/>
      <c r="R1" s="3"/>
    </row>
    <row r="2" customFormat="false" ht="15" hidden="false" customHeight="false" outlineLevel="0" collapsed="false">
      <c r="A2" s="4" t="s">
        <v>887</v>
      </c>
      <c r="B2" s="3"/>
      <c r="C2" s="3"/>
      <c r="D2" s="3"/>
      <c r="E2" s="3"/>
      <c r="F2" s="3"/>
      <c r="G2" s="3"/>
      <c r="H2" s="3"/>
      <c r="I2" s="3"/>
      <c r="J2" s="3"/>
      <c r="K2" s="3"/>
      <c r="L2" s="3"/>
      <c r="M2" s="3"/>
      <c r="N2" s="3"/>
      <c r="O2" s="3"/>
      <c r="P2" s="3"/>
      <c r="Q2" s="3"/>
      <c r="R2" s="3"/>
    </row>
    <row r="3" customFormat="false" ht="15" hidden="false" customHeight="false" outlineLevel="0" collapsed="false">
      <c r="A3" s="3"/>
      <c r="B3" s="3"/>
      <c r="C3" s="3"/>
      <c r="D3" s="3"/>
      <c r="E3" s="3"/>
      <c r="F3" s="3"/>
      <c r="G3" s="3"/>
      <c r="H3" s="3"/>
      <c r="I3" s="3"/>
      <c r="J3" s="3"/>
      <c r="K3" s="3"/>
      <c r="L3" s="3"/>
      <c r="M3" s="3"/>
      <c r="N3" s="3"/>
      <c r="O3" s="3"/>
      <c r="P3" s="3"/>
      <c r="Q3" s="3"/>
      <c r="R3" s="3"/>
    </row>
    <row r="4" customFormat="false" ht="15" hidden="false" customHeight="false" outlineLevel="0" collapsed="false">
      <c r="A4" s="3"/>
      <c r="B4" s="3"/>
      <c r="C4" s="3"/>
      <c r="D4" s="3"/>
      <c r="E4" s="3"/>
      <c r="F4" s="3"/>
      <c r="G4" s="3"/>
      <c r="H4" s="3"/>
      <c r="I4" s="3"/>
      <c r="J4" s="3"/>
      <c r="K4" s="3"/>
      <c r="L4" s="3"/>
      <c r="M4" s="3"/>
      <c r="N4" s="3"/>
      <c r="O4" s="3"/>
      <c r="P4" s="3"/>
      <c r="Q4" s="3"/>
      <c r="R4" s="3"/>
    </row>
    <row r="5" customFormat="false" ht="15" hidden="false" customHeight="false" outlineLevel="0" collapsed="false">
      <c r="A5" s="3"/>
      <c r="B5" s="3"/>
      <c r="C5" s="3"/>
      <c r="D5" s="3"/>
      <c r="E5" s="3"/>
      <c r="F5" s="3"/>
      <c r="G5" s="3"/>
      <c r="H5" s="3"/>
      <c r="I5" s="3"/>
      <c r="J5" s="3"/>
      <c r="K5" s="3"/>
      <c r="L5" s="3"/>
      <c r="M5" s="3"/>
      <c r="N5" s="3"/>
      <c r="O5" s="3"/>
      <c r="P5" s="3"/>
      <c r="Q5" s="3"/>
      <c r="R5" s="3"/>
    </row>
    <row r="6" customFormat="false" ht="15" hidden="false" customHeight="false" outlineLevel="0" collapsed="false">
      <c r="A6" s="3"/>
      <c r="B6" s="3"/>
      <c r="C6" s="3"/>
      <c r="D6" s="3"/>
      <c r="E6" s="3"/>
      <c r="F6" s="3"/>
      <c r="G6" s="3"/>
      <c r="H6" s="3"/>
      <c r="I6" s="3"/>
      <c r="J6" s="3"/>
      <c r="K6" s="3"/>
      <c r="L6" s="3"/>
      <c r="M6" s="3"/>
      <c r="N6" s="3"/>
      <c r="O6" s="3"/>
      <c r="P6" s="3"/>
      <c r="Q6" s="3"/>
      <c r="R6" s="3"/>
    </row>
    <row r="7" customFormat="false" ht="15" hidden="false" customHeight="false" outlineLevel="0" collapsed="false">
      <c r="A7" s="3"/>
      <c r="B7" s="3"/>
      <c r="C7" s="3"/>
      <c r="D7" s="3"/>
      <c r="E7" s="3"/>
      <c r="F7" s="3"/>
      <c r="G7" s="3"/>
      <c r="H7" s="3"/>
      <c r="I7" s="3"/>
      <c r="J7" s="3"/>
      <c r="K7" s="3"/>
      <c r="L7" s="3"/>
      <c r="M7" s="3"/>
      <c r="N7" s="3"/>
      <c r="O7" s="3"/>
      <c r="P7" s="3"/>
      <c r="Q7" s="3"/>
      <c r="R7" s="3"/>
    </row>
    <row r="8" customFormat="false" ht="15" hidden="false" customHeight="false" outlineLevel="0" collapsed="false">
      <c r="A8" s="3"/>
      <c r="B8" s="3"/>
      <c r="C8" s="3"/>
      <c r="D8" s="3"/>
      <c r="E8" s="3"/>
      <c r="F8" s="3"/>
      <c r="G8" s="3"/>
      <c r="H8" s="3"/>
      <c r="I8" s="3"/>
      <c r="J8" s="3"/>
      <c r="K8" s="3"/>
      <c r="L8" s="3"/>
      <c r="M8" s="3"/>
      <c r="N8" s="3"/>
      <c r="O8" s="3"/>
      <c r="P8" s="3"/>
      <c r="Q8" s="3"/>
      <c r="R8" s="3"/>
    </row>
    <row r="9" customFormat="false" ht="15" hidden="false" customHeight="false" outlineLevel="0" collapsed="false">
      <c r="A9" s="18" t="s">
        <v>632</v>
      </c>
      <c r="B9" s="19" t="n">
        <v>1</v>
      </c>
      <c r="C9" s="19" t="n">
        <v>2</v>
      </c>
      <c r="D9" s="19" t="n">
        <v>3</v>
      </c>
      <c r="E9" s="19" t="n">
        <v>4</v>
      </c>
      <c r="F9" s="19" t="n">
        <v>5</v>
      </c>
      <c r="G9" s="19" t="n">
        <v>6</v>
      </c>
      <c r="H9" s="19" t="n">
        <v>7</v>
      </c>
      <c r="I9" s="19" t="n">
        <v>8</v>
      </c>
      <c r="J9" s="19" t="n">
        <v>9</v>
      </c>
      <c r="K9" s="19" t="n">
        <v>10</v>
      </c>
      <c r="L9" s="19" t="n">
        <v>11</v>
      </c>
      <c r="M9" s="19" t="n">
        <v>12</v>
      </c>
      <c r="N9" s="19" t="n">
        <v>13</v>
      </c>
      <c r="O9" s="19" t="n">
        <v>14</v>
      </c>
      <c r="P9" s="19" t="n">
        <v>15</v>
      </c>
      <c r="Q9" s="3"/>
      <c r="R9" s="18" t="s">
        <v>490</v>
      </c>
    </row>
    <row r="10" customFormat="false" ht="15" hidden="false" customHeight="false" outlineLevel="0" collapsed="false">
      <c r="A10" s="18" t="s">
        <v>749</v>
      </c>
      <c r="B10" s="24" t="n">
        <f aca="false">'Long range 15-yr'!B36</f>
        <v>1107883.476</v>
      </c>
      <c r="C10" s="24" t="n">
        <f aca="false">'Long range 15-yr'!C36</f>
        <v>1130224.27392</v>
      </c>
      <c r="D10" s="24" t="n">
        <f aca="false">'Long range 15-yr'!D36</f>
        <v>1470581.13731659</v>
      </c>
      <c r="E10" s="24" t="n">
        <f aca="false">'Long range 15-yr'!E36</f>
        <v>2128361.5241759</v>
      </c>
      <c r="F10" s="24" t="n">
        <f aca="false">'Long range 15-yr'!F36</f>
        <v>2531696.60117519</v>
      </c>
      <c r="G10" s="24" t="n">
        <f aca="false">'Long range 15-yr'!G36</f>
        <v>2960567.60023987</v>
      </c>
      <c r="H10" s="24" t="n">
        <f aca="false">'Long range 15-yr'!H36</f>
        <v>3415973.30476096</v>
      </c>
      <c r="I10" s="24" t="n">
        <f aca="false">'Long range 15-yr'!I36</f>
        <v>3898958.3702101</v>
      </c>
      <c r="J10" s="24" t="n">
        <f aca="false">'Long range 15-yr'!J36</f>
        <v>4410614.70976327</v>
      </c>
      <c r="K10" s="24" t="n">
        <f aca="false">'Long range 15-yr'!K36</f>
        <v>4952082.94628947</v>
      </c>
      <c r="L10" s="24" t="n">
        <f aca="false">'Long range 15-yr'!L36</f>
        <v>5524553.93215493</v>
      </c>
      <c r="M10" s="24" t="n">
        <f aca="false">'Long range 15-yr'!M36</f>
        <v>6129270.33838766</v>
      </c>
      <c r="N10" s="24" t="n">
        <f aca="false">'Long range 15-yr'!N36</f>
        <v>6767528.314843</v>
      </c>
      <c r="O10" s="24" t="n">
        <f aca="false">'Long range 15-yr'!O36</f>
        <v>7045784.99129078</v>
      </c>
      <c r="P10" s="24" t="n">
        <f aca="false">'Long range 15-yr'!P36</f>
        <v>7328447.27269707</v>
      </c>
      <c r="Q10" s="3"/>
      <c r="R10" s="3"/>
    </row>
    <row r="11" customFormat="false" ht="15" hidden="false" customHeight="false" outlineLevel="0" collapsed="false">
      <c r="A11" s="20" t="s">
        <v>888</v>
      </c>
      <c r="B11" s="17" t="n">
        <f aca="false">'Long range 15-yr'!B45</f>
        <v>550640.556</v>
      </c>
      <c r="C11" s="17" t="n">
        <f aca="false">'Long range 15-yr'!C45</f>
        <v>546414.015024</v>
      </c>
      <c r="D11" s="17" t="n">
        <f aca="false">'Long range 15-yr'!D45</f>
        <v>709990.641271451</v>
      </c>
      <c r="E11" s="17" t="n">
        <f aca="false">'Long range 15-yr'!E45</f>
        <v>1022779.21274066</v>
      </c>
      <c r="F11" s="17" t="n">
        <f aca="false">'Long range 15-yr'!F45</f>
        <v>1214677.50341455</v>
      </c>
      <c r="G11" s="17" t="n">
        <f aca="false">'Long range 15-yr'!G45</f>
        <v>1417209.92237001</v>
      </c>
      <c r="H11" s="17" t="n">
        <f aca="false">'Long range 15-yr'!H45</f>
        <v>1630583.82098187</v>
      </c>
      <c r="I11" s="17" t="n">
        <f aca="false">'Long range 15-yr'!I45</f>
        <v>1855009.39481846</v>
      </c>
      <c r="J11" s="17" t="n">
        <f aca="false">'Long range 15-yr'!J45</f>
        <v>2090698.90589066</v>
      </c>
      <c r="K11" s="17" t="n">
        <f aca="false">'Long range 15-yr'!K45</f>
        <v>2337865.85415941</v>
      </c>
      <c r="L11" s="17" t="n">
        <f aca="false">'Long range 15-yr'!L45</f>
        <v>2596724.09367388</v>
      </c>
      <c r="M11" s="17" t="n">
        <f aca="false">'Long range 15-yr'!M45</f>
        <v>2867486.88846898</v>
      </c>
      <c r="N11" s="17" t="n">
        <f aca="false">'Long range 15-yr'!N45</f>
        <v>3150365.90309101</v>
      </c>
      <c r="O11" s="17" t="n">
        <f aca="false">'Long range 15-yr'!O45</f>
        <v>3272486.16385273</v>
      </c>
      <c r="P11" s="17" t="n">
        <f aca="false">'Long range 15-yr'!P45</f>
        <v>3394163.06910467</v>
      </c>
      <c r="Q11" s="3"/>
      <c r="R11" s="3"/>
    </row>
    <row r="12" customFormat="false" ht="15" hidden="false" customHeight="false" outlineLevel="0" collapsed="false">
      <c r="A12" s="18" t="s">
        <v>889</v>
      </c>
      <c r="B12" s="24" t="n">
        <f aca="false">'Long range 15-yr'!B51+'Long range 15-yr'!B48</f>
        <v>309346.07309104</v>
      </c>
      <c r="C12" s="24" t="n">
        <f aca="false">'Long range 15-yr'!C51+'Long range 15-yr'!C48</f>
        <v>298686.24221904</v>
      </c>
      <c r="D12" s="24" t="n">
        <f aca="false">'Long range 15-yr'!D51+'Long range 15-yr'!D48</f>
        <v>355430.854335931</v>
      </c>
      <c r="E12" s="24" t="n">
        <f aca="false">'Long range 15-yr'!E51+'Long range 15-yr'!E48</f>
        <v>480212.618568055</v>
      </c>
      <c r="F12" s="24" t="n">
        <f aca="false">'Long range 15-yr'!F51+'Long range 15-yr'!F48</f>
        <v>471947.318307169</v>
      </c>
      <c r="G12" s="24" t="n">
        <f aca="false">'Long range 15-yr'!G51+'Long range 15-yr'!G48</f>
        <v>514099.926862789</v>
      </c>
      <c r="H12" s="24" t="n">
        <f aca="false">'Long range 15-yr'!H51+'Long range 15-yr'!H48</f>
        <v>646151.297211341</v>
      </c>
      <c r="I12" s="24" t="n">
        <f aca="false">'Long range 15-yr'!I51+'Long range 15-yr'!I48</f>
        <v>785530.442582843</v>
      </c>
      <c r="J12" s="24" t="n">
        <f aca="false">'Long range 15-yr'!J51+'Long range 15-yr'!J48</f>
        <v>869075.961720472</v>
      </c>
      <c r="K12" s="24" t="n">
        <f aca="false">'Long range 15-yr'!K51+'Long range 15-yr'!K48</f>
        <v>1029166.33528225</v>
      </c>
      <c r="L12" s="24" t="n">
        <f aca="false">'Long range 15-yr'!L51+'Long range 15-yr'!L48</f>
        <v>1197070.66564829</v>
      </c>
      <c r="M12" s="24" t="n">
        <f aca="false">'Long range 15-yr'!M51+'Long range 15-yr'!M48</f>
        <v>1372827.40169565</v>
      </c>
      <c r="N12" s="24" t="n">
        <f aca="false">'Long range 15-yr'!N51+'Long range 15-yr'!N48</f>
        <v>1556465.40590655</v>
      </c>
      <c r="O12" s="24" t="n">
        <f aca="false">'Long range 15-yr'!O51+'Long range 15-yr'!O48</f>
        <v>1627343.6700041</v>
      </c>
      <c r="P12" s="24" t="n">
        <f aca="false">'Long range 15-yr'!P51+'Long range 15-yr'!P48</f>
        <v>1696229.81094027</v>
      </c>
      <c r="Q12" s="3"/>
      <c r="R12" s="53" t="s">
        <v>890</v>
      </c>
    </row>
    <row r="13" customFormat="false" ht="15" hidden="false" customHeight="false" outlineLevel="0" collapsed="false">
      <c r="A13" s="20" t="s">
        <v>891</v>
      </c>
      <c r="B13" s="17" t="n">
        <f aca="false">'Long range 15-yr'!B48</f>
        <v>150000</v>
      </c>
      <c r="C13" s="17" t="n">
        <f aca="false">'Long range 15-yr'!C48</f>
        <v>150000</v>
      </c>
      <c r="D13" s="17" t="n">
        <f aca="false">'Long range 15-yr'!D48</f>
        <v>150000</v>
      </c>
      <c r="E13" s="17" t="n">
        <f aca="false">'Long range 15-yr'!E48</f>
        <v>150000</v>
      </c>
      <c r="F13" s="17" t="n">
        <f aca="false">'Long range 15-yr'!F48</f>
        <v>150000</v>
      </c>
      <c r="G13" s="17" t="n">
        <f aca="false">'Long range 15-yr'!G48</f>
        <v>150000</v>
      </c>
      <c r="H13" s="17" t="n">
        <f aca="false">'Long range 15-yr'!H48</f>
        <v>150000</v>
      </c>
      <c r="I13" s="17" t="n">
        <f aca="false">'Long range 15-yr'!I48</f>
        <v>150000</v>
      </c>
      <c r="J13" s="17" t="n">
        <f aca="false">'Long range 15-yr'!J48</f>
        <v>150000</v>
      </c>
      <c r="K13" s="17" t="n">
        <f aca="false">'Long range 15-yr'!K48</f>
        <v>150000</v>
      </c>
      <c r="L13" s="17" t="n">
        <f aca="false">'Long range 15-yr'!L48</f>
        <v>150000</v>
      </c>
      <c r="M13" s="17" t="n">
        <f aca="false">'Long range 15-yr'!M48</f>
        <v>150000</v>
      </c>
      <c r="N13" s="17" t="n">
        <f aca="false">'Long range 15-yr'!N48</f>
        <v>150000</v>
      </c>
      <c r="O13" s="17" t="n">
        <f aca="false">'Long range 15-yr'!O48</f>
        <v>150000</v>
      </c>
      <c r="P13" s="17" t="n">
        <f aca="false">'Long range 15-yr'!P48</f>
        <v>150000</v>
      </c>
      <c r="Q13" s="3"/>
      <c r="R13" s="3"/>
    </row>
    <row r="14" customFormat="false" ht="15" hidden="false" customHeight="false" outlineLevel="0" collapsed="false">
      <c r="A14" s="20" t="s">
        <v>892</v>
      </c>
      <c r="B14" s="17" t="n">
        <f aca="false">'Ned - proforma'!B21</f>
        <v>75934.607309104</v>
      </c>
      <c r="C14" s="17" t="n">
        <f aca="false">'Ned - proforma'!C21</f>
        <v>74868.624221904</v>
      </c>
      <c r="D14" s="17" t="n">
        <f aca="false">'Ned - proforma'!D21</f>
        <v>86543.0854335931</v>
      </c>
      <c r="E14" s="17" t="n">
        <f aca="false">'Ned - proforma'!E21</f>
        <v>105021.261856805</v>
      </c>
      <c r="F14" s="17" t="n">
        <f aca="false">'Ned - proforma'!F21</f>
        <v>104194.731830717</v>
      </c>
      <c r="G14" s="17" t="n">
        <f aca="false">'Ned - proforma'!G21</f>
        <v>110389.992686279</v>
      </c>
      <c r="H14" s="17" t="n">
        <f aca="false">'Ned - proforma'!H21</f>
        <v>125629.579721134</v>
      </c>
      <c r="I14" s="17" t="n">
        <f aca="false">'Ned - proforma'!I21</f>
        <v>141657.891633284</v>
      </c>
      <c r="J14" s="17" t="n">
        <f aca="false">'Ned - proforma'!J21</f>
        <v>152160.32684986</v>
      </c>
      <c r="K14" s="17" t="n">
        <f aca="false">'Ned - proforma'!K21</f>
        <v>170376.314299677</v>
      </c>
      <c r="L14" s="17" t="n">
        <f aca="false">'Ned - proforma'!L21</f>
        <v>189434.388557496</v>
      </c>
      <c r="M14" s="17" t="n">
        <f aca="false">'Ned - proforma'!M21</f>
        <v>209340.06351703</v>
      </c>
      <c r="N14" s="17" t="n">
        <f aca="false">'Ned - proforma'!N21</f>
        <v>230097.940330176</v>
      </c>
      <c r="O14" s="17" t="n">
        <f aca="false">'Ned - proforma'!O21</f>
        <v>239645.680232767</v>
      </c>
      <c r="P14" s="17" t="n">
        <f aca="false">'Ned - proforma'!P21</f>
        <v>249061.855440275</v>
      </c>
      <c r="Q14" s="3"/>
      <c r="R14" s="3"/>
    </row>
    <row r="15" customFormat="false" ht="15" hidden="false" customHeight="false" outlineLevel="0" collapsed="false">
      <c r="A15" s="20" t="s">
        <v>893</v>
      </c>
      <c r="B15" s="17" t="n">
        <f aca="false">'Bryan - COO proforma'!B21</f>
        <v>69540</v>
      </c>
      <c r="C15" s="17" t="n">
        <f aca="false">'Bryan - COO proforma'!C21</f>
        <v>115900</v>
      </c>
      <c r="D15" s="17" t="n">
        <f aca="false">'Bryan - COO proforma'!D21</f>
        <v>115900</v>
      </c>
      <c r="E15" s="17" t="n">
        <f aca="false">'Bryan - COO proforma'!E21</f>
        <v>146400</v>
      </c>
      <c r="F15" s="17" t="n">
        <f aca="false">'Bryan - COO proforma'!F21</f>
        <v>146400</v>
      </c>
      <c r="G15" s="17" t="n">
        <f aca="false">'Bryan - COO proforma'!G21</f>
        <v>146400</v>
      </c>
      <c r="H15" s="17" t="n">
        <f aca="false">'Bryan - COO proforma'!H21</f>
        <v>189100</v>
      </c>
      <c r="I15" s="17" t="n">
        <f aca="false">'Bryan - COO proforma'!I21</f>
        <v>189100</v>
      </c>
      <c r="J15" s="17" t="n">
        <f aca="false">'Bryan - COO proforma'!J21</f>
        <v>189100</v>
      </c>
      <c r="K15" s="17" t="n">
        <f aca="false">'Bryan - COO proforma'!K21</f>
        <v>189100</v>
      </c>
      <c r="L15" s="17" t="n">
        <f aca="false">'Bryan - COO proforma'!L21</f>
        <v>189100</v>
      </c>
      <c r="M15" s="17" t="n">
        <f aca="false">'Bryan - COO proforma'!M21</f>
        <v>225700</v>
      </c>
      <c r="N15" s="17" t="n">
        <f aca="false">'Bryan - COO proforma'!N21</f>
        <v>225700</v>
      </c>
      <c r="O15" s="17" t="n">
        <f aca="false">'Bryan - COO proforma'!O21</f>
        <v>225700</v>
      </c>
      <c r="P15" s="17" t="n">
        <f aca="false">'Bryan - COO proforma'!P21</f>
        <v>225700</v>
      </c>
      <c r="Q15" s="3"/>
      <c r="R15" s="3"/>
    </row>
    <row r="16" customFormat="false" ht="22.35" hidden="false" customHeight="false" outlineLevel="0" collapsed="false">
      <c r="A16" s="20" t="s">
        <v>894</v>
      </c>
      <c r="B16" s="17" t="n">
        <f aca="false">-'Bryan - COO proforma'!B22</f>
        <v>-0</v>
      </c>
      <c r="C16" s="17" t="n">
        <f aca="false">-'Bryan - COO proforma'!C22</f>
        <v>-0</v>
      </c>
      <c r="D16" s="17" t="n">
        <f aca="false">-'Bryan - COO proforma'!D22</f>
        <v>-0</v>
      </c>
      <c r="E16" s="17" t="n">
        <f aca="false">-'Bryan - COO proforma'!E22</f>
        <v>-79827.687</v>
      </c>
      <c r="F16" s="17" t="n">
        <f aca="false">-'Bryan - COO proforma'!F22</f>
        <v>-82621.656045</v>
      </c>
      <c r="G16" s="17" t="n">
        <f aca="false">-'Bryan - COO proforma'!G22</f>
        <v>-85513.414006575</v>
      </c>
      <c r="H16" s="17" t="n">
        <f aca="false">-'Bryan - COO proforma'!H22</f>
        <v>-88506.3834968051</v>
      </c>
      <c r="I16" s="17" t="n">
        <f aca="false">-'Bryan - COO proforma'!I22</f>
        <v>-91604.1069191933</v>
      </c>
      <c r="J16" s="17" t="n">
        <f aca="false">-'Bryan - COO proforma'!J22</f>
        <v>-94810.250661365</v>
      </c>
      <c r="K16" s="17" t="n">
        <f aca="false">-'Bryan - COO proforma'!K22</f>
        <v>-98128.6094345128</v>
      </c>
      <c r="L16" s="17" t="n">
        <f aca="false">-'Bryan - COO proforma'!L22</f>
        <v>-101563.110764721</v>
      </c>
      <c r="M16" s="17" t="n">
        <f aca="false">-'Bryan - COO proforma'!M22</f>
        <v>-105117.819641486</v>
      </c>
      <c r="N16" s="17" t="n">
        <f aca="false">-'Bryan - COO proforma'!N22</f>
        <v>-108796.943328938</v>
      </c>
      <c r="O16" s="17" t="n">
        <f aca="false">-'Bryan - COO proforma'!O22</f>
        <v>-112604.836345451</v>
      </c>
      <c r="P16" s="17" t="n">
        <f aca="false">-'Bryan - COO proforma'!P22</f>
        <v>-116546.005617542</v>
      </c>
      <c r="Q16" s="3"/>
      <c r="R16" s="53" t="s">
        <v>895</v>
      </c>
    </row>
    <row r="17" customFormat="false" ht="15" hidden="false" customHeight="false" outlineLevel="0" collapsed="false">
      <c r="A17" s="18" t="s">
        <v>896</v>
      </c>
      <c r="B17" s="24" t="n">
        <f aca="false">B13+B14+B15+B16</f>
        <v>295474.607309104</v>
      </c>
      <c r="C17" s="24" t="n">
        <f aca="false">C13+C14+C15+C16</f>
        <v>340768.624221904</v>
      </c>
      <c r="D17" s="24" t="n">
        <f aca="false">D13+D14+D15+D16</f>
        <v>352443.085433593</v>
      </c>
      <c r="E17" s="24" t="n">
        <f aca="false">E13+E14+E15+E16</f>
        <v>321593.574856806</v>
      </c>
      <c r="F17" s="24" t="n">
        <f aca="false">F13+F14+F15+F16</f>
        <v>317973.075785717</v>
      </c>
      <c r="G17" s="24" t="n">
        <f aca="false">G13+G14+G15+G16</f>
        <v>321276.578679704</v>
      </c>
      <c r="H17" s="24" t="n">
        <f aca="false">H13+H14+H15+H16</f>
        <v>376223.196224329</v>
      </c>
      <c r="I17" s="24" t="n">
        <f aca="false">I13+I14+I15+I16</f>
        <v>389153.784714091</v>
      </c>
      <c r="J17" s="24" t="n">
        <f aca="false">J13+J14+J15+J16</f>
        <v>396450.076188495</v>
      </c>
      <c r="K17" s="24" t="n">
        <f aca="false">K13+K14+K15+K16</f>
        <v>411347.704865164</v>
      </c>
      <c r="L17" s="24" t="n">
        <f aca="false">L13+L14+L15+L16</f>
        <v>426971.277792776</v>
      </c>
      <c r="M17" s="24" t="n">
        <f aca="false">M13+M14+M15+M16</f>
        <v>479922.243875544</v>
      </c>
      <c r="N17" s="24" t="n">
        <f aca="false">N13+N14+N15+N16</f>
        <v>497000.997001238</v>
      </c>
      <c r="O17" s="24" t="n">
        <f aca="false">O13+O14+O15+O16</f>
        <v>502740.843887317</v>
      </c>
      <c r="P17" s="24" t="n">
        <f aca="false">P13+P14+P15+P16</f>
        <v>508215.849822733</v>
      </c>
      <c r="Q17" s="3"/>
      <c r="R17" s="3"/>
    </row>
    <row r="18" customFormat="false" ht="22.35" hidden="false" customHeight="false" outlineLevel="0" collapsed="false">
      <c r="A18" s="18" t="s">
        <v>829</v>
      </c>
      <c r="B18" s="48" t="n">
        <f aca="false">B17/B10</f>
        <v>0.266701881298845</v>
      </c>
      <c r="C18" s="48" t="n">
        <f aca="false">C17/C10</f>
        <v>0.301505313666643</v>
      </c>
      <c r="D18" s="48" t="n">
        <f aca="false">D17/D10</f>
        <v>0.239662454855572</v>
      </c>
      <c r="E18" s="48" t="n">
        <f aca="false">E17/E10</f>
        <v>0.15109913010729</v>
      </c>
      <c r="F18" s="48" t="n">
        <f aca="false">F17/F10</f>
        <v>0.125596833221689</v>
      </c>
      <c r="G18" s="48" t="n">
        <f aca="false">G17/G10</f>
        <v>0.108518575510207</v>
      </c>
      <c r="H18" s="48" t="n">
        <f aca="false">H17/H10</f>
        <v>0.110136456774991</v>
      </c>
      <c r="I18" s="48" t="n">
        <f aca="false">I17/I10</f>
        <v>0.0998096793460048</v>
      </c>
      <c r="J18" s="48" t="n">
        <f aca="false">J17/J10</f>
        <v>0.0898854473302597</v>
      </c>
      <c r="K18" s="48" t="n">
        <f aca="false">K17/K10</f>
        <v>0.0830655926660884</v>
      </c>
      <c r="L18" s="48" t="n">
        <f aca="false">L17/L10</f>
        <v>0.0772861090752769</v>
      </c>
      <c r="M18" s="48" t="n">
        <f aca="false">M17/M10</f>
        <v>0.0783000614069489</v>
      </c>
      <c r="N18" s="48" t="n">
        <f aca="false">N17/N10</f>
        <v>0.073439071678678</v>
      </c>
      <c r="O18" s="48" t="n">
        <f aca="false">O17/O10</f>
        <v>0.0713534183215567</v>
      </c>
      <c r="P18" s="48" t="n">
        <f aca="false">P17/P10</f>
        <v>0.0693483668383815</v>
      </c>
      <c r="Q18" s="3"/>
      <c r="R18" s="53" t="s">
        <v>897</v>
      </c>
    </row>
    <row r="19" customFormat="false" ht="22.35" hidden="false" customHeight="false" outlineLevel="0" collapsed="false">
      <c r="A19" s="18" t="s">
        <v>898</v>
      </c>
      <c r="B19" s="24" t="n">
        <f aca="false">B12-B17</f>
        <v>13871.4657819358</v>
      </c>
      <c r="C19" s="24" t="n">
        <f aca="false">C12-C17</f>
        <v>-42082.3820028642</v>
      </c>
      <c r="D19" s="24" t="n">
        <f aca="false">D12-D17</f>
        <v>2987.7689023377</v>
      </c>
      <c r="E19" s="24" t="n">
        <f aca="false">E12-E17</f>
        <v>158619.043711249</v>
      </c>
      <c r="F19" s="24" t="n">
        <f aca="false">F12-F17</f>
        <v>153974.242521452</v>
      </c>
      <c r="G19" s="24" t="n">
        <f aca="false">G12-G17</f>
        <v>192823.348183085</v>
      </c>
      <c r="H19" s="24" t="n">
        <f aca="false">H12-H17</f>
        <v>269928.100987012</v>
      </c>
      <c r="I19" s="24" t="n">
        <f aca="false">I12-I17</f>
        <v>396376.657868752</v>
      </c>
      <c r="J19" s="24" t="n">
        <f aca="false">J12-J17</f>
        <v>472625.885531977</v>
      </c>
      <c r="K19" s="24" t="n">
        <f aca="false">K12-K17</f>
        <v>617818.630417082</v>
      </c>
      <c r="L19" s="24" t="n">
        <f aca="false">L12-L17</f>
        <v>770099.387855515</v>
      </c>
      <c r="M19" s="24" t="n">
        <f aca="false">M12-M17</f>
        <v>892905.157820101</v>
      </c>
      <c r="N19" s="24" t="n">
        <f aca="false">N12-N17</f>
        <v>1059464.40890531</v>
      </c>
      <c r="O19" s="24" t="n">
        <f aca="false">O12-O17</f>
        <v>1124602.82611678</v>
      </c>
      <c r="P19" s="24" t="n">
        <f aca="false">P12-P17</f>
        <v>1188013.96111754</v>
      </c>
      <c r="Q19" s="3"/>
      <c r="R19" s="53" t="s">
        <v>899</v>
      </c>
    </row>
    <row r="20" customFormat="false" ht="15" hidden="false" customHeight="false" outlineLevel="0" collapsed="false">
      <c r="A20" s="20" t="s">
        <v>900</v>
      </c>
      <c r="B20" s="21" t="str">
        <f aca="false">IF(ABS(B12-B17-B19)&lt;1,"OK","CHECK")</f>
        <v>OK</v>
      </c>
      <c r="C20" s="21" t="str">
        <f aca="false">IF(ABS(C12-C17-C19)&lt;1,"OK","CHECK")</f>
        <v>OK</v>
      </c>
      <c r="D20" s="21" t="str">
        <f aca="false">IF(ABS(D12-D17-D19)&lt;1,"OK","CHECK")</f>
        <v>OK</v>
      </c>
      <c r="E20" s="21" t="str">
        <f aca="false">IF(ABS(E12-E17-E19)&lt;1,"OK","CHECK")</f>
        <v>OK</v>
      </c>
      <c r="F20" s="21" t="str">
        <f aca="false">IF(ABS(F12-F17-F19)&lt;1,"OK","CHECK")</f>
        <v>OK</v>
      </c>
      <c r="G20" s="21" t="str">
        <f aca="false">IF(ABS(G12-G17-G19)&lt;1,"OK","CHECK")</f>
        <v>OK</v>
      </c>
      <c r="H20" s="21" t="str">
        <f aca="false">IF(ABS(H12-H17-H19)&lt;1,"OK","CHECK")</f>
        <v>OK</v>
      </c>
      <c r="I20" s="21" t="str">
        <f aca="false">IF(ABS(I12-I17-I19)&lt;1,"OK","CHECK")</f>
        <v>OK</v>
      </c>
      <c r="J20" s="21" t="str">
        <f aca="false">IF(ABS(J12-J17-J19)&lt;1,"OK","CHECK")</f>
        <v>OK</v>
      </c>
      <c r="K20" s="21" t="str">
        <f aca="false">IF(ABS(K12-K17-K19)&lt;1,"OK","CHECK")</f>
        <v>OK</v>
      </c>
      <c r="L20" s="21" t="str">
        <f aca="false">IF(ABS(L12-L17-L19)&lt;1,"OK","CHECK")</f>
        <v>OK</v>
      </c>
      <c r="M20" s="21" t="str">
        <f aca="false">IF(ABS(M12-M17-M19)&lt;1,"OK","CHECK")</f>
        <v>OK</v>
      </c>
      <c r="N20" s="21" t="str">
        <f aca="false">IF(ABS(N12-N17-N19)&lt;1,"OK","CHECK")</f>
        <v>OK</v>
      </c>
      <c r="O20" s="21" t="str">
        <f aca="false">IF(ABS(O12-O17-O19)&lt;1,"OK","CHECK")</f>
        <v>OK</v>
      </c>
      <c r="P20" s="21" t="str">
        <f aca="false">IF(ABS(P12-P17-P19)&lt;1,"OK","CHECK")</f>
        <v>OK</v>
      </c>
      <c r="Q20" s="3"/>
      <c r="R20" s="3"/>
    </row>
    <row r="21" customFormat="false" ht="15" hidden="false" customHeight="false" outlineLevel="0" collapsed="false">
      <c r="A21" s="3"/>
      <c r="B21" s="3"/>
      <c r="C21" s="3"/>
      <c r="D21" s="3"/>
      <c r="E21" s="3"/>
      <c r="F21" s="3"/>
      <c r="G21" s="3"/>
      <c r="H21" s="3"/>
      <c r="I21" s="3"/>
      <c r="J21" s="3"/>
      <c r="K21" s="3"/>
      <c r="L21" s="3"/>
      <c r="M21" s="3"/>
      <c r="N21" s="3"/>
      <c r="O21" s="3"/>
      <c r="P21" s="3"/>
      <c r="Q21" s="3"/>
      <c r="R21" s="3"/>
    </row>
    <row r="22" customFormat="false" ht="51.75" hidden="false" customHeight="true" outlineLevel="0" collapsed="false">
      <c r="A22" s="33" t="s">
        <v>901</v>
      </c>
      <c r="B22" s="33"/>
      <c r="C22" s="33"/>
      <c r="D22" s="33"/>
      <c r="E22" s="33"/>
      <c r="F22" s="33"/>
      <c r="G22" s="33"/>
      <c r="H22" s="33"/>
      <c r="I22" s="33"/>
      <c r="J22" s="33"/>
      <c r="K22" s="33"/>
      <c r="L22" s="33"/>
      <c r="M22" s="33"/>
      <c r="N22" s="33"/>
      <c r="O22" s="33"/>
      <c r="P22" s="33"/>
      <c r="Q22" s="33"/>
      <c r="R22" s="33"/>
    </row>
  </sheetData>
  <sheetProtection sheet="true" password="ef11" formatCells="false" formatColumns="false" formatRows="false"/>
  <mergeCells count="1">
    <mergeCell ref="A22:R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56"/>
    <col collapsed="false" customWidth="true" hidden="false" outlineLevel="0" max="16" min="2" style="1" width="12"/>
    <col collapsed="false" customWidth="true" hidden="false" outlineLevel="0" max="18" min="18" style="1" width="64"/>
  </cols>
  <sheetData>
    <row r="1" customFormat="false" ht="17.35" hidden="false" customHeight="false" outlineLevel="0" collapsed="false">
      <c r="A1" s="2" t="s">
        <v>902</v>
      </c>
      <c r="B1" s="3"/>
      <c r="C1" s="3"/>
      <c r="D1" s="3"/>
      <c r="E1" s="3"/>
      <c r="F1" s="3"/>
      <c r="G1" s="3"/>
      <c r="H1" s="3"/>
      <c r="I1" s="3"/>
      <c r="J1" s="3"/>
      <c r="K1" s="3"/>
      <c r="L1" s="3"/>
      <c r="M1" s="3"/>
      <c r="N1" s="3"/>
      <c r="O1" s="3"/>
      <c r="P1" s="3"/>
      <c r="Q1" s="3"/>
      <c r="R1" s="3"/>
    </row>
    <row r="2" customFormat="false" ht="15" hidden="false" customHeight="false" outlineLevel="0" collapsed="false">
      <c r="A2" s="4" t="s">
        <v>903</v>
      </c>
      <c r="B2" s="3"/>
      <c r="C2" s="3"/>
      <c r="D2" s="3"/>
      <c r="E2" s="3"/>
      <c r="F2" s="3"/>
      <c r="G2" s="3"/>
      <c r="H2" s="3"/>
      <c r="I2" s="3"/>
      <c r="J2" s="3"/>
      <c r="K2" s="3"/>
      <c r="L2" s="3"/>
      <c r="M2" s="3"/>
      <c r="N2" s="3"/>
      <c r="O2" s="3"/>
      <c r="P2" s="3"/>
      <c r="Q2" s="3"/>
      <c r="R2" s="3"/>
    </row>
    <row r="3" customFormat="false" ht="15" hidden="false" customHeight="false" outlineLevel="0" collapsed="false">
      <c r="A3" s="3"/>
      <c r="B3" s="3"/>
      <c r="C3" s="3"/>
      <c r="D3" s="3"/>
      <c r="E3" s="3"/>
      <c r="F3" s="3"/>
      <c r="G3" s="3"/>
      <c r="H3" s="3"/>
      <c r="I3" s="3"/>
      <c r="J3" s="3"/>
      <c r="K3" s="3"/>
      <c r="L3" s="3"/>
      <c r="M3" s="3"/>
      <c r="N3" s="3"/>
      <c r="O3" s="3"/>
      <c r="P3" s="3"/>
      <c r="Q3" s="3"/>
      <c r="R3" s="3"/>
    </row>
    <row r="4" customFormat="false" ht="30" hidden="false" customHeight="true" outlineLevel="0" collapsed="false">
      <c r="A4" s="65" t="s">
        <v>904</v>
      </c>
      <c r="B4" s="66" t="s">
        <v>905</v>
      </c>
      <c r="C4" s="66"/>
      <c r="D4" s="66"/>
      <c r="E4" s="66"/>
      <c r="F4" s="66"/>
      <c r="G4" s="66"/>
      <c r="H4" s="66"/>
      <c r="I4" s="66"/>
      <c r="J4" s="66"/>
      <c r="K4" s="66"/>
      <c r="L4" s="66"/>
      <c r="M4" s="66"/>
      <c r="N4" s="66"/>
      <c r="O4" s="66"/>
      <c r="P4" s="66"/>
      <c r="Q4" s="66"/>
      <c r="R4" s="66"/>
    </row>
    <row r="5" customFormat="false" ht="30" hidden="false" customHeight="true" outlineLevel="0" collapsed="false">
      <c r="A5" s="65" t="s">
        <v>906</v>
      </c>
      <c r="B5" s="66" t="s">
        <v>907</v>
      </c>
      <c r="C5" s="66"/>
      <c r="D5" s="66"/>
      <c r="E5" s="66"/>
      <c r="F5" s="66"/>
      <c r="G5" s="66"/>
      <c r="H5" s="66"/>
      <c r="I5" s="66"/>
      <c r="J5" s="66"/>
      <c r="K5" s="66"/>
      <c r="L5" s="66"/>
      <c r="M5" s="66"/>
      <c r="N5" s="66"/>
      <c r="O5" s="66"/>
      <c r="P5" s="66"/>
      <c r="Q5" s="66"/>
      <c r="R5" s="66"/>
    </row>
    <row r="6" customFormat="false" ht="30" hidden="false" customHeight="true" outlineLevel="0" collapsed="false">
      <c r="A6" s="65" t="s">
        <v>908</v>
      </c>
      <c r="B6" s="66" t="s">
        <v>909</v>
      </c>
      <c r="C6" s="66"/>
      <c r="D6" s="66"/>
      <c r="E6" s="66"/>
      <c r="F6" s="66"/>
      <c r="G6" s="66"/>
      <c r="H6" s="66"/>
      <c r="I6" s="66"/>
      <c r="J6" s="66"/>
      <c r="K6" s="66"/>
      <c r="L6" s="66"/>
      <c r="M6" s="66"/>
      <c r="N6" s="66"/>
      <c r="O6" s="66"/>
      <c r="P6" s="66"/>
      <c r="Q6" s="66"/>
      <c r="R6" s="66"/>
    </row>
    <row r="7" customFormat="false" ht="30" hidden="false" customHeight="true" outlineLevel="0" collapsed="false">
      <c r="A7" s="65" t="s">
        <v>910</v>
      </c>
      <c r="B7" s="66" t="s">
        <v>911</v>
      </c>
      <c r="C7" s="66"/>
      <c r="D7" s="66"/>
      <c r="E7" s="66"/>
      <c r="F7" s="66"/>
      <c r="G7" s="66"/>
      <c r="H7" s="66"/>
      <c r="I7" s="66"/>
      <c r="J7" s="66"/>
      <c r="K7" s="66"/>
      <c r="L7" s="66"/>
      <c r="M7" s="66"/>
      <c r="N7" s="66"/>
      <c r="O7" s="66"/>
      <c r="P7" s="66"/>
      <c r="Q7" s="66"/>
      <c r="R7" s="66"/>
    </row>
    <row r="8" customFormat="false" ht="30" hidden="false" customHeight="true" outlineLevel="0" collapsed="false">
      <c r="A8" s="65" t="s">
        <v>912</v>
      </c>
      <c r="B8" s="66" t="s">
        <v>913</v>
      </c>
      <c r="C8" s="66"/>
      <c r="D8" s="66"/>
      <c r="E8" s="66"/>
      <c r="F8" s="66"/>
      <c r="G8" s="66"/>
      <c r="H8" s="66"/>
      <c r="I8" s="66"/>
      <c r="J8" s="66"/>
      <c r="K8" s="66"/>
      <c r="L8" s="66"/>
      <c r="M8" s="66"/>
      <c r="N8" s="66"/>
      <c r="O8" s="66"/>
      <c r="P8" s="66"/>
      <c r="Q8" s="66"/>
      <c r="R8" s="66"/>
    </row>
    <row r="9" customFormat="false" ht="15" hidden="false" customHeight="false" outlineLevel="0" collapsed="false">
      <c r="A9" s="3"/>
      <c r="B9" s="3"/>
      <c r="C9" s="3"/>
      <c r="D9" s="3"/>
      <c r="E9" s="3"/>
      <c r="F9" s="3"/>
      <c r="G9" s="3"/>
      <c r="H9" s="3"/>
      <c r="I9" s="3"/>
      <c r="J9" s="3"/>
      <c r="K9" s="3"/>
      <c r="L9" s="3"/>
      <c r="M9" s="3"/>
      <c r="N9" s="3"/>
      <c r="O9" s="3"/>
      <c r="P9" s="3"/>
      <c r="Q9" s="3"/>
      <c r="R9" s="3"/>
    </row>
    <row r="10" customFormat="false" ht="15" hidden="false" customHeight="false" outlineLevel="0" collapsed="false">
      <c r="A10" s="18" t="s">
        <v>632</v>
      </c>
      <c r="B10" s="19" t="n">
        <v>1</v>
      </c>
      <c r="C10" s="19" t="n">
        <v>2</v>
      </c>
      <c r="D10" s="19" t="n">
        <v>3</v>
      </c>
      <c r="E10" s="19" t="n">
        <v>4</v>
      </c>
      <c r="F10" s="19" t="n">
        <v>5</v>
      </c>
      <c r="G10" s="19" t="n">
        <v>6</v>
      </c>
      <c r="H10" s="19" t="n">
        <v>7</v>
      </c>
      <c r="I10" s="19" t="n">
        <v>8</v>
      </c>
      <c r="J10" s="19" t="n">
        <v>9</v>
      </c>
      <c r="K10" s="19" t="n">
        <v>10</v>
      </c>
      <c r="L10" s="19" t="n">
        <v>11</v>
      </c>
      <c r="M10" s="19" t="n">
        <v>12</v>
      </c>
      <c r="N10" s="19" t="n">
        <v>13</v>
      </c>
      <c r="O10" s="19" t="n">
        <v>14</v>
      </c>
      <c r="P10" s="19" t="n">
        <v>15</v>
      </c>
      <c r="Q10" s="3"/>
      <c r="R10" s="18" t="s">
        <v>490</v>
      </c>
    </row>
    <row r="11" customFormat="false" ht="15" hidden="false" customHeight="false" outlineLevel="0" collapsed="false">
      <c r="A11" s="5" t="s">
        <v>914</v>
      </c>
      <c r="B11" s="6"/>
      <c r="C11" s="6"/>
      <c r="D11" s="6"/>
      <c r="E11" s="6"/>
      <c r="F11" s="6"/>
      <c r="G11" s="6"/>
      <c r="H11" s="6"/>
      <c r="I11" s="6"/>
      <c r="J11" s="6"/>
      <c r="K11" s="6"/>
      <c r="L11" s="6"/>
      <c r="M11" s="6"/>
      <c r="N11" s="6"/>
      <c r="O11" s="6"/>
      <c r="P11" s="6"/>
      <c r="Q11" s="3"/>
      <c r="R11" s="6"/>
    </row>
    <row r="12" customFormat="false" ht="15" hidden="false" customHeight="false" outlineLevel="0" collapsed="false">
      <c r="A12" s="20" t="s">
        <v>620</v>
      </c>
      <c r="B12" s="16" t="n">
        <f aca="false">'Long range 15-yr'!B17</f>
        <v>2</v>
      </c>
      <c r="C12" s="16" t="n">
        <f aca="false">'Long range 15-yr'!C17</f>
        <v>2</v>
      </c>
      <c r="D12" s="16" t="n">
        <f aca="false">'Long range 15-yr'!D17</f>
        <v>2.5</v>
      </c>
      <c r="E12" s="16" t="n">
        <f aca="false">'Long range 15-yr'!E17</f>
        <v>3.5</v>
      </c>
      <c r="F12" s="16" t="n">
        <f aca="false">'Long range 15-yr'!F17</f>
        <v>4</v>
      </c>
      <c r="G12" s="16" t="n">
        <f aca="false">'Long range 15-yr'!G17</f>
        <v>4.5</v>
      </c>
      <c r="H12" s="16" t="n">
        <f aca="false">'Long range 15-yr'!H17</f>
        <v>5</v>
      </c>
      <c r="I12" s="16" t="n">
        <f aca="false">'Long range 15-yr'!I17</f>
        <v>5.5</v>
      </c>
      <c r="J12" s="16" t="n">
        <f aca="false">'Long range 15-yr'!J17</f>
        <v>6</v>
      </c>
      <c r="K12" s="16" t="n">
        <f aca="false">'Long range 15-yr'!K17</f>
        <v>6.5</v>
      </c>
      <c r="L12" s="16" t="n">
        <f aca="false">'Long range 15-yr'!L17</f>
        <v>7</v>
      </c>
      <c r="M12" s="16" t="n">
        <f aca="false">'Long range 15-yr'!M17</f>
        <v>7.5</v>
      </c>
      <c r="N12" s="16" t="n">
        <f aca="false">'Long range 15-yr'!N17</f>
        <v>8</v>
      </c>
      <c r="O12" s="16" t="n">
        <f aca="false">'Long range 15-yr'!O17</f>
        <v>8</v>
      </c>
      <c r="P12" s="16" t="n">
        <f aca="false">'Long range 15-yr'!P17</f>
        <v>8</v>
      </c>
      <c r="Q12" s="3"/>
      <c r="R12" s="3"/>
    </row>
    <row r="13" customFormat="false" ht="22.35" hidden="false" customHeight="false" outlineLevel="0" collapsed="false">
      <c r="A13" s="18" t="s">
        <v>915</v>
      </c>
      <c r="B13" s="22" t="n">
        <f aca="false">'Long range 15-yr'!B22</f>
        <v>6</v>
      </c>
      <c r="C13" s="22" t="n">
        <f aca="false">'Long range 15-yr'!C22</f>
        <v>6</v>
      </c>
      <c r="D13" s="22" t="n">
        <f aca="false">'Long range 15-yr'!D22</f>
        <v>8</v>
      </c>
      <c r="E13" s="22" t="n">
        <f aca="false">'Long range 15-yr'!E22</f>
        <v>11</v>
      </c>
      <c r="F13" s="22" t="n">
        <f aca="false">'Long range 15-yr'!F22</f>
        <v>12</v>
      </c>
      <c r="G13" s="22" t="n">
        <f aca="false">'Long range 15-yr'!G22</f>
        <v>14</v>
      </c>
      <c r="H13" s="22" t="n">
        <f aca="false">'Long range 15-yr'!H22</f>
        <v>15</v>
      </c>
      <c r="I13" s="22" t="n">
        <f aca="false">'Long range 15-yr'!I22</f>
        <v>17</v>
      </c>
      <c r="J13" s="22" t="n">
        <f aca="false">'Long range 15-yr'!J22</f>
        <v>18</v>
      </c>
      <c r="K13" s="22" t="n">
        <f aca="false">'Long range 15-yr'!K22</f>
        <v>20</v>
      </c>
      <c r="L13" s="22" t="n">
        <f aca="false">'Long range 15-yr'!L22</f>
        <v>21</v>
      </c>
      <c r="M13" s="22" t="n">
        <f aca="false">'Long range 15-yr'!M22</f>
        <v>23</v>
      </c>
      <c r="N13" s="22" t="n">
        <f aca="false">'Long range 15-yr'!N22</f>
        <v>24</v>
      </c>
      <c r="O13" s="22" t="n">
        <f aca="false">'Long range 15-yr'!O22</f>
        <v>24</v>
      </c>
      <c r="P13" s="22" t="n">
        <f aca="false">'Long range 15-yr'!P22</f>
        <v>24</v>
      </c>
      <c r="Q13" s="3"/>
      <c r="R13" s="53" t="s">
        <v>916</v>
      </c>
    </row>
    <row r="14" customFormat="false" ht="15" hidden="false" customHeight="false" outlineLevel="0" collapsed="false">
      <c r="A14" s="20" t="s">
        <v>917</v>
      </c>
      <c r="B14" s="17" t="n">
        <f aca="false">'Long range 15-yr'!B38</f>
        <v>333696.24</v>
      </c>
      <c r="C14" s="17" t="n">
        <f aca="false">'Long range 15-yr'!C38</f>
        <v>345375.6084</v>
      </c>
      <c r="D14" s="17" t="n">
        <f aca="false">'Long range 15-yr'!D38</f>
        <v>446829.6933675</v>
      </c>
      <c r="E14" s="17" t="n">
        <f aca="false">'Long range 15-yr'!E38</f>
        <v>647456.225689507</v>
      </c>
      <c r="F14" s="17" t="n">
        <f aca="false">'Long range 15-yr'!F38</f>
        <v>765848.22124416</v>
      </c>
      <c r="G14" s="17" t="n">
        <f aca="false">'Long range 15-yr'!G38</f>
        <v>891734.522611169</v>
      </c>
      <c r="H14" s="17" t="n">
        <f aca="false">'Long range 15-yr'!H38</f>
        <v>1025494.70100284</v>
      </c>
      <c r="I14" s="17" t="n">
        <f aca="false">'Long range 15-yr'!I38</f>
        <v>1167525.71709174</v>
      </c>
      <c r="J14" s="17" t="n">
        <f aca="false">'Long range 15-yr'!J38</f>
        <v>1318242.67329813</v>
      </c>
      <c r="K14" s="17" t="n">
        <f aca="false">'Long range 15-yr'!K38</f>
        <v>1478079.59743552</v>
      </c>
      <c r="L14" s="17" t="n">
        <f aca="false">'Long range 15-yr'!L38</f>
        <v>1647490.25898775</v>
      </c>
      <c r="M14" s="17" t="n">
        <f aca="false">'Long range 15-yr'!M38</f>
        <v>1826949.01934177</v>
      </c>
      <c r="N14" s="17" t="n">
        <f aca="false">'Long range 15-yr'!N38</f>
        <v>2016951.71735332</v>
      </c>
      <c r="O14" s="17" t="n">
        <f aca="false">'Long range 15-yr'!O38</f>
        <v>2087545.02746068</v>
      </c>
      <c r="P14" s="17" t="n">
        <f aca="false">'Long range 15-yr'!P38</f>
        <v>2160609.10342181</v>
      </c>
      <c r="Q14" s="3"/>
      <c r="R14" s="3"/>
    </row>
    <row r="15" customFormat="false" ht="32.8" hidden="false" customHeight="false" outlineLevel="0" collapsed="false">
      <c r="A15" s="18" t="s">
        <v>918</v>
      </c>
      <c r="B15" s="48" t="n">
        <f aca="false">B14/'Long range 15-yr'!B36</f>
        <v>0.301201567880411</v>
      </c>
      <c r="C15" s="48" t="n">
        <f aca="false">C14/'Long range 15-yr'!C36</f>
        <v>0.305581481808138</v>
      </c>
      <c r="D15" s="48" t="n">
        <f aca="false">D14/'Long range 15-yr'!D36</f>
        <v>0.303845658038863</v>
      </c>
      <c r="E15" s="48" t="n">
        <f aca="false">E14/'Long range 15-yr'!E36</f>
        <v>0.304204064175705</v>
      </c>
      <c r="F15" s="48" t="n">
        <f aca="false">F14/'Long range 15-yr'!F36</f>
        <v>0.302503949678907</v>
      </c>
      <c r="G15" s="48" t="n">
        <f aca="false">G14/'Long range 15-yr'!G36</f>
        <v>0.301203905135934</v>
      </c>
      <c r="H15" s="48" t="n">
        <f aca="false">H14/'Long range 15-yr'!H36</f>
        <v>0.300205712841367</v>
      </c>
      <c r="I15" s="48" t="n">
        <f aca="false">I14/'Long range 15-yr'!I36</f>
        <v>0.29944554576735</v>
      </c>
      <c r="J15" s="48" t="n">
        <f aca="false">J14/'Long range 15-yr'!J36</f>
        <v>0.298879580295256</v>
      </c>
      <c r="K15" s="48" t="n">
        <f aca="false">K14/'Long range 15-yr'!K36</f>
        <v>0.298476340858351</v>
      </c>
      <c r="L15" s="48" t="n">
        <f aca="false">L14/'Long range 15-yr'!L36</f>
        <v>0.29821235872072</v>
      </c>
      <c r="M15" s="48" t="n">
        <f aca="false">M14/'Long range 15-yr'!M36</f>
        <v>0.298069577368709</v>
      </c>
      <c r="N15" s="48" t="n">
        <f aca="false">N14/'Long range 15-yr'!N36</f>
        <v>0.298033731595862</v>
      </c>
      <c r="O15" s="48" t="n">
        <f aca="false">O14/'Long range 15-yr'!O36</f>
        <v>0.29628281732143</v>
      </c>
      <c r="P15" s="48" t="n">
        <f aca="false">P14/'Long range 15-yr'!P36</f>
        <v>0.294824950364505</v>
      </c>
      <c r="Q15" s="3"/>
      <c r="R15" s="53" t="s">
        <v>919</v>
      </c>
    </row>
    <row r="16" customFormat="false" ht="15" hidden="false" customHeight="false" outlineLevel="0" collapsed="false">
      <c r="A16" s="43" t="s">
        <v>920</v>
      </c>
      <c r="B16" s="44"/>
      <c r="C16" s="44"/>
      <c r="D16" s="44"/>
      <c r="E16" s="44"/>
      <c r="F16" s="44"/>
      <c r="G16" s="44"/>
      <c r="H16" s="44"/>
      <c r="I16" s="44"/>
      <c r="J16" s="44"/>
      <c r="K16" s="44"/>
      <c r="L16" s="44"/>
      <c r="M16" s="44"/>
      <c r="N16" s="44"/>
      <c r="O16" s="44"/>
      <c r="P16" s="44"/>
      <c r="Q16" s="3"/>
      <c r="R16" s="44"/>
    </row>
    <row r="17" customFormat="false" ht="15" hidden="false" customHeight="false" outlineLevel="0" collapsed="false">
      <c r="A17" s="20" t="s">
        <v>921</v>
      </c>
      <c r="B17" s="21" t="n">
        <f aca="false">IF('Long range 15-yr'!B17&gt;=2,ROUNDUP('Long range 15-yr'!B17/Assumptions!$B$51,0),0)+IF('Long range 15-yr'!B17&gt;=4,ROUNDUP('Long range 15-yr'!B17/Assumptions!$B$53,0),0)</f>
        <v>1</v>
      </c>
      <c r="C17" s="21" t="n">
        <f aca="false">IF('Long range 15-yr'!C17&gt;=2,ROUNDUP('Long range 15-yr'!C17/Assumptions!$B$51,0),0)+IF('Long range 15-yr'!C17&gt;=4,ROUNDUP('Long range 15-yr'!C17/Assumptions!$B$53,0),0)</f>
        <v>1</v>
      </c>
      <c r="D17" s="21" t="n">
        <f aca="false">IF('Long range 15-yr'!D17&gt;=2,ROUNDUP('Long range 15-yr'!D17/Assumptions!$B$51,0),0)+IF('Long range 15-yr'!D17&gt;=4,ROUNDUP('Long range 15-yr'!D17/Assumptions!$B$53,0),0)</f>
        <v>2</v>
      </c>
      <c r="E17" s="21" t="n">
        <f aca="false">IF('Long range 15-yr'!E17&gt;=2,ROUNDUP('Long range 15-yr'!E17/Assumptions!$B$51,0),0)+IF('Long range 15-yr'!E17&gt;=4,ROUNDUP('Long range 15-yr'!E17/Assumptions!$B$53,0),0)</f>
        <v>2</v>
      </c>
      <c r="F17" s="21" t="n">
        <f aca="false">IF('Long range 15-yr'!F17&gt;=2,ROUNDUP('Long range 15-yr'!F17/Assumptions!$B$51,0),0)+IF('Long range 15-yr'!F17&gt;=4,ROUNDUP('Long range 15-yr'!F17/Assumptions!$B$53,0),0)</f>
        <v>4</v>
      </c>
      <c r="G17" s="21" t="n">
        <f aca="false">IF('Long range 15-yr'!G17&gt;=2,ROUNDUP('Long range 15-yr'!G17/Assumptions!$B$51,0),0)+IF('Long range 15-yr'!G17&gt;=4,ROUNDUP('Long range 15-yr'!G17/Assumptions!$B$53,0),0)</f>
        <v>5</v>
      </c>
      <c r="H17" s="21" t="n">
        <f aca="false">IF('Long range 15-yr'!H17&gt;=2,ROUNDUP('Long range 15-yr'!H17/Assumptions!$B$51,0),0)+IF('Long range 15-yr'!H17&gt;=4,ROUNDUP('Long range 15-yr'!H17/Assumptions!$B$53,0),0)</f>
        <v>5</v>
      </c>
      <c r="I17" s="21" t="n">
        <f aca="false">IF('Long range 15-yr'!I17&gt;=2,ROUNDUP('Long range 15-yr'!I17/Assumptions!$B$51,0),0)+IF('Long range 15-yr'!I17&gt;=4,ROUNDUP('Long range 15-yr'!I17/Assumptions!$B$53,0),0)</f>
        <v>5</v>
      </c>
      <c r="J17" s="21" t="n">
        <f aca="false">IF('Long range 15-yr'!J17&gt;=2,ROUNDUP('Long range 15-yr'!J17/Assumptions!$B$51,0),0)+IF('Long range 15-yr'!J17&gt;=4,ROUNDUP('Long range 15-yr'!J17/Assumptions!$B$53,0),0)</f>
        <v>5</v>
      </c>
      <c r="K17" s="21" t="n">
        <f aca="false">IF('Long range 15-yr'!K17&gt;=2,ROUNDUP('Long range 15-yr'!K17/Assumptions!$B$51,0),0)+IF('Long range 15-yr'!K17&gt;=4,ROUNDUP('Long range 15-yr'!K17/Assumptions!$B$53,0),0)</f>
        <v>7</v>
      </c>
      <c r="L17" s="21" t="n">
        <f aca="false">IF('Long range 15-yr'!L17&gt;=2,ROUNDUP('Long range 15-yr'!L17/Assumptions!$B$51,0),0)+IF('Long range 15-yr'!L17&gt;=4,ROUNDUP('Long range 15-yr'!L17/Assumptions!$B$53,0),0)</f>
        <v>7</v>
      </c>
      <c r="M17" s="21" t="n">
        <f aca="false">IF('Long range 15-yr'!M17&gt;=2,ROUNDUP('Long range 15-yr'!M17/Assumptions!$B$51,0),0)+IF('Long range 15-yr'!M17&gt;=4,ROUNDUP('Long range 15-yr'!M17/Assumptions!$B$53,0),0)</f>
        <v>7</v>
      </c>
      <c r="N17" s="21" t="n">
        <f aca="false">IF('Long range 15-yr'!N17&gt;=2,ROUNDUP('Long range 15-yr'!N17/Assumptions!$B$51,0),0)+IF('Long range 15-yr'!N17&gt;=4,ROUNDUP('Long range 15-yr'!N17/Assumptions!$B$53,0),0)</f>
        <v>7</v>
      </c>
      <c r="O17" s="21" t="n">
        <f aca="false">IF('Long range 15-yr'!O17&gt;=2,ROUNDUP('Long range 15-yr'!O17/Assumptions!$B$51,0),0)+IF('Long range 15-yr'!O17&gt;=4,ROUNDUP('Long range 15-yr'!O17/Assumptions!$B$53,0),0)</f>
        <v>7</v>
      </c>
      <c r="P17" s="21" t="n">
        <f aca="false">IF('Long range 15-yr'!P17&gt;=2,ROUNDUP('Long range 15-yr'!P17/Assumptions!$B$51,0),0)+IF('Long range 15-yr'!P17&gt;=4,ROUNDUP('Long range 15-yr'!P17/Assumptions!$B$53,0),0)</f>
        <v>7</v>
      </c>
      <c r="Q17" s="3"/>
      <c r="R17" s="3"/>
    </row>
    <row r="18" customFormat="false" ht="15" hidden="false" customHeight="false" outlineLevel="0" collapsed="false">
      <c r="A18" s="20" t="s">
        <v>922</v>
      </c>
      <c r="B18" s="21" t="n">
        <f aca="false">'Long range 15-yr'!B23+'Long range 15-yr'!B25</f>
        <v>1</v>
      </c>
      <c r="C18" s="21" t="n">
        <f aca="false">'Long range 15-yr'!C23+'Long range 15-yr'!C25</f>
        <v>1</v>
      </c>
      <c r="D18" s="21" t="n">
        <f aca="false">'Long range 15-yr'!D23+'Long range 15-yr'!D25</f>
        <v>2</v>
      </c>
      <c r="E18" s="21" t="n">
        <f aca="false">'Long range 15-yr'!E23+'Long range 15-yr'!E25</f>
        <v>2</v>
      </c>
      <c r="F18" s="21" t="n">
        <f aca="false">'Long range 15-yr'!F23+'Long range 15-yr'!F25</f>
        <v>4</v>
      </c>
      <c r="G18" s="21" t="n">
        <f aca="false">'Long range 15-yr'!G23+'Long range 15-yr'!G25</f>
        <v>4</v>
      </c>
      <c r="H18" s="21" t="n">
        <f aca="false">'Long range 15-yr'!H23+'Long range 15-yr'!H25</f>
        <v>4</v>
      </c>
      <c r="I18" s="21" t="n">
        <f aca="false">'Long range 15-yr'!I23+'Long range 15-yr'!I25</f>
        <v>4</v>
      </c>
      <c r="J18" s="21" t="n">
        <f aca="false">'Long range 15-yr'!J23+'Long range 15-yr'!J25</f>
        <v>5</v>
      </c>
      <c r="K18" s="21" t="n">
        <f aca="false">'Long range 15-yr'!K23+'Long range 15-yr'!K25</f>
        <v>5</v>
      </c>
      <c r="L18" s="21" t="n">
        <f aca="false">'Long range 15-yr'!L23+'Long range 15-yr'!L25</f>
        <v>5</v>
      </c>
      <c r="M18" s="21" t="n">
        <f aca="false">'Long range 15-yr'!M23+'Long range 15-yr'!M25</f>
        <v>5</v>
      </c>
      <c r="N18" s="21" t="n">
        <f aca="false">'Long range 15-yr'!N23+'Long range 15-yr'!N25</f>
        <v>5</v>
      </c>
      <c r="O18" s="21" t="n">
        <f aca="false">'Long range 15-yr'!O23+'Long range 15-yr'!O25</f>
        <v>5</v>
      </c>
      <c r="P18" s="21" t="n">
        <f aca="false">'Long range 15-yr'!P23+'Long range 15-yr'!P25</f>
        <v>5</v>
      </c>
      <c r="Q18" s="3"/>
      <c r="R18" s="3"/>
    </row>
    <row r="19" customFormat="false" ht="22.35" hidden="false" customHeight="false" outlineLevel="0" collapsed="false">
      <c r="A19" s="18" t="s">
        <v>923</v>
      </c>
      <c r="B19" s="22" t="n">
        <f aca="false">MAX(0,B17-B18)</f>
        <v>0</v>
      </c>
      <c r="C19" s="22" t="n">
        <f aca="false">MAX(0,C17-C18)</f>
        <v>0</v>
      </c>
      <c r="D19" s="22" t="n">
        <f aca="false">MAX(0,D17-D18)</f>
        <v>0</v>
      </c>
      <c r="E19" s="22" t="n">
        <f aca="false">MAX(0,E17-E18)</f>
        <v>0</v>
      </c>
      <c r="F19" s="22" t="n">
        <f aca="false">MAX(0,F17-F18)</f>
        <v>0</v>
      </c>
      <c r="G19" s="22" t="n">
        <f aca="false">MAX(0,G17-G18)</f>
        <v>1</v>
      </c>
      <c r="H19" s="22" t="n">
        <f aca="false">MAX(0,H17-H18)</f>
        <v>1</v>
      </c>
      <c r="I19" s="22" t="n">
        <f aca="false">MAX(0,I17-I18)</f>
        <v>1</v>
      </c>
      <c r="J19" s="22" t="n">
        <f aca="false">MAX(0,J17-J18)</f>
        <v>0</v>
      </c>
      <c r="K19" s="22" t="n">
        <f aca="false">MAX(0,K17-K18)</f>
        <v>2</v>
      </c>
      <c r="L19" s="22" t="n">
        <f aca="false">MAX(0,L17-L18)</f>
        <v>2</v>
      </c>
      <c r="M19" s="22" t="n">
        <f aca="false">MAX(0,M17-M18)</f>
        <v>2</v>
      </c>
      <c r="N19" s="22" t="n">
        <f aca="false">MAX(0,N17-N18)</f>
        <v>2</v>
      </c>
      <c r="O19" s="22" t="n">
        <f aca="false">MAX(0,O17-O18)</f>
        <v>2</v>
      </c>
      <c r="P19" s="22" t="n">
        <f aca="false">MAX(0,P17-P18)</f>
        <v>2</v>
      </c>
      <c r="Q19" s="3"/>
      <c r="R19" s="53" t="s">
        <v>924</v>
      </c>
    </row>
    <row r="20" customFormat="false" ht="22.35" hidden="false" customHeight="false" outlineLevel="0" collapsed="false">
      <c r="A20" s="18" t="s">
        <v>925</v>
      </c>
      <c r="B20" s="24" t="n">
        <f aca="false">B19*((Assumptions!$B$55+Assumptions!$B$57)/2)</f>
        <v>0</v>
      </c>
      <c r="C20" s="24" t="n">
        <f aca="false">C19*((Assumptions!$B$55+Assumptions!$B$57)/2)*(1+Assumptions!$B$137)^1</f>
        <v>0</v>
      </c>
      <c r="D20" s="24" t="n">
        <f aca="false">D19*((Assumptions!$B$55+Assumptions!$B$57)/2)*(1+Assumptions!$B$137)^2</f>
        <v>0</v>
      </c>
      <c r="E20" s="24" t="n">
        <f aca="false">E19*((Assumptions!$B$55+Assumptions!$B$57)/2)*(1+Assumptions!$B$137)^3</f>
        <v>0</v>
      </c>
      <c r="F20" s="24" t="n">
        <f aca="false">F19*((Assumptions!$B$55+Assumptions!$B$57)/2)*(1+Assumptions!$B$137)^4</f>
        <v>0</v>
      </c>
      <c r="G20" s="24" t="n">
        <f aca="false">G19*((Assumptions!$B$55+Assumptions!$B$57)/2)*(1+Assumptions!$B$137)^5</f>
        <v>62947.3741992844</v>
      </c>
      <c r="H20" s="24" t="n">
        <f aca="false">H19*((Assumptions!$B$55+Assumptions!$B$57)/2)*(1+Assumptions!$B$137)^6</f>
        <v>65150.5322962593</v>
      </c>
      <c r="I20" s="24" t="n">
        <f aca="false">I19*((Assumptions!$B$55+Assumptions!$B$57)/2)*(1+Assumptions!$B$137)^7</f>
        <v>67430.8009266284</v>
      </c>
      <c r="J20" s="24" t="n">
        <f aca="false">J19*((Assumptions!$B$55+Assumptions!$B$57)/2)*(1+Assumptions!$B$137)^8</f>
        <v>0</v>
      </c>
      <c r="K20" s="24" t="n">
        <f aca="false">K19*((Assumptions!$B$55+Assumptions!$B$57)/2)*(1+Assumptions!$B$137)^9</f>
        <v>144467.119445255</v>
      </c>
      <c r="L20" s="24" t="n">
        <f aca="false">L19*((Assumptions!$B$55+Assumptions!$B$57)/2)*(1+Assumptions!$B$137)^10</f>
        <v>149523.468625839</v>
      </c>
      <c r="M20" s="24" t="n">
        <f aca="false">M19*((Assumptions!$B$55+Assumptions!$B$57)/2)*(1+Assumptions!$B$137)^11</f>
        <v>154756.790027743</v>
      </c>
      <c r="N20" s="24" t="n">
        <f aca="false">N19*((Assumptions!$B$55+Assumptions!$B$57)/2)*(1+Assumptions!$B$137)^12</f>
        <v>160173.277678714</v>
      </c>
      <c r="O20" s="24" t="n">
        <f aca="false">O19*((Assumptions!$B$55+Assumptions!$B$57)/2)*(1+Assumptions!$B$137)^13</f>
        <v>165779.342397469</v>
      </c>
      <c r="P20" s="24" t="n">
        <f aca="false">P19*((Assumptions!$B$55+Assumptions!$B$57)/2)*(1+Assumptions!$B$137)^14</f>
        <v>171581.619381381</v>
      </c>
      <c r="Q20" s="3"/>
      <c r="R20" s="53" t="s">
        <v>926</v>
      </c>
    </row>
    <row r="21" customFormat="false" ht="15" hidden="false" customHeight="false" outlineLevel="0" collapsed="false">
      <c r="A21" s="5" t="s">
        <v>927</v>
      </c>
      <c r="B21" s="6"/>
      <c r="C21" s="6"/>
      <c r="D21" s="6"/>
      <c r="E21" s="6"/>
      <c r="F21" s="6"/>
      <c r="G21" s="6"/>
      <c r="H21" s="6"/>
      <c r="I21" s="6"/>
      <c r="J21" s="6"/>
      <c r="K21" s="6"/>
      <c r="L21" s="6"/>
      <c r="M21" s="6"/>
      <c r="N21" s="6"/>
      <c r="O21" s="6"/>
      <c r="P21" s="6"/>
      <c r="Q21" s="3"/>
      <c r="R21" s="6"/>
    </row>
    <row r="22" customFormat="false" ht="15" hidden="false" customHeight="false" outlineLevel="0" collapsed="false">
      <c r="A22" s="20" t="s">
        <v>928</v>
      </c>
      <c r="B22" s="17" t="n">
        <f aca="false">'Long range 15-yr'!B50</f>
        <v>4800</v>
      </c>
      <c r="C22" s="17" t="n">
        <f aca="false">'Long range 15-yr'!C50</f>
        <v>5040</v>
      </c>
      <c r="D22" s="17" t="n">
        <f aca="false">'Long range 15-yr'!D50</f>
        <v>5788.125</v>
      </c>
      <c r="E22" s="17" t="n">
        <f aca="false">'Long range 15-yr'!E50</f>
        <v>7119.39375</v>
      </c>
      <c r="F22" s="17" t="n">
        <f aca="false">'Long range 15-yr'!F50</f>
        <v>8022.34125</v>
      </c>
      <c r="G22" s="17" t="n">
        <f aca="false">'Long range 15-yr'!G50</f>
        <v>8997.785015625</v>
      </c>
      <c r="H22" s="17" t="n">
        <f aca="false">'Long range 15-yr'!H50</f>
        <v>10050.7173046875</v>
      </c>
      <c r="I22" s="17" t="n">
        <f aca="false">'Long range 15-yr'!I50</f>
        <v>11186.4483601172</v>
      </c>
      <c r="J22" s="17" t="n">
        <f aca="false">'Long range 15-yr'!J50</f>
        <v>12410.6257278281</v>
      </c>
      <c r="K22" s="17" t="n">
        <f aca="false">'Long range 15-yr'!K50</f>
        <v>13729.2547114099</v>
      </c>
      <c r="L22" s="17" t="n">
        <f aca="false">'Long range 15-yr'!L50</f>
        <v>15148.7200290302</v>
      </c>
      <c r="M22" s="17" t="n">
        <f aca="false">'Long range 15-yr'!M50</f>
        <v>16675.8087416341</v>
      </c>
      <c r="N22" s="17" t="n">
        <f aca="false">'Long range 15-yr'!N50</f>
        <v>18317.7345254257</v>
      </c>
      <c r="O22" s="17" t="n">
        <f aca="false">'Long range 15-yr'!O50</f>
        <v>19233.621251697</v>
      </c>
      <c r="P22" s="17" t="n">
        <f aca="false">'Long range 15-yr'!P50</f>
        <v>20195.3023142819</v>
      </c>
      <c r="Q22" s="3"/>
      <c r="R22" s="3"/>
    </row>
    <row r="23" customFormat="false" ht="32.8" hidden="false" customHeight="false" outlineLevel="0" collapsed="false">
      <c r="A23" s="20" t="s">
        <v>929</v>
      </c>
      <c r="B23" s="17" t="n">
        <f aca="false">MAX(0,'Long range 15-yr'!B17-1)*Assumptions!$B$185</f>
        <v>5000</v>
      </c>
      <c r="C23" s="17" t="n">
        <f aca="false">MAX(0,'Long range 15-yr'!C17-'Long range 15-yr'!B17)*Assumptions!$B$185</f>
        <v>0</v>
      </c>
      <c r="D23" s="17" t="n">
        <f aca="false">MAX(0,'Long range 15-yr'!D17-'Long range 15-yr'!C17)*Assumptions!$B$185</f>
        <v>2500</v>
      </c>
      <c r="E23" s="17" t="n">
        <f aca="false">MAX(0,'Long range 15-yr'!E17-'Long range 15-yr'!D17)*Assumptions!$B$185</f>
        <v>5000</v>
      </c>
      <c r="F23" s="17" t="n">
        <f aca="false">MAX(0,'Long range 15-yr'!F17-'Long range 15-yr'!E17)*Assumptions!$B$185</f>
        <v>2500</v>
      </c>
      <c r="G23" s="17" t="n">
        <f aca="false">MAX(0,'Long range 15-yr'!G17-'Long range 15-yr'!F17)*Assumptions!$B$185</f>
        <v>2500</v>
      </c>
      <c r="H23" s="17" t="n">
        <f aca="false">MAX(0,'Long range 15-yr'!H17-'Long range 15-yr'!G17)*Assumptions!$B$185</f>
        <v>2500</v>
      </c>
      <c r="I23" s="17" t="n">
        <f aca="false">MAX(0,'Long range 15-yr'!I17-'Long range 15-yr'!H17)*Assumptions!$B$185</f>
        <v>2500</v>
      </c>
      <c r="J23" s="17" t="n">
        <f aca="false">MAX(0,'Long range 15-yr'!J17-'Long range 15-yr'!I17)*Assumptions!$B$185</f>
        <v>2500</v>
      </c>
      <c r="K23" s="17" t="n">
        <f aca="false">MAX(0,'Long range 15-yr'!K17-'Long range 15-yr'!J17)*Assumptions!$B$185</f>
        <v>2500</v>
      </c>
      <c r="L23" s="17" t="n">
        <f aca="false">MAX(0,'Long range 15-yr'!L17-'Long range 15-yr'!K17)*Assumptions!$B$185</f>
        <v>2500</v>
      </c>
      <c r="M23" s="17" t="n">
        <f aca="false">MAX(0,'Long range 15-yr'!M17-'Long range 15-yr'!L17)*Assumptions!$B$185</f>
        <v>2500</v>
      </c>
      <c r="N23" s="17" t="n">
        <f aca="false">MAX(0,'Long range 15-yr'!N17-'Long range 15-yr'!M17)*Assumptions!$B$185</f>
        <v>2500</v>
      </c>
      <c r="O23" s="17" t="n">
        <f aca="false">MAX(0,'Long range 15-yr'!O17-'Long range 15-yr'!N17)*Assumptions!$B$185</f>
        <v>0</v>
      </c>
      <c r="P23" s="17" t="n">
        <f aca="false">MAX(0,'Long range 15-yr'!P17-'Long range 15-yr'!O17)*Assumptions!$B$185</f>
        <v>0</v>
      </c>
      <c r="Q23" s="3"/>
      <c r="R23" s="53" t="s">
        <v>930</v>
      </c>
    </row>
    <row r="24" customFormat="false" ht="15" hidden="false" customHeight="false" outlineLevel="0" collapsed="false">
      <c r="A24" s="18" t="s">
        <v>931</v>
      </c>
      <c r="B24" s="24" t="n">
        <f aca="false">B22+B23</f>
        <v>9800</v>
      </c>
      <c r="C24" s="24" t="n">
        <f aca="false">C22+C23</f>
        <v>5040</v>
      </c>
      <c r="D24" s="24" t="n">
        <f aca="false">D22+D23</f>
        <v>8288.125</v>
      </c>
      <c r="E24" s="24" t="n">
        <f aca="false">E22+E23</f>
        <v>12119.39375</v>
      </c>
      <c r="F24" s="24" t="n">
        <f aca="false">F22+F23</f>
        <v>10522.34125</v>
      </c>
      <c r="G24" s="24" t="n">
        <f aca="false">G22+G23</f>
        <v>11497.785015625</v>
      </c>
      <c r="H24" s="24" t="n">
        <f aca="false">H22+H23</f>
        <v>12550.7173046875</v>
      </c>
      <c r="I24" s="24" t="n">
        <f aca="false">I22+I23</f>
        <v>13686.4483601172</v>
      </c>
      <c r="J24" s="24" t="n">
        <f aca="false">J22+J23</f>
        <v>14910.6257278281</v>
      </c>
      <c r="K24" s="24" t="n">
        <f aca="false">K22+K23</f>
        <v>16229.2547114099</v>
      </c>
      <c r="L24" s="24" t="n">
        <f aca="false">L22+L23</f>
        <v>17648.7200290302</v>
      </c>
      <c r="M24" s="24" t="n">
        <f aca="false">M22+M23</f>
        <v>19175.8087416341</v>
      </c>
      <c r="N24" s="24" t="n">
        <f aca="false">N22+N23</f>
        <v>20817.7345254257</v>
      </c>
      <c r="O24" s="24" t="n">
        <f aca="false">O22+O23</f>
        <v>19233.621251697</v>
      </c>
      <c r="P24" s="24" t="n">
        <f aca="false">P22+P23</f>
        <v>20195.3023142819</v>
      </c>
      <c r="Q24" s="3"/>
      <c r="R24" s="3"/>
    </row>
    <row r="25" customFormat="false" ht="15" hidden="false" customHeight="false" outlineLevel="0" collapsed="false">
      <c r="A25" s="43" t="s">
        <v>932</v>
      </c>
      <c r="B25" s="44"/>
      <c r="C25" s="44"/>
      <c r="D25" s="44"/>
      <c r="E25" s="44"/>
      <c r="F25" s="44"/>
      <c r="G25" s="44"/>
      <c r="H25" s="44"/>
      <c r="I25" s="44"/>
      <c r="J25" s="44"/>
      <c r="K25" s="44"/>
      <c r="L25" s="44"/>
      <c r="M25" s="44"/>
      <c r="N25" s="44"/>
      <c r="O25" s="44"/>
      <c r="P25" s="44"/>
      <c r="Q25" s="3"/>
      <c r="R25" s="44"/>
    </row>
    <row r="26" customFormat="false" ht="22.35" hidden="false" customHeight="false" outlineLevel="0" collapsed="false">
      <c r="A26" s="18" t="s">
        <v>933</v>
      </c>
      <c r="B26" s="24" t="n">
        <f aca="false">B20-B24</f>
        <v>-9800</v>
      </c>
      <c r="C26" s="24" t="n">
        <f aca="false">C20-C24</f>
        <v>-5040</v>
      </c>
      <c r="D26" s="24" t="n">
        <f aca="false">D20-D24</f>
        <v>-8288.125</v>
      </c>
      <c r="E26" s="24" t="n">
        <f aca="false">E20-E24</f>
        <v>-12119.39375</v>
      </c>
      <c r="F26" s="24" t="n">
        <f aca="false">F20-F24</f>
        <v>-10522.34125</v>
      </c>
      <c r="G26" s="24" t="n">
        <f aca="false">G20-G24</f>
        <v>51449.5891836594</v>
      </c>
      <c r="H26" s="24" t="n">
        <f aca="false">H20-H24</f>
        <v>52599.8149915718</v>
      </c>
      <c r="I26" s="24" t="n">
        <f aca="false">I20-I24</f>
        <v>53744.3525665112</v>
      </c>
      <c r="J26" s="24" t="n">
        <f aca="false">J20-J24</f>
        <v>-14910.6257278281</v>
      </c>
      <c r="K26" s="24" t="n">
        <f aca="false">K20-K24</f>
        <v>128237.864733845</v>
      </c>
      <c r="L26" s="24" t="n">
        <f aca="false">L20-L24</f>
        <v>131874.748596809</v>
      </c>
      <c r="M26" s="24" t="n">
        <f aca="false">M20-M24</f>
        <v>135580.981286109</v>
      </c>
      <c r="N26" s="24" t="n">
        <f aca="false">N20-N24</f>
        <v>139355.543153288</v>
      </c>
      <c r="O26" s="24" t="n">
        <f aca="false">O20-O24</f>
        <v>146545.721145772</v>
      </c>
      <c r="P26" s="24" t="n">
        <f aca="false">P20-P24</f>
        <v>151386.317067099</v>
      </c>
      <c r="Q26" s="3"/>
      <c r="R26" s="53" t="s">
        <v>934</v>
      </c>
    </row>
    <row r="27" customFormat="false" ht="32.8" hidden="false" customHeight="false" outlineLevel="0" collapsed="false">
      <c r="A27" s="20" t="s">
        <v>935</v>
      </c>
      <c r="B27" s="17" t="n">
        <f aca="false">-MAX(0,B26)*Assumptions!$B$186</f>
        <v>-0</v>
      </c>
      <c r="C27" s="17" t="n">
        <f aca="false">-MAX(0,C26)*Assumptions!$B$186</f>
        <v>-0</v>
      </c>
      <c r="D27" s="17" t="n">
        <f aca="false">-MAX(0,D26)*Assumptions!$B$186</f>
        <v>-0</v>
      </c>
      <c r="E27" s="17" t="n">
        <f aca="false">-MAX(0,E26)*Assumptions!$B$186</f>
        <v>-0</v>
      </c>
      <c r="F27" s="17" t="n">
        <f aca="false">-MAX(0,F26)*Assumptions!$B$186</f>
        <v>-0</v>
      </c>
      <c r="G27" s="17" t="n">
        <f aca="false">-MAX(0,G26)*Assumptions!$B$186</f>
        <v>-25724.7945918297</v>
      </c>
      <c r="H27" s="17" t="n">
        <f aca="false">-MAX(0,H26)*Assumptions!$B$186</f>
        <v>-26299.9074957859</v>
      </c>
      <c r="I27" s="17" t="n">
        <f aca="false">-MAX(0,I26)*Assumptions!$B$186</f>
        <v>-26872.1762832556</v>
      </c>
      <c r="J27" s="17" t="n">
        <f aca="false">-MAX(0,J26)*Assumptions!$B$186</f>
        <v>-0</v>
      </c>
      <c r="K27" s="17" t="n">
        <f aca="false">-MAX(0,K26)*Assumptions!$B$186</f>
        <v>-64118.9323669225</v>
      </c>
      <c r="L27" s="17" t="n">
        <f aca="false">-MAX(0,L26)*Assumptions!$B$186</f>
        <v>-65937.3742984043</v>
      </c>
      <c r="M27" s="17" t="n">
        <f aca="false">-MAX(0,M26)*Assumptions!$B$186</f>
        <v>-67790.4906430546</v>
      </c>
      <c r="N27" s="17" t="n">
        <f aca="false">-MAX(0,N26)*Assumptions!$B$186</f>
        <v>-69677.7715766442</v>
      </c>
      <c r="O27" s="17" t="n">
        <f aca="false">-MAX(0,O26)*Assumptions!$B$186</f>
        <v>-73272.8605728861</v>
      </c>
      <c r="P27" s="17" t="n">
        <f aca="false">-MAX(0,P26)*Assumptions!$B$186</f>
        <v>-75693.1585335493</v>
      </c>
      <c r="Q27" s="3"/>
      <c r="R27" s="53" t="s">
        <v>936</v>
      </c>
    </row>
    <row r="28" customFormat="false" ht="15" hidden="false" customHeight="false" outlineLevel="0" collapsed="false">
      <c r="A28" s="18" t="s">
        <v>937</v>
      </c>
      <c r="B28" s="24" t="n">
        <f aca="false">B26+B27</f>
        <v>-9800</v>
      </c>
      <c r="C28" s="24" t="n">
        <f aca="false">C26+C27</f>
        <v>-5040</v>
      </c>
      <c r="D28" s="24" t="n">
        <f aca="false">D26+D27</f>
        <v>-8288.125</v>
      </c>
      <c r="E28" s="24" t="n">
        <f aca="false">E26+E27</f>
        <v>-12119.39375</v>
      </c>
      <c r="F28" s="24" t="n">
        <f aca="false">F26+F27</f>
        <v>-10522.34125</v>
      </c>
      <c r="G28" s="24" t="n">
        <f aca="false">G26+G27</f>
        <v>25724.7945918297</v>
      </c>
      <c r="H28" s="24" t="n">
        <f aca="false">H26+H27</f>
        <v>26299.9074957859</v>
      </c>
      <c r="I28" s="24" t="n">
        <f aca="false">I26+I27</f>
        <v>26872.1762832556</v>
      </c>
      <c r="J28" s="24" t="n">
        <f aca="false">J26+J27</f>
        <v>-14910.6257278281</v>
      </c>
      <c r="K28" s="24" t="n">
        <f aca="false">K26+K27</f>
        <v>64118.9323669225</v>
      </c>
      <c r="L28" s="24" t="n">
        <f aca="false">L26+L27</f>
        <v>65937.3742984043</v>
      </c>
      <c r="M28" s="24" t="n">
        <f aca="false">M26+M27</f>
        <v>67790.4906430546</v>
      </c>
      <c r="N28" s="24" t="n">
        <f aca="false">N26+N27</f>
        <v>69677.7715766442</v>
      </c>
      <c r="O28" s="24" t="n">
        <f aca="false">O26+O27</f>
        <v>73272.8605728861</v>
      </c>
      <c r="P28" s="24" t="n">
        <f aca="false">P26+P27</f>
        <v>75693.1585335493</v>
      </c>
      <c r="Q28" s="3"/>
      <c r="R28" s="3"/>
    </row>
    <row r="29" customFormat="false" ht="32.8" hidden="false" customHeight="false" outlineLevel="0" collapsed="false">
      <c r="A29" s="18" t="s">
        <v>829</v>
      </c>
      <c r="B29" s="48" t="n">
        <f aca="false">B28/'Long range 15-yr'!B36</f>
        <v>-0.00884569560995962</v>
      </c>
      <c r="C29" s="48" t="n">
        <f aca="false">C28/'Long range 15-yr'!C36</f>
        <v>-0.00445929194434975</v>
      </c>
      <c r="D29" s="48" t="n">
        <f aca="false">D28/'Long range 15-yr'!D36</f>
        <v>-0.00563595220262621</v>
      </c>
      <c r="E29" s="48" t="n">
        <f aca="false">E28/'Long range 15-yr'!E36</f>
        <v>-0.00569423644072527</v>
      </c>
      <c r="F29" s="48" t="n">
        <f aca="false">F28/'Long range 15-yr'!F36</f>
        <v>-0.00415624101447055</v>
      </c>
      <c r="G29" s="48" t="n">
        <f aca="false">G28/'Long range 15-yr'!G36</f>
        <v>0.00868914278118338</v>
      </c>
      <c r="H29" s="48" t="n">
        <f aca="false">H28/'Long range 15-yr'!H36</f>
        <v>0.00769909631879466</v>
      </c>
      <c r="I29" s="48" t="n">
        <f aca="false">I28/'Long range 15-yr'!I36</f>
        <v>0.00689214239592088</v>
      </c>
      <c r="J29" s="48" t="n">
        <f aca="false">J28/'Long range 15-yr'!J36</f>
        <v>-0.00338062304440744</v>
      </c>
      <c r="K29" s="48" t="n">
        <f aca="false">K28/'Long range 15-yr'!K36</f>
        <v>0.0129478712417299</v>
      </c>
      <c r="L29" s="48" t="n">
        <f aca="false">L28/'Long range 15-yr'!L36</f>
        <v>0.0119353300027763</v>
      </c>
      <c r="M29" s="48" t="n">
        <f aca="false">M28/'Long range 15-yr'!M36</f>
        <v>0.011060124109469</v>
      </c>
      <c r="N29" s="48" t="n">
        <f aca="false">N28/'Long range 15-yr'!N36</f>
        <v>0.0102958965718433</v>
      </c>
      <c r="O29" s="48" t="n">
        <f aca="false">O28/'Long range 15-yr'!O36</f>
        <v>0.0103995311613196</v>
      </c>
      <c r="P29" s="48" t="n">
        <f aca="false">P28/'Long range 15-yr'!P36</f>
        <v>0.0103286761461125</v>
      </c>
      <c r="Q29" s="3"/>
      <c r="R29" s="53" t="s">
        <v>938</v>
      </c>
    </row>
    <row r="30" customFormat="false" ht="15" hidden="false" customHeight="false" outlineLevel="0" collapsed="false">
      <c r="A30" s="3"/>
      <c r="B30" s="3"/>
      <c r="C30" s="3"/>
      <c r="D30" s="3"/>
      <c r="E30" s="3"/>
      <c r="F30" s="3"/>
      <c r="G30" s="3"/>
      <c r="H30" s="3"/>
      <c r="I30" s="3"/>
      <c r="J30" s="3"/>
      <c r="K30" s="3"/>
      <c r="L30" s="3"/>
      <c r="M30" s="3"/>
      <c r="N30" s="3"/>
      <c r="O30" s="3"/>
      <c r="P30" s="3"/>
      <c r="Q30" s="3"/>
      <c r="R30" s="3"/>
    </row>
    <row r="31" customFormat="false" ht="87.75" hidden="false" customHeight="true" outlineLevel="0" collapsed="false">
      <c r="A31" s="33" t="s">
        <v>939</v>
      </c>
      <c r="B31" s="33"/>
      <c r="C31" s="33"/>
      <c r="D31" s="33"/>
      <c r="E31" s="33"/>
      <c r="F31" s="33"/>
      <c r="G31" s="33"/>
      <c r="H31" s="33"/>
      <c r="I31" s="33"/>
      <c r="J31" s="33"/>
      <c r="K31" s="33"/>
      <c r="L31" s="33"/>
      <c r="M31" s="33"/>
      <c r="N31" s="33"/>
      <c r="O31" s="33"/>
      <c r="P31" s="33"/>
      <c r="Q31" s="33"/>
      <c r="R31" s="33"/>
    </row>
    <row r="32" customFormat="false" ht="87.75" hidden="false" customHeight="true" outlineLevel="0" collapsed="false">
      <c r="A32" s="33" t="s">
        <v>940</v>
      </c>
      <c r="B32" s="33"/>
      <c r="C32" s="33"/>
      <c r="D32" s="33"/>
      <c r="E32" s="33"/>
      <c r="F32" s="33"/>
      <c r="G32" s="33"/>
      <c r="H32" s="33"/>
      <c r="I32" s="33"/>
      <c r="J32" s="33"/>
      <c r="K32" s="33"/>
      <c r="L32" s="33"/>
      <c r="M32" s="33"/>
      <c r="N32" s="33"/>
      <c r="O32" s="33"/>
      <c r="P32" s="33"/>
      <c r="Q32" s="33"/>
      <c r="R32" s="33"/>
    </row>
  </sheetData>
  <sheetProtection sheet="true" password="ef11" formatCells="false" formatColumns="false" formatRows="false"/>
  <mergeCells count="7">
    <mergeCell ref="B4:R4"/>
    <mergeCell ref="B5:R5"/>
    <mergeCell ref="B6:R6"/>
    <mergeCell ref="B7:R7"/>
    <mergeCell ref="B8:R8"/>
    <mergeCell ref="A31:R31"/>
    <mergeCell ref="A32:R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16" min="2" style="1" width="12"/>
    <col collapsed="false" customWidth="true" hidden="false" outlineLevel="0" max="18" min="18" style="1" width="62"/>
  </cols>
  <sheetData>
    <row r="1" customFormat="false" ht="17.35" hidden="false" customHeight="false" outlineLevel="0" collapsed="false">
      <c r="A1" s="2" t="s">
        <v>941</v>
      </c>
      <c r="B1" s="3"/>
      <c r="C1" s="3"/>
      <c r="D1" s="3"/>
      <c r="E1" s="3"/>
      <c r="F1" s="3"/>
      <c r="G1" s="3"/>
      <c r="H1" s="3"/>
      <c r="I1" s="3"/>
      <c r="J1" s="3"/>
      <c r="K1" s="3"/>
      <c r="L1" s="3"/>
      <c r="M1" s="3"/>
      <c r="N1" s="3"/>
      <c r="O1" s="3"/>
      <c r="P1" s="3"/>
      <c r="Q1" s="3"/>
      <c r="R1" s="3"/>
    </row>
    <row r="2" customFormat="false" ht="15" hidden="false" customHeight="false" outlineLevel="0" collapsed="false">
      <c r="A2" s="4" t="s">
        <v>942</v>
      </c>
      <c r="B2" s="3"/>
      <c r="C2" s="3"/>
      <c r="D2" s="3"/>
      <c r="E2" s="3"/>
      <c r="F2" s="3"/>
      <c r="G2" s="3"/>
      <c r="H2" s="3"/>
      <c r="I2" s="3"/>
      <c r="J2" s="3"/>
      <c r="K2" s="3"/>
      <c r="L2" s="3"/>
      <c r="M2" s="3"/>
      <c r="N2" s="3"/>
      <c r="O2" s="3"/>
      <c r="P2" s="3"/>
      <c r="Q2" s="3"/>
      <c r="R2" s="3"/>
    </row>
    <row r="3" customFormat="false" ht="15" hidden="false" customHeight="false" outlineLevel="0" collapsed="false">
      <c r="A3" s="3"/>
      <c r="B3" s="3"/>
      <c r="C3" s="3"/>
      <c r="D3" s="3"/>
      <c r="E3" s="3"/>
      <c r="F3" s="3"/>
      <c r="G3" s="3"/>
      <c r="H3" s="3"/>
      <c r="I3" s="3"/>
      <c r="J3" s="3"/>
      <c r="K3" s="3"/>
      <c r="L3" s="3"/>
      <c r="M3" s="3"/>
      <c r="N3" s="3"/>
      <c r="O3" s="3"/>
      <c r="P3" s="3"/>
      <c r="Q3" s="3"/>
      <c r="R3" s="3"/>
    </row>
    <row r="4" customFormat="false" ht="15" hidden="false" customHeight="false" outlineLevel="0" collapsed="false">
      <c r="A4" s="3"/>
      <c r="B4" s="3"/>
      <c r="C4" s="3"/>
      <c r="D4" s="3"/>
      <c r="E4" s="3"/>
      <c r="F4" s="3"/>
      <c r="G4" s="3"/>
      <c r="H4" s="3"/>
      <c r="I4" s="3"/>
      <c r="J4" s="3"/>
      <c r="K4" s="3"/>
      <c r="L4" s="3"/>
      <c r="M4" s="3"/>
      <c r="N4" s="3"/>
      <c r="O4" s="3"/>
      <c r="P4" s="3"/>
      <c r="Q4" s="3"/>
      <c r="R4" s="3"/>
    </row>
    <row r="5" customFormat="false" ht="15" hidden="false" customHeight="false" outlineLevel="0" collapsed="false">
      <c r="A5" s="3"/>
      <c r="B5" s="3"/>
      <c r="C5" s="3"/>
      <c r="D5" s="3"/>
      <c r="E5" s="3"/>
      <c r="F5" s="3"/>
      <c r="G5" s="3"/>
      <c r="H5" s="3"/>
      <c r="I5" s="3"/>
      <c r="J5" s="3"/>
      <c r="K5" s="3"/>
      <c r="L5" s="3"/>
      <c r="M5" s="3"/>
      <c r="N5" s="3"/>
      <c r="O5" s="3"/>
      <c r="P5" s="3"/>
      <c r="Q5" s="3"/>
      <c r="R5" s="3"/>
    </row>
    <row r="6" customFormat="false" ht="15" hidden="false" customHeight="false" outlineLevel="0" collapsed="false">
      <c r="A6" s="3"/>
      <c r="B6" s="3"/>
      <c r="C6" s="3"/>
      <c r="D6" s="3"/>
      <c r="E6" s="3"/>
      <c r="F6" s="3"/>
      <c r="G6" s="3"/>
      <c r="H6" s="3"/>
      <c r="I6" s="3"/>
      <c r="J6" s="3"/>
      <c r="K6" s="3"/>
      <c r="L6" s="3"/>
      <c r="M6" s="3"/>
      <c r="N6" s="3"/>
      <c r="O6" s="3"/>
      <c r="P6" s="3"/>
      <c r="Q6" s="3"/>
      <c r="R6" s="3"/>
    </row>
    <row r="7" customFormat="false" ht="15" hidden="false" customHeight="false" outlineLevel="0" collapsed="false">
      <c r="A7" s="3"/>
      <c r="B7" s="3"/>
      <c r="C7" s="3"/>
      <c r="D7" s="3"/>
      <c r="E7" s="3"/>
      <c r="F7" s="3"/>
      <c r="G7" s="3"/>
      <c r="H7" s="3"/>
      <c r="I7" s="3"/>
      <c r="J7" s="3"/>
      <c r="K7" s="3"/>
      <c r="L7" s="3"/>
      <c r="M7" s="3"/>
      <c r="N7" s="3"/>
      <c r="O7" s="3"/>
      <c r="P7" s="3"/>
      <c r="Q7" s="3"/>
      <c r="R7" s="3"/>
    </row>
    <row r="8" customFormat="false" ht="15" hidden="false" customHeight="false" outlineLevel="0" collapsed="false">
      <c r="A8" s="3"/>
      <c r="B8" s="3"/>
      <c r="C8" s="3"/>
      <c r="D8" s="3"/>
      <c r="E8" s="3"/>
      <c r="F8" s="3"/>
      <c r="G8" s="3"/>
      <c r="H8" s="3"/>
      <c r="I8" s="3"/>
      <c r="J8" s="3"/>
      <c r="K8" s="3"/>
      <c r="L8" s="3"/>
      <c r="M8" s="3"/>
      <c r="N8" s="3"/>
      <c r="O8" s="3"/>
      <c r="P8" s="3"/>
      <c r="Q8" s="3"/>
      <c r="R8" s="3"/>
    </row>
    <row r="9" customFormat="false" ht="15" hidden="false" customHeight="false" outlineLevel="0" collapsed="false">
      <c r="A9" s="3"/>
      <c r="B9" s="3"/>
      <c r="C9" s="3"/>
      <c r="D9" s="3"/>
      <c r="E9" s="3"/>
      <c r="F9" s="3"/>
      <c r="G9" s="3"/>
      <c r="H9" s="3"/>
      <c r="I9" s="3"/>
      <c r="J9" s="3"/>
      <c r="K9" s="3"/>
      <c r="L9" s="3"/>
      <c r="M9" s="3"/>
      <c r="N9" s="3"/>
      <c r="O9" s="3"/>
      <c r="P9" s="3"/>
      <c r="Q9" s="3"/>
      <c r="R9" s="3"/>
    </row>
    <row r="10" customFormat="false" ht="15" hidden="false" customHeight="false" outlineLevel="0" collapsed="false">
      <c r="A10" s="3"/>
      <c r="B10" s="3"/>
      <c r="C10" s="3"/>
      <c r="D10" s="3"/>
      <c r="E10" s="3"/>
      <c r="F10" s="3"/>
      <c r="G10" s="3"/>
      <c r="H10" s="3"/>
      <c r="I10" s="3"/>
      <c r="J10" s="3"/>
      <c r="K10" s="3"/>
      <c r="L10" s="3"/>
      <c r="M10" s="3"/>
      <c r="N10" s="3"/>
      <c r="O10" s="3"/>
      <c r="P10" s="3"/>
      <c r="Q10" s="3"/>
      <c r="R10" s="3"/>
    </row>
    <row r="11" customFormat="false" ht="15" hidden="false" customHeight="false" outlineLevel="0" collapsed="false">
      <c r="A11" s="3"/>
      <c r="B11" s="3"/>
      <c r="C11" s="3"/>
      <c r="D11" s="3"/>
      <c r="E11" s="3"/>
      <c r="F11" s="3"/>
      <c r="G11" s="3"/>
      <c r="H11" s="3"/>
      <c r="I11" s="3"/>
      <c r="J11" s="3"/>
      <c r="K11" s="3"/>
      <c r="L11" s="3"/>
      <c r="M11" s="3"/>
      <c r="N11" s="3"/>
      <c r="O11" s="3"/>
      <c r="P11" s="3"/>
      <c r="Q11" s="3"/>
      <c r="R11" s="3"/>
    </row>
    <row r="12" customFormat="false" ht="15" hidden="false" customHeight="false" outlineLevel="0" collapsed="false">
      <c r="A12" s="3"/>
      <c r="B12" s="3"/>
      <c r="C12" s="3"/>
      <c r="D12" s="3"/>
      <c r="E12" s="3"/>
      <c r="F12" s="3"/>
      <c r="G12" s="3"/>
      <c r="H12" s="3"/>
      <c r="I12" s="3"/>
      <c r="J12" s="3"/>
      <c r="K12" s="3"/>
      <c r="L12" s="3"/>
      <c r="M12" s="3"/>
      <c r="N12" s="3"/>
      <c r="O12" s="3"/>
      <c r="P12" s="3"/>
      <c r="Q12" s="3"/>
      <c r="R12" s="3"/>
    </row>
    <row r="13" customFormat="false" ht="15" hidden="false" customHeight="false" outlineLevel="0" collapsed="false">
      <c r="A13" s="18" t="s">
        <v>632</v>
      </c>
      <c r="B13" s="19" t="n">
        <v>1</v>
      </c>
      <c r="C13" s="19" t="n">
        <v>2</v>
      </c>
      <c r="D13" s="19" t="n">
        <v>3</v>
      </c>
      <c r="E13" s="19" t="n">
        <v>4</v>
      </c>
      <c r="F13" s="19" t="n">
        <v>5</v>
      </c>
      <c r="G13" s="19" t="n">
        <v>6</v>
      </c>
      <c r="H13" s="19" t="n">
        <v>7</v>
      </c>
      <c r="I13" s="19" t="n">
        <v>8</v>
      </c>
      <c r="J13" s="19" t="n">
        <v>9</v>
      </c>
      <c r="K13" s="19" t="n">
        <v>10</v>
      </c>
      <c r="L13" s="19" t="n">
        <v>11</v>
      </c>
      <c r="M13" s="19" t="n">
        <v>12</v>
      </c>
      <c r="N13" s="19" t="n">
        <v>13</v>
      </c>
      <c r="O13" s="19" t="n">
        <v>14</v>
      </c>
      <c r="P13" s="19" t="n">
        <v>15</v>
      </c>
      <c r="Q13" s="3"/>
      <c r="R13" s="18" t="s">
        <v>490</v>
      </c>
    </row>
    <row r="14" customFormat="false" ht="15" hidden="false" customHeight="false" outlineLevel="0" collapsed="false">
      <c r="A14" s="5" t="s">
        <v>943</v>
      </c>
      <c r="B14" s="6"/>
      <c r="C14" s="6"/>
      <c r="D14" s="6"/>
      <c r="E14" s="6"/>
      <c r="F14" s="6"/>
      <c r="G14" s="6"/>
      <c r="H14" s="6"/>
      <c r="I14" s="6"/>
      <c r="J14" s="6"/>
      <c r="K14" s="6"/>
      <c r="L14" s="6"/>
      <c r="M14" s="6"/>
      <c r="N14" s="6"/>
      <c r="O14" s="6"/>
      <c r="P14" s="6"/>
      <c r="Q14" s="3"/>
      <c r="R14" s="6"/>
    </row>
    <row r="15" customFormat="false" ht="22.35" hidden="false" customHeight="false" outlineLevel="0" collapsed="false">
      <c r="A15" s="18" t="s">
        <v>370</v>
      </c>
      <c r="B15" s="24" t="n">
        <f aca="false">'Long range 15-yr'!B48</f>
        <v>150000</v>
      </c>
      <c r="C15" s="24" t="n">
        <f aca="false">'Long range 15-yr'!C48</f>
        <v>150000</v>
      </c>
      <c r="D15" s="24" t="n">
        <f aca="false">'Long range 15-yr'!D48</f>
        <v>150000</v>
      </c>
      <c r="E15" s="24" t="n">
        <f aca="false">'Long range 15-yr'!E48</f>
        <v>150000</v>
      </c>
      <c r="F15" s="24" t="n">
        <f aca="false">'Long range 15-yr'!F48</f>
        <v>150000</v>
      </c>
      <c r="G15" s="24" t="n">
        <f aca="false">'Long range 15-yr'!G48</f>
        <v>150000</v>
      </c>
      <c r="H15" s="24" t="n">
        <f aca="false">'Long range 15-yr'!H48</f>
        <v>150000</v>
      </c>
      <c r="I15" s="24" t="n">
        <f aca="false">'Long range 15-yr'!I48</f>
        <v>150000</v>
      </c>
      <c r="J15" s="24" t="n">
        <f aca="false">'Long range 15-yr'!J48</f>
        <v>150000</v>
      </c>
      <c r="K15" s="24" t="n">
        <f aca="false">'Long range 15-yr'!K48</f>
        <v>150000</v>
      </c>
      <c r="L15" s="24" t="n">
        <f aca="false">'Long range 15-yr'!L48</f>
        <v>150000</v>
      </c>
      <c r="M15" s="24" t="n">
        <f aca="false">'Long range 15-yr'!M48</f>
        <v>150000</v>
      </c>
      <c r="N15" s="24" t="n">
        <f aca="false">'Long range 15-yr'!N48</f>
        <v>150000</v>
      </c>
      <c r="O15" s="24" t="n">
        <f aca="false">'Long range 15-yr'!O48</f>
        <v>150000</v>
      </c>
      <c r="P15" s="24" t="n">
        <f aca="false">'Long range 15-yr'!P48</f>
        <v>150000</v>
      </c>
      <c r="Q15" s="3"/>
      <c r="R15" s="53" t="s">
        <v>944</v>
      </c>
    </row>
    <row r="16" customFormat="false" ht="15" hidden="false" customHeight="false" outlineLevel="0" collapsed="false">
      <c r="A16" s="43" t="s">
        <v>945</v>
      </c>
      <c r="B16" s="44"/>
      <c r="C16" s="44"/>
      <c r="D16" s="44"/>
      <c r="E16" s="44"/>
      <c r="F16" s="44"/>
      <c r="G16" s="44"/>
      <c r="H16" s="44"/>
      <c r="I16" s="44"/>
      <c r="J16" s="44"/>
      <c r="K16" s="44"/>
      <c r="L16" s="44"/>
      <c r="M16" s="44"/>
      <c r="N16" s="44"/>
      <c r="O16" s="44"/>
      <c r="P16" s="44"/>
      <c r="Q16" s="3"/>
      <c r="R16" s="44"/>
    </row>
    <row r="17" customFormat="false" ht="32.8" hidden="false" customHeight="false" outlineLevel="0" collapsed="false">
      <c r="A17" s="20" t="s">
        <v>946</v>
      </c>
      <c r="B17" s="17" t="n">
        <f aca="false">Assumptions!$B$167*Assumptions!$B$168</f>
        <v>13374</v>
      </c>
      <c r="C17" s="17" t="n">
        <f aca="false">Assumptions!$B$167*Assumptions!$B$168</f>
        <v>13374</v>
      </c>
      <c r="D17" s="17" t="n">
        <f aca="false">Assumptions!$B$167*Assumptions!$B$168</f>
        <v>13374</v>
      </c>
      <c r="E17" s="17" t="n">
        <f aca="false">Assumptions!$B$167*Assumptions!$B$168</f>
        <v>13374</v>
      </c>
      <c r="F17" s="17" t="n">
        <f aca="false">Assumptions!$B$167*Assumptions!$B$168</f>
        <v>13374</v>
      </c>
      <c r="G17" s="17" t="n">
        <f aca="false">Assumptions!$B$167*Assumptions!$B$168</f>
        <v>13374</v>
      </c>
      <c r="H17" s="17" t="n">
        <f aca="false">Assumptions!$B$167*Assumptions!$B$168</f>
        <v>13374</v>
      </c>
      <c r="I17" s="17" t="n">
        <f aca="false">Assumptions!$B$167*Assumptions!$B$168</f>
        <v>13374</v>
      </c>
      <c r="J17" s="17" t="n">
        <f aca="false">Assumptions!$B$167*Assumptions!$B$168</f>
        <v>13374</v>
      </c>
      <c r="K17" s="17" t="n">
        <f aca="false">Assumptions!$B$167*Assumptions!$B$168</f>
        <v>13374</v>
      </c>
      <c r="L17" s="17" t="n">
        <f aca="false">Assumptions!$B$167*Assumptions!$B$168</f>
        <v>13374</v>
      </c>
      <c r="M17" s="17" t="n">
        <f aca="false">Assumptions!$B$167*Assumptions!$B$168</f>
        <v>13374</v>
      </c>
      <c r="N17" s="17" t="n">
        <f aca="false">Assumptions!$B$167*Assumptions!$B$168</f>
        <v>13374</v>
      </c>
      <c r="O17" s="17" t="n">
        <f aca="false">Assumptions!$B$167*Assumptions!$B$168</f>
        <v>13374</v>
      </c>
      <c r="P17" s="17" t="n">
        <f aca="false">Assumptions!$B$167*Assumptions!$B$168</f>
        <v>13374</v>
      </c>
      <c r="Q17" s="3"/>
      <c r="R17" s="53" t="s">
        <v>947</v>
      </c>
    </row>
    <row r="18" customFormat="false" ht="22.35" hidden="false" customHeight="false" outlineLevel="0" collapsed="false">
      <c r="A18" s="20" t="s">
        <v>948</v>
      </c>
      <c r="B18" s="17" t="n">
        <f aca="false">Assumptions!$B$170*0.5</f>
        <v>1200</v>
      </c>
      <c r="C18" s="17" t="n">
        <f aca="false">Assumptions!$B$170*0.5</f>
        <v>1200</v>
      </c>
      <c r="D18" s="17" t="n">
        <f aca="false">Assumptions!$B$170*0.5</f>
        <v>1200</v>
      </c>
      <c r="E18" s="17" t="n">
        <f aca="false">Assumptions!$B$170*0.5</f>
        <v>1200</v>
      </c>
      <c r="F18" s="17" t="n">
        <f aca="false">Assumptions!$B$170*0.5</f>
        <v>1200</v>
      </c>
      <c r="G18" s="17" t="n">
        <f aca="false">Assumptions!$B$170*0.5</f>
        <v>1200</v>
      </c>
      <c r="H18" s="17" t="n">
        <f aca="false">Assumptions!$B$170*0.5</f>
        <v>1200</v>
      </c>
      <c r="I18" s="17" t="n">
        <f aca="false">Assumptions!$B$170*0.5</f>
        <v>1200</v>
      </c>
      <c r="J18" s="17" t="n">
        <f aca="false">Assumptions!$B$170*0.5</f>
        <v>1200</v>
      </c>
      <c r="K18" s="17" t="n">
        <f aca="false">Assumptions!$B$170*0.5</f>
        <v>1200</v>
      </c>
      <c r="L18" s="17" t="n">
        <f aca="false">Assumptions!$B$170*0.5</f>
        <v>1200</v>
      </c>
      <c r="M18" s="17" t="n">
        <f aca="false">Assumptions!$B$170*0.5</f>
        <v>1200</v>
      </c>
      <c r="N18" s="17" t="n">
        <f aca="false">Assumptions!$B$170*0.5</f>
        <v>1200</v>
      </c>
      <c r="O18" s="17" t="n">
        <f aca="false">Assumptions!$B$170*0.5</f>
        <v>1200</v>
      </c>
      <c r="P18" s="17" t="n">
        <f aca="false">Assumptions!$B$170*0.5</f>
        <v>1200</v>
      </c>
      <c r="Q18" s="3"/>
      <c r="R18" s="53" t="s">
        <v>949</v>
      </c>
    </row>
    <row r="19" customFormat="false" ht="22.35" hidden="false" customHeight="false" outlineLevel="0" collapsed="false">
      <c r="A19" s="20" t="s">
        <v>950</v>
      </c>
      <c r="B19" s="17" t="n">
        <f aca="false">Assumptions!$B$171</f>
        <v>1500</v>
      </c>
      <c r="C19" s="17" t="n">
        <f aca="false">Assumptions!$B$171</f>
        <v>1500</v>
      </c>
      <c r="D19" s="17" t="n">
        <f aca="false">Assumptions!$B$171</f>
        <v>1500</v>
      </c>
      <c r="E19" s="17" t="n">
        <f aca="false">Assumptions!$B$171</f>
        <v>1500</v>
      </c>
      <c r="F19" s="17" t="n">
        <f aca="false">Assumptions!$B$171</f>
        <v>1500</v>
      </c>
      <c r="G19" s="17" t="n">
        <f aca="false">Assumptions!$B$171</f>
        <v>1500</v>
      </c>
      <c r="H19" s="17" t="n">
        <f aca="false">Assumptions!$B$171</f>
        <v>1500</v>
      </c>
      <c r="I19" s="17" t="n">
        <f aca="false">Assumptions!$B$171</f>
        <v>1500</v>
      </c>
      <c r="J19" s="17" t="n">
        <f aca="false">Assumptions!$B$171</f>
        <v>1500</v>
      </c>
      <c r="K19" s="17" t="n">
        <f aca="false">Assumptions!$B$171</f>
        <v>1500</v>
      </c>
      <c r="L19" s="17" t="n">
        <f aca="false">Assumptions!$B$171</f>
        <v>1500</v>
      </c>
      <c r="M19" s="17" t="n">
        <f aca="false">Assumptions!$B$171</f>
        <v>1500</v>
      </c>
      <c r="N19" s="17" t="n">
        <f aca="false">Assumptions!$B$171</f>
        <v>1500</v>
      </c>
      <c r="O19" s="17" t="n">
        <f aca="false">Assumptions!$B$171</f>
        <v>1500</v>
      </c>
      <c r="P19" s="17" t="n">
        <f aca="false">Assumptions!$B$171</f>
        <v>1500</v>
      </c>
      <c r="Q19" s="3"/>
      <c r="R19" s="53" t="s">
        <v>951</v>
      </c>
    </row>
    <row r="20" customFormat="false" ht="15" hidden="false" customHeight="false" outlineLevel="0" collapsed="false">
      <c r="A20" s="20" t="s">
        <v>952</v>
      </c>
      <c r="B20" s="17" t="n">
        <f aca="false">Assumptions!$B$172</f>
        <v>9600</v>
      </c>
      <c r="C20" s="17" t="n">
        <f aca="false">Assumptions!$B$172</f>
        <v>9600</v>
      </c>
      <c r="D20" s="17" t="n">
        <f aca="false">Assumptions!$B$172</f>
        <v>9600</v>
      </c>
      <c r="E20" s="17" t="n">
        <f aca="false">Assumptions!$B$172</f>
        <v>9600</v>
      </c>
      <c r="F20" s="17" t="n">
        <f aca="false">Assumptions!$B$172</f>
        <v>9600</v>
      </c>
      <c r="G20" s="17" t="n">
        <f aca="false">Assumptions!$B$172</f>
        <v>9600</v>
      </c>
      <c r="H20" s="17" t="n">
        <f aca="false">Assumptions!$B$172</f>
        <v>9600</v>
      </c>
      <c r="I20" s="17" t="n">
        <f aca="false">Assumptions!$B$172</f>
        <v>9600</v>
      </c>
      <c r="J20" s="17" t="n">
        <f aca="false">Assumptions!$B$172</f>
        <v>9600</v>
      </c>
      <c r="K20" s="17" t="n">
        <f aca="false">Assumptions!$B$172</f>
        <v>9600</v>
      </c>
      <c r="L20" s="17" t="n">
        <f aca="false">Assumptions!$B$172</f>
        <v>9600</v>
      </c>
      <c r="M20" s="17" t="n">
        <f aca="false">Assumptions!$B$172</f>
        <v>9600</v>
      </c>
      <c r="N20" s="17" t="n">
        <f aca="false">Assumptions!$B$172</f>
        <v>9600</v>
      </c>
      <c r="O20" s="17" t="n">
        <f aca="false">Assumptions!$B$172</f>
        <v>9600</v>
      </c>
      <c r="P20" s="17" t="n">
        <f aca="false">Assumptions!$B$172</f>
        <v>9600</v>
      </c>
      <c r="Q20" s="3"/>
      <c r="R20" s="53" t="s">
        <v>953</v>
      </c>
    </row>
    <row r="21" customFormat="false" ht="15" hidden="false" customHeight="false" outlineLevel="0" collapsed="false">
      <c r="A21" s="20" t="s">
        <v>954</v>
      </c>
      <c r="B21" s="17" t="n">
        <f aca="false">Assumptions!$B$174</f>
        <v>3600</v>
      </c>
      <c r="C21" s="17" t="n">
        <f aca="false">Assumptions!$B$174</f>
        <v>3600</v>
      </c>
      <c r="D21" s="17" t="n">
        <f aca="false">Assumptions!$B$174</f>
        <v>3600</v>
      </c>
      <c r="E21" s="17" t="n">
        <f aca="false">Assumptions!$B$174</f>
        <v>3600</v>
      </c>
      <c r="F21" s="17" t="n">
        <f aca="false">Assumptions!$B$174</f>
        <v>3600</v>
      </c>
      <c r="G21" s="17" t="n">
        <f aca="false">Assumptions!$B$174</f>
        <v>3600</v>
      </c>
      <c r="H21" s="17" t="n">
        <f aca="false">Assumptions!$B$174</f>
        <v>3600</v>
      </c>
      <c r="I21" s="17" t="n">
        <f aca="false">Assumptions!$B$174</f>
        <v>3600</v>
      </c>
      <c r="J21" s="17" t="n">
        <f aca="false">Assumptions!$B$174</f>
        <v>3600</v>
      </c>
      <c r="K21" s="17" t="n">
        <f aca="false">Assumptions!$B$174</f>
        <v>3600</v>
      </c>
      <c r="L21" s="17" t="n">
        <f aca="false">Assumptions!$B$174</f>
        <v>3600</v>
      </c>
      <c r="M21" s="17" t="n">
        <f aca="false">Assumptions!$B$174</f>
        <v>3600</v>
      </c>
      <c r="N21" s="17" t="n">
        <f aca="false">Assumptions!$B$174</f>
        <v>3600</v>
      </c>
      <c r="O21" s="17" t="n">
        <f aca="false">Assumptions!$B$174</f>
        <v>3600</v>
      </c>
      <c r="P21" s="17" t="n">
        <f aca="false">Assumptions!$B$174</f>
        <v>3600</v>
      </c>
      <c r="Q21" s="3"/>
      <c r="R21" s="3"/>
    </row>
    <row r="22" customFormat="false" ht="22.35" hidden="false" customHeight="false" outlineLevel="0" collapsed="false">
      <c r="A22" s="20" t="s">
        <v>955</v>
      </c>
      <c r="B22" s="17" t="n">
        <f aca="false">B15*Assumptions!$B$173</f>
        <v>22500</v>
      </c>
      <c r="C22" s="17" t="n">
        <f aca="false">C15*Assumptions!$B$173</f>
        <v>22500</v>
      </c>
      <c r="D22" s="17" t="n">
        <f aca="false">D15*Assumptions!$B$173</f>
        <v>22500</v>
      </c>
      <c r="E22" s="17" t="n">
        <f aca="false">E15*Assumptions!$B$173</f>
        <v>22500</v>
      </c>
      <c r="F22" s="17" t="n">
        <f aca="false">F15*Assumptions!$B$173</f>
        <v>22500</v>
      </c>
      <c r="G22" s="17" t="n">
        <f aca="false">G15*Assumptions!$B$173</f>
        <v>22500</v>
      </c>
      <c r="H22" s="17" t="n">
        <f aca="false">H15*Assumptions!$B$173</f>
        <v>22500</v>
      </c>
      <c r="I22" s="17" t="n">
        <f aca="false">I15*Assumptions!$B$173</f>
        <v>22500</v>
      </c>
      <c r="J22" s="17" t="n">
        <f aca="false">J15*Assumptions!$B$173</f>
        <v>22500</v>
      </c>
      <c r="K22" s="17" t="n">
        <f aca="false">K15*Assumptions!$B$173</f>
        <v>22500</v>
      </c>
      <c r="L22" s="17" t="n">
        <f aca="false">L15*Assumptions!$B$173</f>
        <v>22500</v>
      </c>
      <c r="M22" s="17" t="n">
        <f aca="false">M15*Assumptions!$B$173</f>
        <v>22500</v>
      </c>
      <c r="N22" s="17" t="n">
        <f aca="false">N15*Assumptions!$B$173</f>
        <v>22500</v>
      </c>
      <c r="O22" s="17" t="n">
        <f aca="false">O15*Assumptions!$B$173</f>
        <v>22500</v>
      </c>
      <c r="P22" s="17" t="n">
        <f aca="false">P15*Assumptions!$B$173</f>
        <v>22500</v>
      </c>
      <c r="Q22" s="3"/>
      <c r="R22" s="53" t="s">
        <v>956</v>
      </c>
    </row>
    <row r="23" customFormat="false" ht="15" hidden="false" customHeight="false" outlineLevel="0" collapsed="false">
      <c r="A23" s="18" t="s">
        <v>957</v>
      </c>
      <c r="B23" s="24" t="n">
        <f aca="false">B17+B18+B19+B20+B21+B22</f>
        <v>51774</v>
      </c>
      <c r="C23" s="24" t="n">
        <f aca="false">C17+C18+C19+C20+C21+C22</f>
        <v>51774</v>
      </c>
      <c r="D23" s="24" t="n">
        <f aca="false">D17+D18+D19+D20+D21+D22</f>
        <v>51774</v>
      </c>
      <c r="E23" s="24" t="n">
        <f aca="false">E17+E18+E19+E20+E21+E22</f>
        <v>51774</v>
      </c>
      <c r="F23" s="24" t="n">
        <f aca="false">F17+F18+F19+F20+F21+F22</f>
        <v>51774</v>
      </c>
      <c r="G23" s="24" t="n">
        <f aca="false">G17+G18+G19+G20+G21+G22</f>
        <v>51774</v>
      </c>
      <c r="H23" s="24" t="n">
        <f aca="false">H17+H18+H19+H20+H21+H22</f>
        <v>51774</v>
      </c>
      <c r="I23" s="24" t="n">
        <f aca="false">I17+I18+I19+I20+I21+I22</f>
        <v>51774</v>
      </c>
      <c r="J23" s="24" t="n">
        <f aca="false">J17+J18+J19+J20+J21+J22</f>
        <v>51774</v>
      </c>
      <c r="K23" s="24" t="n">
        <f aca="false">K17+K18+K19+K20+K21+K22</f>
        <v>51774</v>
      </c>
      <c r="L23" s="24" t="n">
        <f aca="false">L17+L18+L19+L20+L21+L22</f>
        <v>51774</v>
      </c>
      <c r="M23" s="24" t="n">
        <f aca="false">M17+M18+M19+M20+M21+M22</f>
        <v>51774</v>
      </c>
      <c r="N23" s="24" t="n">
        <f aca="false">N17+N18+N19+N20+N21+N22</f>
        <v>51774</v>
      </c>
      <c r="O23" s="24" t="n">
        <f aca="false">O17+O18+O19+O20+O21+O22</f>
        <v>51774</v>
      </c>
      <c r="P23" s="24" t="n">
        <f aca="false">P17+P18+P19+P20+P21+P22</f>
        <v>51774</v>
      </c>
      <c r="Q23" s="3"/>
      <c r="R23" s="3"/>
    </row>
    <row r="24" customFormat="false" ht="15" hidden="false" customHeight="false" outlineLevel="0" collapsed="false">
      <c r="A24" s="5" t="s">
        <v>958</v>
      </c>
      <c r="B24" s="6"/>
      <c r="C24" s="6"/>
      <c r="D24" s="6"/>
      <c r="E24" s="6"/>
      <c r="F24" s="6"/>
      <c r="G24" s="6"/>
      <c r="H24" s="6"/>
      <c r="I24" s="6"/>
      <c r="J24" s="6"/>
      <c r="K24" s="6"/>
      <c r="L24" s="6"/>
      <c r="M24" s="6"/>
      <c r="N24" s="6"/>
      <c r="O24" s="6"/>
      <c r="P24" s="6"/>
      <c r="Q24" s="3"/>
      <c r="R24" s="6"/>
    </row>
    <row r="25" customFormat="false" ht="43.25" hidden="false" customHeight="false" outlineLevel="0" collapsed="false">
      <c r="A25" s="18" t="s">
        <v>959</v>
      </c>
      <c r="B25" s="24" t="n">
        <f aca="false">B23*Assumptions!$B$175</f>
        <v>16567.68</v>
      </c>
      <c r="C25" s="24" t="n">
        <f aca="false">C23*Assumptions!$B$175</f>
        <v>16567.68</v>
      </c>
      <c r="D25" s="24" t="n">
        <f aca="false">D23*Assumptions!$B$175</f>
        <v>16567.68</v>
      </c>
      <c r="E25" s="24" t="n">
        <f aca="false">E23*Assumptions!$B$175</f>
        <v>16567.68</v>
      </c>
      <c r="F25" s="24" t="n">
        <f aca="false">F23*Assumptions!$B$175</f>
        <v>16567.68</v>
      </c>
      <c r="G25" s="24" t="n">
        <f aca="false">G23*Assumptions!$B$175</f>
        <v>16567.68</v>
      </c>
      <c r="H25" s="24" t="n">
        <f aca="false">H23*Assumptions!$B$175</f>
        <v>16567.68</v>
      </c>
      <c r="I25" s="24" t="n">
        <f aca="false">I23*Assumptions!$B$175</f>
        <v>16567.68</v>
      </c>
      <c r="J25" s="24" t="n">
        <f aca="false">J23*Assumptions!$B$175</f>
        <v>16567.68</v>
      </c>
      <c r="K25" s="24" t="n">
        <f aca="false">K23*Assumptions!$B$175</f>
        <v>16567.68</v>
      </c>
      <c r="L25" s="24" t="n">
        <f aca="false">L23*Assumptions!$B$175</f>
        <v>16567.68</v>
      </c>
      <c r="M25" s="24" t="n">
        <f aca="false">M23*Assumptions!$B$175</f>
        <v>16567.68</v>
      </c>
      <c r="N25" s="24" t="n">
        <f aca="false">N23*Assumptions!$B$175</f>
        <v>16567.68</v>
      </c>
      <c r="O25" s="24" t="n">
        <f aca="false">O23*Assumptions!$B$175</f>
        <v>16567.68</v>
      </c>
      <c r="P25" s="24" t="n">
        <f aca="false">P23*Assumptions!$B$175</f>
        <v>16567.68</v>
      </c>
      <c r="Q25" s="3"/>
      <c r="R25" s="53" t="s">
        <v>960</v>
      </c>
    </row>
    <row r="26" customFormat="false" ht="15" hidden="false" customHeight="false" outlineLevel="0" collapsed="false">
      <c r="A26" s="43" t="s">
        <v>961</v>
      </c>
      <c r="B26" s="44"/>
      <c r="C26" s="44"/>
      <c r="D26" s="44"/>
      <c r="E26" s="44"/>
      <c r="F26" s="44"/>
      <c r="G26" s="44"/>
      <c r="H26" s="44"/>
      <c r="I26" s="44"/>
      <c r="J26" s="44"/>
      <c r="K26" s="44"/>
      <c r="L26" s="44"/>
      <c r="M26" s="44"/>
      <c r="N26" s="44"/>
      <c r="O26" s="44"/>
      <c r="P26" s="44"/>
      <c r="Q26" s="3"/>
      <c r="R26" s="44"/>
    </row>
    <row r="27" customFormat="false" ht="22.35" hidden="false" customHeight="false" outlineLevel="0" collapsed="false">
      <c r="A27" s="20" t="s">
        <v>962</v>
      </c>
      <c r="B27" s="17" t="n">
        <f aca="false">Assumptions!$B$177*'Long range 15-yr'!B36/'Long range 15-yr'!B36</f>
        <v>250000</v>
      </c>
      <c r="C27" s="17" t="n">
        <f aca="false">Assumptions!$B$177*'Long range 15-yr'!C36/'Long range 15-yr'!B36</f>
        <v>255041.323930713</v>
      </c>
      <c r="D27" s="17" t="n">
        <f aca="false">Assumptions!$B$177*'Long range 15-yr'!D36/'Long range 15-yr'!B36</f>
        <v>331844.722205378</v>
      </c>
      <c r="E27" s="17" t="n">
        <f aca="false">Assumptions!$B$177*'Long range 15-yr'!E36/'Long range 15-yr'!B36</f>
        <v>480276.484459432</v>
      </c>
      <c r="F27" s="17" t="n">
        <f aca="false">Assumptions!$B$177*'Long range 15-yr'!F36/'Long range 15-yr'!B36</f>
        <v>571291.263029721</v>
      </c>
      <c r="G27" s="17" t="n">
        <f aca="false">Assumptions!$B$177*'Long range 15-yr'!G36/'Long range 15-yr'!B36</f>
        <v>668068.362868125</v>
      </c>
      <c r="H27" s="17" t="n">
        <f aca="false">Assumptions!$B$177*'Long range 15-yr'!H36/'Long range 15-yr'!B36</f>
        <v>770833.164940388</v>
      </c>
      <c r="I27" s="17" t="n">
        <f aca="false">Assumptions!$B$177*'Long range 15-yr'!I36/'Long range 15-yr'!B36</f>
        <v>879821.40149956</v>
      </c>
      <c r="J27" s="17" t="n">
        <f aca="false">Assumptions!$B$177*'Long range 15-yr'!J36/'Long range 15-yr'!B36</f>
        <v>995279.468759598</v>
      </c>
      <c r="K27" s="17" t="n">
        <f aca="false">Assumptions!$B$177*'Long range 15-yr'!K36/'Long range 15-yr'!B36</f>
        <v>1117464.75454461</v>
      </c>
      <c r="L27" s="17" t="n">
        <f aca="false">Assumptions!$B$177*'Long range 15-yr'!L36/'Long range 15-yr'!B36</f>
        <v>1246645.98124102</v>
      </c>
      <c r="M27" s="17" t="n">
        <f aca="false">Assumptions!$B$177*'Long range 15-yr'!M36/'Long range 15-yr'!B36</f>
        <v>1383103.56440131</v>
      </c>
      <c r="N27" s="17" t="n">
        <f aca="false">Assumptions!$B$177*'Long range 15-yr'!N36/'Long range 15-yr'!B36</f>
        <v>1527129.98736949</v>
      </c>
      <c r="O27" s="17" t="n">
        <f aca="false">Assumptions!$B$177*'Long range 15-yr'!O36/'Long range 15-yr'!B36</f>
        <v>1589920.13689235</v>
      </c>
      <c r="P27" s="17" t="n">
        <f aca="false">Assumptions!$B$177*'Long range 15-yr'!P36/'Long range 15-yr'!B36</f>
        <v>1653704.43540605</v>
      </c>
      <c r="Q27" s="3"/>
      <c r="R27" s="53" t="s">
        <v>963</v>
      </c>
    </row>
    <row r="28" customFormat="false" ht="32.8" hidden="false" customHeight="false" outlineLevel="0" collapsed="false">
      <c r="A28" s="18" t="s">
        <v>964</v>
      </c>
      <c r="B28" s="24" t="n">
        <f aca="false">B27*Assumptions!$B$178</f>
        <v>5000</v>
      </c>
      <c r="C28" s="24" t="n">
        <f aca="false">C27*Assumptions!$B$178</f>
        <v>5100.82647861425</v>
      </c>
      <c r="D28" s="24" t="n">
        <f aca="false">D27*Assumptions!$B$178</f>
        <v>6636.89444410755</v>
      </c>
      <c r="E28" s="24" t="n">
        <f aca="false">E27*Assumptions!$B$178</f>
        <v>9605.52968918865</v>
      </c>
      <c r="F28" s="24" t="n">
        <f aca="false">F27*Assumptions!$B$178</f>
        <v>11425.8252605944</v>
      </c>
      <c r="G28" s="24" t="n">
        <f aca="false">G27*Assumptions!$B$178</f>
        <v>13361.3672573625</v>
      </c>
      <c r="H28" s="24" t="n">
        <f aca="false">H27*Assumptions!$B$178</f>
        <v>15416.6632988078</v>
      </c>
      <c r="I28" s="24" t="n">
        <f aca="false">I27*Assumptions!$B$178</f>
        <v>17596.4280299912</v>
      </c>
      <c r="J28" s="24" t="n">
        <f aca="false">J27*Assumptions!$B$178</f>
        <v>19905.589375192</v>
      </c>
      <c r="K28" s="24" t="n">
        <f aca="false">K27*Assumptions!$B$178</f>
        <v>22349.2950908922</v>
      </c>
      <c r="L28" s="24" t="n">
        <f aca="false">L27*Assumptions!$B$178</f>
        <v>24932.9196248204</v>
      </c>
      <c r="M28" s="24" t="n">
        <f aca="false">M27*Assumptions!$B$178</f>
        <v>27662.0712880262</v>
      </c>
      <c r="N28" s="24" t="n">
        <f aca="false">N27*Assumptions!$B$178</f>
        <v>30542.5997473899</v>
      </c>
      <c r="O28" s="24" t="n">
        <f aca="false">O27*Assumptions!$B$178</f>
        <v>31798.4027378471</v>
      </c>
      <c r="P28" s="24" t="n">
        <f aca="false">P27*Assumptions!$B$178</f>
        <v>33074.0887081209</v>
      </c>
      <c r="Q28" s="3"/>
      <c r="R28" s="53" t="s">
        <v>965</v>
      </c>
    </row>
    <row r="29" customFormat="false" ht="15" hidden="false" customHeight="false" outlineLevel="0" collapsed="false">
      <c r="A29" s="18" t="s">
        <v>966</v>
      </c>
      <c r="B29" s="24" t="n">
        <f aca="false">B25+B28</f>
        <v>21567.68</v>
      </c>
      <c r="C29" s="24" t="n">
        <f aca="false">C25+C28</f>
        <v>21668.5064786143</v>
      </c>
      <c r="D29" s="24" t="n">
        <f aca="false">D25+D28</f>
        <v>23204.5744441076</v>
      </c>
      <c r="E29" s="24" t="n">
        <f aca="false">E25+E28</f>
        <v>26173.2096891886</v>
      </c>
      <c r="F29" s="24" t="n">
        <f aca="false">F25+F28</f>
        <v>27993.5052605944</v>
      </c>
      <c r="G29" s="24" t="n">
        <f aca="false">G25+G28</f>
        <v>29929.0472573625</v>
      </c>
      <c r="H29" s="24" t="n">
        <f aca="false">H25+H28</f>
        <v>31984.3432988078</v>
      </c>
      <c r="I29" s="24" t="n">
        <f aca="false">I25+I28</f>
        <v>34164.1080299912</v>
      </c>
      <c r="J29" s="24" t="n">
        <f aca="false">J25+J28</f>
        <v>36473.269375192</v>
      </c>
      <c r="K29" s="24" t="n">
        <f aca="false">K25+K28</f>
        <v>38916.9750908922</v>
      </c>
      <c r="L29" s="24" t="n">
        <f aca="false">L25+L28</f>
        <v>41500.5996248204</v>
      </c>
      <c r="M29" s="24" t="n">
        <f aca="false">M25+M28</f>
        <v>44229.7512880262</v>
      </c>
      <c r="N29" s="24" t="n">
        <f aca="false">N25+N28</f>
        <v>47110.2797473899</v>
      </c>
      <c r="O29" s="24" t="n">
        <f aca="false">O25+O28</f>
        <v>48366.0827378471</v>
      </c>
      <c r="P29" s="24" t="n">
        <f aca="false">P25+P28</f>
        <v>49641.7687081209</v>
      </c>
      <c r="Q29" s="3"/>
      <c r="R29" s="3"/>
    </row>
    <row r="30" customFormat="false" ht="15" hidden="false" customHeight="false" outlineLevel="0" collapsed="false">
      <c r="A30" s="3"/>
      <c r="B30" s="3"/>
      <c r="C30" s="3"/>
      <c r="D30" s="3"/>
      <c r="E30" s="3"/>
      <c r="F30" s="3"/>
      <c r="G30" s="3"/>
      <c r="H30" s="3"/>
      <c r="I30" s="3"/>
      <c r="J30" s="3"/>
      <c r="K30" s="3"/>
      <c r="L30" s="3"/>
      <c r="M30" s="3"/>
      <c r="N30" s="3"/>
      <c r="O30" s="3"/>
      <c r="P30" s="3"/>
      <c r="Q30" s="3"/>
      <c r="R30" s="3"/>
    </row>
    <row r="31" customFormat="false" ht="99.75" hidden="false" customHeight="true" outlineLevel="0" collapsed="false">
      <c r="A31" s="33" t="s">
        <v>967</v>
      </c>
      <c r="B31" s="33"/>
      <c r="C31" s="33"/>
      <c r="D31" s="33"/>
      <c r="E31" s="33"/>
      <c r="F31" s="33"/>
      <c r="G31" s="33"/>
      <c r="H31" s="33"/>
      <c r="I31" s="33"/>
      <c r="J31" s="33"/>
      <c r="K31" s="33"/>
      <c r="L31" s="33"/>
      <c r="M31" s="33"/>
      <c r="N31" s="33"/>
      <c r="O31" s="33"/>
      <c r="P31" s="33"/>
      <c r="Q31" s="33"/>
      <c r="R31" s="33"/>
    </row>
    <row r="32" customFormat="false" ht="109.5" hidden="false" customHeight="true" outlineLevel="0" collapsed="false">
      <c r="A32" s="33" t="s">
        <v>968</v>
      </c>
      <c r="B32" s="33"/>
      <c r="C32" s="33"/>
      <c r="D32" s="33"/>
      <c r="E32" s="33"/>
      <c r="F32" s="33"/>
      <c r="G32" s="33"/>
      <c r="H32" s="33"/>
      <c r="I32" s="33"/>
      <c r="J32" s="33"/>
      <c r="K32" s="33"/>
      <c r="L32" s="33"/>
      <c r="M32" s="33"/>
      <c r="N32" s="33"/>
      <c r="O32" s="33"/>
      <c r="P32" s="33"/>
      <c r="Q32" s="33"/>
      <c r="R32" s="33"/>
    </row>
  </sheetData>
  <sheetProtection sheet="true" password="ef11" formatCells="false" formatColumns="false" formatRows="false"/>
  <mergeCells count="2">
    <mergeCell ref="A31:R31"/>
    <mergeCell ref="A32:R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90"/>
  </cols>
  <sheetData>
    <row r="1" customFormat="false" ht="17.35" hidden="false" customHeight="false" outlineLevel="0" collapsed="false">
      <c r="A1" s="2" t="s">
        <v>969</v>
      </c>
      <c r="B1" s="3"/>
    </row>
    <row r="2" customFormat="false" ht="15" hidden="false" customHeight="false" outlineLevel="0" collapsed="false">
      <c r="A2" s="3"/>
      <c r="B2" s="3"/>
    </row>
    <row r="3" customFormat="false" ht="64.9" hidden="false" customHeight="false" outlineLevel="0" collapsed="false">
      <c r="A3" s="67" t="s">
        <v>970</v>
      </c>
      <c r="B3" s="68" t="s">
        <v>971</v>
      </c>
    </row>
    <row r="4" customFormat="false" ht="26.85" hidden="false" customHeight="false" outlineLevel="0" collapsed="false">
      <c r="A4" s="67" t="s">
        <v>972</v>
      </c>
      <c r="B4" s="68" t="s">
        <v>973</v>
      </c>
    </row>
    <row r="5" customFormat="false" ht="15" hidden="false" customHeight="false" outlineLevel="0" collapsed="false">
      <c r="A5" s="67" t="s">
        <v>974</v>
      </c>
      <c r="B5" s="68" t="s">
        <v>975</v>
      </c>
    </row>
    <row r="6" customFormat="false" ht="26.85" hidden="false" customHeight="false" outlineLevel="0" collapsed="false">
      <c r="A6" s="67" t="s">
        <v>976</v>
      </c>
      <c r="B6" s="68" t="s">
        <v>977</v>
      </c>
    </row>
    <row r="7" customFormat="false" ht="39.55" hidden="false" customHeight="false" outlineLevel="0" collapsed="false">
      <c r="A7" s="67" t="s">
        <v>978</v>
      </c>
      <c r="B7" s="68" t="s">
        <v>979</v>
      </c>
    </row>
    <row r="8" customFormat="false" ht="39.55" hidden="false" customHeight="false" outlineLevel="0" collapsed="false">
      <c r="A8" s="67" t="s">
        <v>980</v>
      </c>
      <c r="B8" s="68" t="s">
        <v>981</v>
      </c>
    </row>
    <row r="9" customFormat="false" ht="39.55" hidden="false" customHeight="false" outlineLevel="0" collapsed="false">
      <c r="A9" s="67" t="s">
        <v>982</v>
      </c>
      <c r="B9" s="68" t="s">
        <v>983</v>
      </c>
    </row>
    <row r="10" customFormat="false" ht="26.85" hidden="false" customHeight="false" outlineLevel="0" collapsed="false">
      <c r="A10" s="67" t="s">
        <v>984</v>
      </c>
      <c r="B10" s="68" t="s">
        <v>985</v>
      </c>
    </row>
    <row r="11" customFormat="false" ht="39.55" hidden="false" customHeight="false" outlineLevel="0" collapsed="false">
      <c r="A11" s="67" t="s">
        <v>986</v>
      </c>
      <c r="B11" s="68" t="s">
        <v>987</v>
      </c>
    </row>
    <row r="12" customFormat="false" ht="26.85" hidden="false" customHeight="false" outlineLevel="0" collapsed="false">
      <c r="A12" s="67" t="s">
        <v>988</v>
      </c>
      <c r="B12" s="68" t="s">
        <v>989</v>
      </c>
    </row>
    <row r="13" customFormat="false" ht="26.85" hidden="false" customHeight="false" outlineLevel="0" collapsed="false">
      <c r="A13" s="67" t="s">
        <v>990</v>
      </c>
      <c r="B13" s="68" t="s">
        <v>991</v>
      </c>
    </row>
    <row r="14" customFormat="false" ht="26.85" hidden="false" customHeight="false" outlineLevel="0" collapsed="false">
      <c r="A14" s="67" t="s">
        <v>992</v>
      </c>
      <c r="B14" s="68" t="s">
        <v>993</v>
      </c>
    </row>
    <row r="15" customFormat="false" ht="39.55" hidden="false" customHeight="false" outlineLevel="0" collapsed="false">
      <c r="A15" s="67" t="s">
        <v>994</v>
      </c>
      <c r="B15" s="68" t="s">
        <v>995</v>
      </c>
    </row>
    <row r="16" customFormat="false" ht="52.2" hidden="false" customHeight="false" outlineLevel="0" collapsed="false">
      <c r="A16" s="67" t="s">
        <v>996</v>
      </c>
      <c r="B16" s="68" t="s">
        <v>997</v>
      </c>
    </row>
    <row r="17" customFormat="false" ht="52.2" hidden="false" customHeight="false" outlineLevel="0" collapsed="false">
      <c r="A17" s="67" t="s">
        <v>998</v>
      </c>
      <c r="B17" s="68" t="s">
        <v>999</v>
      </c>
    </row>
    <row r="18" customFormat="false" ht="102.95" hidden="false" customHeight="false" outlineLevel="0" collapsed="false">
      <c r="A18" s="67" t="s">
        <v>1000</v>
      </c>
      <c r="B18" s="68" t="s">
        <v>1001</v>
      </c>
    </row>
    <row r="19" customFormat="false" ht="90.25" hidden="false" customHeight="false" outlineLevel="0" collapsed="false">
      <c r="A19" s="67" t="s">
        <v>1002</v>
      </c>
      <c r="B19" s="68" t="s">
        <v>1003</v>
      </c>
    </row>
    <row r="20" customFormat="false" ht="52.2" hidden="false" customHeight="false" outlineLevel="0" collapsed="false">
      <c r="A20" s="67" t="s">
        <v>1004</v>
      </c>
      <c r="B20" s="68" t="s">
        <v>1005</v>
      </c>
    </row>
    <row r="21" customFormat="false" ht="52.2" hidden="false" customHeight="false" outlineLevel="0" collapsed="false">
      <c r="A21" s="67" t="s">
        <v>1006</v>
      </c>
      <c r="B21" s="68" t="s">
        <v>1007</v>
      </c>
    </row>
    <row r="22" customFormat="false" ht="52.2" hidden="false" customHeight="false" outlineLevel="0" collapsed="false">
      <c r="A22" s="67" t="s">
        <v>1008</v>
      </c>
      <c r="B22" s="68" t="s">
        <v>1009</v>
      </c>
    </row>
    <row r="23" customFormat="false" ht="102.95" hidden="false" customHeight="false" outlineLevel="0" collapsed="false">
      <c r="A23" s="67" t="s">
        <v>1010</v>
      </c>
      <c r="B23" s="68" t="s">
        <v>1011</v>
      </c>
    </row>
    <row r="24" customFormat="false" ht="64.9" hidden="false" customHeight="false" outlineLevel="0" collapsed="false">
      <c r="A24" s="67" t="s">
        <v>1012</v>
      </c>
      <c r="B24" s="68" t="s">
        <v>1013</v>
      </c>
    </row>
    <row r="25" customFormat="false" ht="64.9" hidden="false" customHeight="false" outlineLevel="0" collapsed="false">
      <c r="A25" s="67" t="s">
        <v>1014</v>
      </c>
      <c r="B25" s="68" t="s">
        <v>1015</v>
      </c>
    </row>
    <row r="26" customFormat="false" ht="102.95" hidden="false" customHeight="false" outlineLevel="0" collapsed="false">
      <c r="A26" s="67" t="s">
        <v>1016</v>
      </c>
      <c r="B26" s="68" t="s">
        <v>1017</v>
      </c>
    </row>
    <row r="27" customFormat="false" ht="64.9" hidden="false" customHeight="false" outlineLevel="0" collapsed="false">
      <c r="A27" s="67" t="s">
        <v>1018</v>
      </c>
      <c r="B27" s="68" t="s">
        <v>1019</v>
      </c>
    </row>
    <row r="28" customFormat="false" ht="102.95" hidden="false" customHeight="false" outlineLevel="0" collapsed="false">
      <c r="A28" s="67" t="s">
        <v>1020</v>
      </c>
      <c r="B28" s="68" t="s">
        <v>1021</v>
      </c>
    </row>
    <row r="29" customFormat="false" ht="39.55" hidden="false" customHeight="false" outlineLevel="0" collapsed="false">
      <c r="A29" s="67" t="s">
        <v>1022</v>
      </c>
      <c r="B29" s="68" t="s">
        <v>1023</v>
      </c>
    </row>
    <row r="30" customFormat="false" ht="64.9" hidden="false" customHeight="false" outlineLevel="0" collapsed="false">
      <c r="A30" s="67" t="s">
        <v>1024</v>
      </c>
      <c r="B30" s="68" t="s">
        <v>1025</v>
      </c>
    </row>
    <row r="31" customFormat="false" ht="64.9" hidden="false" customHeight="false" outlineLevel="0" collapsed="false">
      <c r="A31" s="67" t="s">
        <v>1026</v>
      </c>
      <c r="B31" s="68" t="s">
        <v>1027</v>
      </c>
    </row>
    <row r="32" customFormat="false" ht="77.6" hidden="false" customHeight="false" outlineLevel="0" collapsed="false">
      <c r="A32" s="67" t="s">
        <v>1028</v>
      </c>
      <c r="B32" s="68" t="s">
        <v>1029</v>
      </c>
    </row>
    <row r="33" customFormat="false" ht="39.55" hidden="false" customHeight="false" outlineLevel="0" collapsed="false">
      <c r="A33" s="67" t="s">
        <v>1030</v>
      </c>
      <c r="B33" s="68" t="s">
        <v>1031</v>
      </c>
    </row>
    <row r="34" customFormat="false" ht="90.25" hidden="false" customHeight="false" outlineLevel="0" collapsed="false">
      <c r="A34" s="67" t="s">
        <v>1032</v>
      </c>
      <c r="B34" s="68" t="s">
        <v>1033</v>
      </c>
    </row>
    <row r="35" customFormat="false" ht="64.9" hidden="false" customHeight="false" outlineLevel="0" collapsed="false">
      <c r="A35" s="67" t="s">
        <v>1034</v>
      </c>
      <c r="B35" s="68" t="s">
        <v>1035</v>
      </c>
    </row>
    <row r="36" customFormat="false" ht="64.9" hidden="false" customHeight="false" outlineLevel="0" collapsed="false">
      <c r="A36" s="67" t="s">
        <v>1036</v>
      </c>
      <c r="B36" s="68" t="s">
        <v>1037</v>
      </c>
    </row>
    <row r="37" customFormat="false" ht="77.6" hidden="false" customHeight="false" outlineLevel="0" collapsed="false">
      <c r="A37" s="67" t="s">
        <v>1038</v>
      </c>
      <c r="B37" s="68" t="s">
        <v>1039</v>
      </c>
    </row>
    <row r="38" customFormat="false" ht="102.95" hidden="false" customHeight="false" outlineLevel="0" collapsed="false">
      <c r="A38" s="67" t="s">
        <v>1040</v>
      </c>
      <c r="B38" s="68" t="s">
        <v>1041</v>
      </c>
    </row>
    <row r="39" customFormat="false" ht="77.6" hidden="false" customHeight="false" outlineLevel="0" collapsed="false">
      <c r="A39" s="67" t="s">
        <v>1042</v>
      </c>
      <c r="B39" s="68" t="s">
        <v>1043</v>
      </c>
    </row>
    <row r="40" customFormat="false" ht="64.9" hidden="false" customHeight="false" outlineLevel="0" collapsed="false">
      <c r="A40" s="67" t="s">
        <v>1044</v>
      </c>
      <c r="B40" s="68" t="s">
        <v>1045</v>
      </c>
    </row>
    <row r="41" customFormat="false" ht="90.25" hidden="false" customHeight="false" outlineLevel="0" collapsed="false">
      <c r="A41" s="67" t="s">
        <v>1046</v>
      </c>
      <c r="B41" s="68" t="s">
        <v>1047</v>
      </c>
    </row>
    <row r="42" customFormat="false" ht="77.6" hidden="false" customHeight="false" outlineLevel="0" collapsed="false">
      <c r="A42" s="67" t="s">
        <v>1048</v>
      </c>
      <c r="B42" s="68" t="s">
        <v>1049</v>
      </c>
    </row>
    <row r="43" customFormat="false" ht="90.25" hidden="false" customHeight="false" outlineLevel="0" collapsed="false">
      <c r="A43" s="67" t="s">
        <v>1050</v>
      </c>
      <c r="B43" s="68" t="s">
        <v>1051</v>
      </c>
    </row>
    <row r="44" customFormat="false" ht="90.25" hidden="false" customHeight="false" outlineLevel="0" collapsed="false">
      <c r="A44" s="67" t="s">
        <v>1052</v>
      </c>
      <c r="B44" s="68" t="s">
        <v>1053</v>
      </c>
    </row>
    <row r="45" customFormat="false" ht="102.95" hidden="false" customHeight="false" outlineLevel="0" collapsed="false">
      <c r="A45" s="67" t="s">
        <v>1054</v>
      </c>
      <c r="B45" s="68" t="s">
        <v>1055</v>
      </c>
    </row>
    <row r="46" customFormat="false" ht="77.6" hidden="false" customHeight="false" outlineLevel="0" collapsed="false">
      <c r="A46" s="67" t="s">
        <v>1056</v>
      </c>
      <c r="B46" s="68" t="s">
        <v>1057</v>
      </c>
    </row>
    <row r="47" customFormat="false" ht="77.6" hidden="false" customHeight="false" outlineLevel="0" collapsed="false">
      <c r="A47" s="67" t="s">
        <v>1058</v>
      </c>
      <c r="B47" s="68" t="s">
        <v>1059</v>
      </c>
    </row>
    <row r="48" customFormat="false" ht="64.9" hidden="false" customHeight="false" outlineLevel="0" collapsed="false">
      <c r="A48" s="67" t="s">
        <v>1060</v>
      </c>
      <c r="B48" s="68" t="s">
        <v>1061</v>
      </c>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2026-09-17T04:45:09Z</dcterms:created>
  <dc:creator>openpyxl</dc:creator>
  <dc:description/>
  <dc:language>en-US</dc:language>
  <cp:lastModifiedBy/>
  <dcterms:modified xsi:type="dcterms:W3CDTF">2026-09-17T04:45:09Z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