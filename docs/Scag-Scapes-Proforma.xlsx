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Proforma 24 mo" sheetId="2" state="visible" r:id="rId4"/>
    <sheet name="Unit economics" sheetId="3" state="visible" r:id="rId5"/>
    <sheet name="Scenarios" sheetId="4" state="visible" r:id="rId6"/>
    <sheet name="Equipment plan" sheetId="5" state="visible" r:id="rId7"/>
    <sheet name="Sources &amp; not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<sst xmlns="http://schemas.openxmlformats.org/spreadsheetml/2006/main" count="294" uniqueCount="291">
  <si>
    <t xml:space="preserve">Scag Scapes LLC - Growth Proforma - Assumptions</t>
  </si>
  <si>
    <t xml:space="preserve">Blue = input you can change. Yellow = key lever. Black = formula. Every number is either from Charlie (marked) or a cited source (Sources tab).</t>
  </si>
  <si>
    <t xml:space="preserve">OPERATIONS</t>
  </si>
  <si>
    <t xml:space="preserve">Average price per linear foot ($/LF)</t>
  </si>
  <si>
    <t xml:space="preserve">Charlie publishes $25-60/LF; $42 blended is the model default (Angi 2026 yard drains $20-30/LF; Charlie sells engineering + warranty). Move it.</t>
  </si>
  <si>
    <t xml:space="preserve">Crew 1 - LF installed per month, month 1</t>
  </si>
  <si>
    <t xml:space="preserve">Charlie: a 3-man crew should do 800-1,000 LF/month. Model ramps from 650 to the target.</t>
  </si>
  <si>
    <t xml:space="preserve">Crew 1 - LF target per month (reached by month 6)</t>
  </si>
  <si>
    <t xml:space="preserve">Charlie's stated goal (800-1,000).</t>
  </si>
  <si>
    <t xml:space="preserve">Crew 2 - start month (1-24)</t>
  </si>
  <si>
    <t xml:space="preserve">Second crew starts when Crew 1 has run 3 months at target and backlog &gt; 4 weeks. Change to test.</t>
  </si>
  <si>
    <t xml:space="preserve">Crew 2 - LF per month, first month</t>
  </si>
  <si>
    <t xml:space="preserve">New crew ramps over 4 months to the target.</t>
  </si>
  <si>
    <t xml:space="preserve">Crew 2 - LF target per month</t>
  </si>
  <si>
    <t xml:space="preserve">Same productivity as Crew 1 once trained.</t>
  </si>
  <si>
    <t xml:space="preserve">Average job size (LF)</t>
  </si>
  <si>
    <t xml:space="preserve">Demo average; a 100 LF job at $42/LF = $4,200.</t>
  </si>
  <si>
    <t xml:space="preserve">Backlog customers will wait (months of capacity) - demand beyond this is lost</t>
  </si>
  <si>
    <t xml:space="preserve">A homeowner in a wet yard will wait about a month; past that they call the next company.</t>
  </si>
  <si>
    <t xml:space="preserve">COST STRUCTURE (share of install revenue)</t>
  </si>
  <si>
    <t xml:space="preserve">Direct labor % of revenue</t>
  </si>
  <si>
    <t xml:space="preserve">Charlie: labor is roughly 32% of project cost. 3 crew at $20-25/hr.</t>
  </si>
  <si>
    <t xml:space="preserve">Materials + fuel % of revenue</t>
  </si>
  <si>
    <t xml:space="preserve">Charlie: materials and gas roughly 20%.</t>
  </si>
  <si>
    <t xml:space="preserve">Crew wage - average $/hr</t>
  </si>
  <si>
    <t xml:space="preserve">Charlie pays $20-25/hr.</t>
  </si>
  <si>
    <t xml:space="preserve">Payroll burden % (taxes, WC, insurance)</t>
  </si>
  <si>
    <t xml:space="preserve">Louisiana small-contractor burden estimate; adjust to actual WC rate.</t>
  </si>
  <si>
    <t xml:space="preserve">Crew size (people)</t>
  </si>
  <si>
    <t xml:space="preserve">Charlie.</t>
  </si>
  <si>
    <t xml:space="preserve">Paid hours per crew member per month</t>
  </si>
  <si>
    <t xml:space="preserve">40 h/wk x 52 / 12.</t>
  </si>
  <si>
    <t xml:space="preserve">MAINTENANCE PLAN - 'DRAIN CHECK' (water-jet clean + flow test)</t>
  </si>
  <si>
    <t xml:space="preserve">Plan price per visit ($)</t>
  </si>
  <si>
    <t xml:space="preserve">Angi 2026: hydro jetting $350-600 national average $475; priced under market because the crew knows the system it built.</t>
  </si>
  <si>
    <t xml:space="preserve">Visit frequency (years between visits)</t>
  </si>
  <si>
    <t xml:space="preserve">Charlie: yearly or every 2 years. 1 = annual.</t>
  </si>
  <si>
    <t xml:space="preserve">Attach rate on new installs (% of installs that buy the plan)</t>
  </si>
  <si>
    <t xml:space="preserve">Assumption: offered on every quote and at the warranty walk.</t>
  </si>
  <si>
    <t xml:space="preserve">Existing customers to offer the plan to (count)</t>
  </si>
  <si>
    <t xml:space="preserve">Charlie to confirm; past installs are the first list.</t>
  </si>
  <si>
    <t xml:space="preserve">Existing-customer conversion in year 1</t>
  </si>
  <si>
    <t xml:space="preserve">Assumption; one text + one warranty-walk offer.</t>
  </si>
  <si>
    <t xml:space="preserve">Plan start month</t>
  </si>
  <si>
    <t xml:space="preserve">Jetter already owned; needs a script, a price and a text template.</t>
  </si>
  <si>
    <t xml:space="preserve">Cost per maintenance visit ($) - 1 tech, 2 hrs, fuel, water</t>
  </si>
  <si>
    <t xml:space="preserve">1 person x 2 h x $22.50 x 1.18 burden + $17 fuel/consumables.</t>
  </si>
  <si>
    <t xml:space="preserve">CASH TIMING</t>
  </si>
  <si>
    <t xml:space="preserve">Deposit % collected at signing</t>
  </si>
  <si>
    <t xml:space="preserve">Command sends a 30% deposit link by text at acceptance.</t>
  </si>
  <si>
    <t xml:space="preserve">Balance collected in month of completion (%)</t>
  </si>
  <si>
    <t xml:space="preserve">Remainder collected in the following month (slow payers).</t>
  </si>
  <si>
    <t xml:space="preserve">Materials paid in month of install (%)</t>
  </si>
  <si>
    <t xml:space="preserve">Supplier terms: assume paid same month (no net-30).</t>
  </si>
  <si>
    <t xml:space="preserve">Opening cash ($)</t>
  </si>
  <si>
    <t xml:space="preserve">Charlie to fill in.</t>
  </si>
  <si>
    <t xml:space="preserve">MARKETING &amp; LEADS</t>
  </si>
  <si>
    <t xml:space="preserve">Google Local Services Ads - monthly budget ($)</t>
  </si>
  <si>
    <t xml:space="preserve">Starts month 1. Drain/sewer LSA CPL $59, book rate 39.5% (SearchLight, Feb 2026).</t>
  </si>
  <si>
    <t xml:space="preserve">Google LSA - cost per lead ($)</t>
  </si>
  <si>
    <t xml:space="preserve">SearchLight Feb 2026, drain/sewer category.</t>
  </si>
  <si>
    <t xml:space="preserve">Google LSA - leads that become an estimate visit</t>
  </si>
  <si>
    <t xml:space="preserve">LSA book rate is 39.5% industry-wide (SearchLight); with 60-second text-back we assume half of leads book a visit.</t>
  </si>
  <si>
    <t xml:space="preserve">Facebook + Instagram - monthly budget ($)</t>
  </si>
  <si>
    <t xml:space="preserve">Starts month 2. Meta home-services CPL ~$34; landscaping $45-80 (AdAmigo 2026 via Valley Marketing).</t>
  </si>
  <si>
    <t xml:space="preserve">Meta - cost per lead ($)</t>
  </si>
  <si>
    <t xml:space="preserve">Middle of the landscaping range.</t>
  </si>
  <si>
    <t xml:space="preserve">Meta - leads that become an estimate visit</t>
  </si>
  <si>
    <t xml:space="preserve">Lower intent than search; instant text-back is what gets them to book.</t>
  </si>
  <si>
    <t xml:space="preserve">Organic / referral / review leads per month (month 1)</t>
  </si>
  <si>
    <t xml:space="preserve">Charlie's current inbound. Grows with reviews and the referral ask.</t>
  </si>
  <si>
    <t xml:space="preserve">Organic lead growth per month (%)</t>
  </si>
  <si>
    <t xml:space="preserve">Review flywheel + parish pages + Facebook organic.</t>
  </si>
  <si>
    <t xml:space="preserve">Organic / referral - leads that become an estimate visit</t>
  </si>
  <si>
    <t xml:space="preserve">Warm leads book easily.</t>
  </si>
  <si>
    <t xml:space="preserve">CLOSE RATE - Charlie's number</t>
  </si>
  <si>
    <t xml:space="preserve">Close rate on estimates run (quote -&gt; sold job)</t>
  </si>
  <si>
    <t xml:space="preserve">Charlie: about 7 of 10 quoted jobs sell. Change this one cell and every channel, the proforma and the scenarios move.</t>
  </si>
  <si>
    <t xml:space="preserve">Marketing budget multiplier once Crew 2 starts</t>
  </si>
  <si>
    <t xml:space="preserve">Two crews need ~2x the leads; LSA and Meta budgets scale by this from Crew 2's start month.</t>
  </si>
  <si>
    <t xml:space="preserve">Content, reviews, GBP, website - monthly ($)</t>
  </si>
  <si>
    <t xml:space="preserve">Photo/video posts, review management, parish pages.</t>
  </si>
  <si>
    <t xml:space="preserve">OVERHEAD (monthly)</t>
  </si>
  <si>
    <t xml:space="preserve">Owner draw ($)</t>
  </si>
  <si>
    <t xml:space="preserve">Charlie to set.</t>
  </si>
  <si>
    <t xml:space="preserve">Insurance - GL, auto, equipment ($)</t>
  </si>
  <si>
    <t xml:space="preserve">Estimate; use actual policy.</t>
  </si>
  <si>
    <t xml:space="preserve">Existing truck / equipment payments ($)</t>
  </si>
  <si>
    <t xml:space="preserve">Software, hosting, phone, Twilio, Stripe fees ($)</t>
  </si>
  <si>
    <t xml:space="preserve">Command hosting $199 + Twilio/Stripe usage.</t>
  </si>
  <si>
    <t xml:space="preserve">Bookkeeping / CPA ($)</t>
  </si>
  <si>
    <t xml:space="preserve">Estimate.</t>
  </si>
  <si>
    <t xml:space="preserve">Shop, fuel for estimates, tools, misc ($)</t>
  </si>
  <si>
    <t xml:space="preserve">Growth &amp; operations lead - Ned (monthly, TBD)</t>
  </si>
  <si>
    <t xml:space="preserve">Left at $0 on purpose - terms to be agreed. Enter a number to see the effect.</t>
  </si>
  <si>
    <t xml:space="preserve">CREW 2 EQUIPMENT - rent first, then own (Crew 1 already owns its trailer, skid steer and mini excavator)</t>
  </si>
  <si>
    <t xml:space="preserve">Mini excavator (3.5-4 ton, used) - purchase price ($)</t>
  </si>
  <si>
    <t xml:space="preserve">Used KX040 / 26G class. Crew 1's is owned; Crew 2 needs its own.</t>
  </si>
  <si>
    <t xml:space="preserve">Mini excavator - rental per month ($)</t>
  </si>
  <si>
    <t xml:space="preserve">Home Depot 4-week rate ~$1,700-2,000 (live in the app); Sunbelt/United quote-only.</t>
  </si>
  <si>
    <t xml:space="preserve">Mini excavator - months rented before buying</t>
  </si>
  <si>
    <t xml:space="preserve">Rent while Crew 2 proves itself; buy after it hits target twice. 0 = buy at start.</t>
  </si>
  <si>
    <t xml:space="preserve">Skid steer / CTL (used) - purchase price ($)</t>
  </si>
  <si>
    <t xml:space="preserve">Used T66 / 259D class.</t>
  </si>
  <si>
    <t xml:space="preserve">Skid steer - rental per month ($)</t>
  </si>
  <si>
    <t xml:space="preserve">Chain 4-week rate (rate card, CALL_TO_CONFIRM).</t>
  </si>
  <si>
    <t xml:space="preserve">Skid steer - months rented before buying</t>
  </si>
  <si>
    <t xml:space="preserve">Dump trailer 7x14 (new) - purchase price ($)</t>
  </si>
  <si>
    <t xml:space="preserve">Trailers rent badly and hold value - buy at start.</t>
  </si>
  <si>
    <t xml:space="preserve">Dump trailer - rental per month ($)</t>
  </si>
  <si>
    <t xml:space="preserve">Dump trailer - months rented before buying</t>
  </si>
  <si>
    <t xml:space="preserve">0 = buy at Crew 2 start.</t>
  </si>
  <si>
    <t xml:space="preserve">Truck 3/4-ton (used) - purchase price ($)</t>
  </si>
  <si>
    <t xml:space="preserve">Truck - rental per month ($)</t>
  </si>
  <si>
    <t xml:space="preserve">Not rented.</t>
  </si>
  <si>
    <t xml:space="preserve">Truck - months rented before buying</t>
  </si>
  <si>
    <t xml:space="preserve">Hand tools, laser, compactor, PPE, phones ($)</t>
  </si>
  <si>
    <t xml:space="preserve">Bought at start.</t>
  </si>
  <si>
    <t xml:space="preserve">Tools - rental per month ($)</t>
  </si>
  <si>
    <t xml:space="preserve">Tools - months rented before buying</t>
  </si>
  <si>
    <t xml:space="preserve">% financed on purchases</t>
  </si>
  <si>
    <t xml:space="preserve">20% down on each purchase.</t>
  </si>
  <si>
    <t xml:space="preserve">Loan rate (APR)</t>
  </si>
  <si>
    <t xml:space="preserve">Equipment finance 2026 estimate.</t>
  </si>
  <si>
    <t xml:space="preserve">Loan term (months)</t>
  </si>
  <si>
    <t xml:space="preserve">Hiring + training cost for Crew 2 (one-time $)</t>
  </si>
  <si>
    <t xml:space="preserve">2 weeks of paid shadowing on Crew 1 + PPE + phones.</t>
  </si>
  <si>
    <t xml:space="preserve">Scag Scapes LLC - 24-month operating proforma ($, monthly)</t>
  </si>
  <si>
    <t xml:space="preserve">All cells are formulas driven by the Assumptions tab. Month 1 = first month of the plan.</t>
  </si>
  <si>
    <t xml:space="preserve">Month</t>
  </si>
  <si>
    <t xml:space="preserve">Year 1</t>
  </si>
  <si>
    <t xml:space="preserve">Year 2</t>
  </si>
  <si>
    <t xml:space="preserve">24-mo total</t>
  </si>
  <si>
    <t xml:space="preserve">CAPACITY (linear feet installed)</t>
  </si>
  <si>
    <t xml:space="preserve">Crew 1 - LF/month</t>
  </si>
  <si>
    <t xml:space="preserve">Crew 2 - LF/month</t>
  </si>
  <si>
    <t xml:space="preserve">Capacity - total LF/month</t>
  </si>
  <si>
    <t xml:space="preserve">DEMAND (leads and jobs)</t>
  </si>
  <si>
    <t xml:space="preserve">Leads - Google LSA</t>
  </si>
  <si>
    <t xml:space="preserve">Leads - Facebook / Instagram</t>
  </si>
  <si>
    <t xml:space="preserve">Leads - organic, referral, reviews, rain trigger</t>
  </si>
  <si>
    <t xml:space="preserve">Total leads</t>
  </si>
  <si>
    <t xml:space="preserve">Estimate visits booked (leads x booking rate by channel)</t>
  </si>
  <si>
    <t xml:space="preserve">Jobs sold (estimates x Charlie's close rate)</t>
  </si>
  <si>
    <t xml:space="preserve">LF demanded (jobs x average job LF)</t>
  </si>
  <si>
    <t xml:space="preserve">LF installed (lesser of demand + backlog, capacity)</t>
  </si>
  <si>
    <t xml:space="preserve">Backlog carried to next month (LF, capped; excess is lost demand)</t>
  </si>
  <si>
    <t xml:space="preserve">Crew utilization</t>
  </si>
  <si>
    <t xml:space="preserve">REVENUE</t>
  </si>
  <si>
    <t xml:space="preserve">Install revenue (LF installed x $/LF)</t>
  </si>
  <si>
    <t xml:space="preserve">New Drain Check plans sold (count)</t>
  </si>
  <si>
    <t xml:space="preserve">Active plans (cumulative, less 8%/yr churn)</t>
  </si>
  <si>
    <t xml:space="preserve">Maintenance revenue (visits billed this month)</t>
  </si>
  <si>
    <t xml:space="preserve">TOTAL REVENUE</t>
  </si>
  <si>
    <t xml:space="preserve">DIRECT COSTS</t>
  </si>
  <si>
    <t xml:space="preserve">Crew labor (32% of install revenue)</t>
  </si>
  <si>
    <t xml:space="preserve">Materials + fuel (20% of install revenue)</t>
  </si>
  <si>
    <t xml:space="preserve">Maintenance visit cost</t>
  </si>
  <si>
    <t xml:space="preserve">Total direct costs</t>
  </si>
  <si>
    <t xml:space="preserve">GROSS PROFIT</t>
  </si>
  <si>
    <t xml:space="preserve">Gross margin %</t>
  </si>
  <si>
    <t xml:space="preserve">OVERHEAD</t>
  </si>
  <si>
    <t xml:space="preserve">Owner draw</t>
  </si>
  <si>
    <t xml:space="preserve">Insurance</t>
  </si>
  <si>
    <t xml:space="preserve">Existing truck / equipment payments</t>
  </si>
  <si>
    <t xml:space="preserve">Software, hosting, phone, payment fees</t>
  </si>
  <si>
    <t xml:space="preserve">Bookkeeping / CPA</t>
  </si>
  <si>
    <t xml:space="preserve">Shop, tools, misc</t>
  </si>
  <si>
    <t xml:space="preserve">Growth &amp; operations lead (TBD)</t>
  </si>
  <si>
    <t xml:space="preserve">Marketing - Google LSA</t>
  </si>
  <si>
    <t xml:space="preserve">Marketing - Facebook / Instagram</t>
  </si>
  <si>
    <t xml:space="preserve">Marketing - content, reviews, GBP, site</t>
  </si>
  <si>
    <t xml:space="preserve">Crew 2 - equipment rental (before purchase) + hiring</t>
  </si>
  <si>
    <t xml:space="preserve">Crew 2 - equipment + truck loan payments</t>
  </si>
  <si>
    <t xml:space="preserve">Total overhead</t>
  </si>
  <si>
    <t xml:space="preserve">OPERATING PROFIT (before owner taxes)</t>
  </si>
  <si>
    <t xml:space="preserve">Operating margin %</t>
  </si>
  <si>
    <t xml:space="preserve">CASH FLOW</t>
  </si>
  <si>
    <t xml:space="preserve">Cash in - deposits + balances + plans</t>
  </si>
  <si>
    <t xml:space="preserve">Cash out - direct costs + overhead</t>
  </si>
  <si>
    <t xml:space="preserve">Cash out - Crew 2 down payments (20% of each purchase)</t>
  </si>
  <si>
    <t xml:space="preserve">NET CASH FLOW</t>
  </si>
  <si>
    <t xml:space="preserve">Cash balance (end of month)</t>
  </si>
  <si>
    <t xml:space="preserve">KPIs THE DASHBOARD SHOWS EVERY MONDAY</t>
  </si>
  <si>
    <t xml:space="preserve">Revenue per crew-month</t>
  </si>
  <si>
    <t xml:space="preserve">Blended cost per lead</t>
  </si>
  <si>
    <t xml:space="preserve">Marketing cost per job sold</t>
  </si>
  <si>
    <t xml:space="preserve">Close rate in use (from Assumptions)</t>
  </si>
  <si>
    <t xml:space="preserve">Maintenance share of revenue</t>
  </si>
  <si>
    <t xml:space="preserve">Break-even LF/month at this overhead</t>
  </si>
  <si>
    <t xml:space="preserve">Unit economics - one job, one crew-month, one maintenance customer</t>
  </si>
  <si>
    <t xml:space="preserve">ONE JOB (average)</t>
  </si>
  <si>
    <t xml:space="preserve">Linear feet</t>
  </si>
  <si>
    <t xml:space="preserve">Price to customer</t>
  </si>
  <si>
    <t xml:space="preserve">Crew labor (32%)</t>
  </si>
  <si>
    <t xml:space="preserve">Materials + fuel (20%)</t>
  </si>
  <si>
    <t xml:space="preserve">Gross profit per job</t>
  </si>
  <si>
    <t xml:space="preserve">Gross margin</t>
  </si>
  <si>
    <t xml:space="preserve">Crew days per job (at target LF/month, 21 working days)</t>
  </si>
  <si>
    <t xml:space="preserve">ONE CREW-MONTH (at target)</t>
  </si>
  <si>
    <t xml:space="preserve">LF per month</t>
  </si>
  <si>
    <t xml:space="preserve">Crew wages before burden (3 x 173 h x $/hr)</t>
  </si>
  <si>
    <t xml:space="preserve">Crew wages with burden</t>
  </si>
  <si>
    <t xml:space="preserve">Labor as % of revenue at target (check vs Charlie's 32%)</t>
  </si>
  <si>
    <t xml:space="preserve">If this is above 32%, the crew is under-producing for its wage - the readiness gate and breakdown flow are what pull it back.</t>
  </si>
  <si>
    <t xml:space="preserve">Gross profit per crew-month</t>
  </si>
  <si>
    <t xml:space="preserve">ONE MAINTENANCE CUSTOMER</t>
  </si>
  <si>
    <t xml:space="preserve">Plan price per visit</t>
  </si>
  <si>
    <t xml:space="preserve">Cost per visit</t>
  </si>
  <si>
    <t xml:space="preserve">Gross profit per visit</t>
  </si>
  <si>
    <t xml:space="preserve">Gross margin per visit</t>
  </si>
  <si>
    <t xml:space="preserve">Visits over 5 years</t>
  </si>
  <si>
    <t xml:space="preserve">5-year gross profit per plan customer</t>
  </si>
  <si>
    <t xml:space="preserve">Referral value: 1 in 4 plan customers refers one $4,000 job</t>
  </si>
  <si>
    <t xml:space="preserve">Not in the proforma - upside only.</t>
  </si>
  <si>
    <t xml:space="preserve">BREAK-EVEN</t>
  </si>
  <si>
    <t xml:space="preserve">Monthly overhead, one crew, no Crew 2 costs (from Proforma month 3)</t>
  </si>
  <si>
    <t xml:space="preserve">Break-even LF per month, one crew</t>
  </si>
  <si>
    <t xml:space="preserve">Break-even as % of one crew's target</t>
  </si>
  <si>
    <t xml:space="preserve">Three scenarios - year-2 run rate (month 24) and 24-month totals</t>
  </si>
  <si>
    <t xml:space="preserve">Change the blue cells; everything below recalculates using the same cost structure as the proforma.</t>
  </si>
  <si>
    <t xml:space="preserve">Conservative</t>
  </si>
  <si>
    <t xml:space="preserve">Base (Charlie's goal)</t>
  </si>
  <si>
    <t xml:space="preserve">Stretch</t>
  </si>
  <si>
    <t xml:space="preserve">LF per crew per month</t>
  </si>
  <si>
    <t xml:space="preserve">Crews running by month 24</t>
  </si>
  <si>
    <t xml:space="preserve">Average $/LF</t>
  </si>
  <si>
    <t xml:space="preserve">Active Drain Check plans at month 24</t>
  </si>
  <si>
    <t xml:space="preserve">Monthly install revenue</t>
  </si>
  <si>
    <t xml:space="preserve">Monthly maintenance revenue</t>
  </si>
  <si>
    <t xml:space="preserve">Monthly revenue</t>
  </si>
  <si>
    <t xml:space="preserve">Gross profit (48% installs; plans at plan margin)</t>
  </si>
  <si>
    <t xml:space="preserve">Overhead (one crew) / (two crews incl. loan)</t>
  </si>
  <si>
    <t xml:space="preserve">Operating profit per month</t>
  </si>
  <si>
    <t xml:space="preserve">Operating profit per year (run rate)</t>
  </si>
  <si>
    <t xml:space="preserve">Operating margin</t>
  </si>
  <si>
    <t xml:space="preserve">Estimates needed per month (jobs / Charlie's close rate)</t>
  </si>
  <si>
    <t xml:space="preserve">Leads needed per month (at ~45% of leads booking an estimate)</t>
  </si>
  <si>
    <t xml:space="preserve">What has to be true</t>
  </si>
  <si>
    <t xml:space="preserve">Conservative: one crew at 700 LF and $38/LF still clears overhead - the plan fails safe.</t>
  </si>
  <si>
    <t xml:space="preserve">Base: two crews at 900 LF, $42/LF, 90 plan customers - Charlie's stated goal, reached in month 10-12 of the proforma. Close rate on estimates is Charlie's 70% (Assumptions, yellow cell).</t>
  </si>
  <si>
    <t xml:space="preserve">Stretch: pricing power from reviews + Moasure proposals lifts $/LF to $46; 140 plan customers = the sellable recurring book.</t>
  </si>
  <si>
    <t xml:space="preserve">Path to owning Crew 2's equipment - rent first, buy on proof</t>
  </si>
  <si>
    <t xml:space="preserve">Crew 1 already owns a big trailer, a skid steer and a mini excavator (no capex in this plan). Crew 2 needs its own set. Rent-to-prove, then buy; every date is driven by the Crew 2 start month on Assumptions.</t>
  </si>
  <si>
    <t xml:space="preserve">Item</t>
  </si>
  <si>
    <t xml:space="preserve">Purchase price</t>
  </si>
  <si>
    <t xml:space="preserve">Rent / month</t>
  </si>
  <si>
    <t xml:space="preserve">Months rented</t>
  </si>
  <si>
    <t xml:space="preserve">Rent paid before buying</t>
  </si>
  <si>
    <t xml:space="preserve">Purchase month</t>
  </si>
  <si>
    <t xml:space="preserve">Down payment (20%)</t>
  </si>
  <si>
    <t xml:space="preserve">Loan payment / mo</t>
  </si>
  <si>
    <t xml:space="preserve">Loan paid off (month)</t>
  </si>
  <si>
    <t xml:space="preserve">Own-vs-rent break-even (months)</t>
  </si>
  <si>
    <t xml:space="preserve">Mini excavator (used)</t>
  </si>
  <si>
    <t xml:space="preserve">Skid steer / CTL (used)</t>
  </si>
  <si>
    <t xml:space="preserve">Dump trailer 7x14 (new)</t>
  </si>
  <si>
    <t xml:space="preserve">Truck 3/4-ton (used)</t>
  </si>
  <si>
    <t xml:space="preserve">Tools, laser, compactor, PPE</t>
  </si>
  <si>
    <t xml:space="preserve">Total</t>
  </si>
  <si>
    <t xml:space="preserve">How to read it</t>
  </si>
  <si>
    <t xml:space="preserve">Own-vs-rent break-even: purchase price / monthly rent. A mini-ex at $50,000 vs $2,000/month breaks even at 25 months of use - so anything Crew 2 will run for more than two years should be owned; the 3-month rental is insurance against Crew 2 not working out, not a long-term plan.</t>
  </si>
  <si>
    <t xml:space="preserve">The purchase month is the Crew 2 start month plus the months rented. Decision rule for pulling the trigger early or late: buy when Crew 2 has installed its target LF in two consecutive months; keep renting if it has not.</t>
  </si>
  <si>
    <t xml:space="preserve">Down payments hit cash in the purchase month (Proforma: 'Cash out - Crew 2 down payments'); loan payments run 60 months from there. Rent paid before buying is money spent to de-risk the purchase - budgeted, not wasted.</t>
  </si>
  <si>
    <t xml:space="preserve">Crew 1's set is already owned: no purchases are modeled for it. Its existing payments, if any, sit in 'Existing truck / equipment payments' on Assumptions.</t>
  </si>
  <si>
    <t xml:space="preserve">Time to full ownership of Crew 2's set: trailer, truck and tools on day one; mini-ex and skid steer bought in month start+3; all loans paid off 60 months after that (month 70 in the base case). Equity builds from the first payment; the machines outlast the loans.</t>
  </si>
  <si>
    <t xml:space="preserve">Sources and notes</t>
  </si>
  <si>
    <t xml:space="preserve">From Charlie (Sept 2026)</t>
  </si>
  <si>
    <t xml:space="preserve">50% margin after materials, gas and labor; labor ~32% and materials+gas ~20% of project cost; crew paid $20-25/hr; goal 800-1,000 LF/month per 3-man crew, two crews; target customers 50-75 within 20 miles of 70808; water-jet maintenance plan yearly or every 2 years; uses Moasure for proposals.</t>
  </si>
  <si>
    <t xml:space="preserve">Angi - French drain cost (updated May 30, 2026)</t>
  </si>
  <si>
    <t xml:space="preserve">National average $9,250; range $500-18,000; $10-100/LF; yard drains $20-30/LF. https://www.angi.com/articles/how-much-does-french-drain-cost.htm</t>
  </si>
  <si>
    <t xml:space="preserve">Angi - Hydro jetting cost (updated July 9, 2026)</t>
  </si>
  <si>
    <t xml:space="preserve">National average $475; typical $350-600. https://www.angi.com/articles/hydro-jetting-cost.htm</t>
  </si>
  <si>
    <t xml:space="preserve">SearchLight Digital - Google LSA cost per lead (Feb 2026, 888 contractors, 126,650 leads)</t>
  </si>
  <si>
    <t xml:space="preserve">Drain/sewer $59 CPL, 39.5% book rate; home-services blended $53, 43.9% book rate. https://searchlightdigital.io/google-local-service-ads-cost-per-lead/</t>
  </si>
  <si>
    <t xml:space="preserve">Valley Marketing Group citing AdAmigo 2026 - Meta ads for contractors</t>
  </si>
  <si>
    <t xml:space="preserve">Meta home-services CPL ~$34; landscaping/plumbing $45-80; call within 5 minutes or leads go cold. https://thevalleymarketinggroup.com/blog/facebook-ads-vs-google-ads-home-service-contractors-2026/</t>
  </si>
  <si>
    <t xml:space="preserve">Pew Research - Americans' Social Media Use 2025 (survey Feb-Jun 2025)</t>
  </si>
  <si>
    <t xml:space="preserve">Ages 50-64: Facebook 79%, YouTube 74%, Instagram 35%. Ages 65+: Facebook 69%, YouTube 55%, Instagram 19%. https://www.pewresearch.org/internet/2025/11/20/americans-social-media-use-2025/</t>
  </si>
  <si>
    <t xml:space="preserve">U.S. Census QuickFacts - East Baton Rouge Parish</t>
  </si>
  <si>
    <t xml:space="preserve">Population 456,180 (2025 est.); 17.4% age 65+; owner-occupied 59.3%; median home value $248,800; 210,707 housing units. https://www.census.gov/quickfacts/eastbatonrougeparishlouisiana</t>
  </si>
  <si>
    <t xml:space="preserve">City-Data / ACS 2024 - ZIP 70808</t>
  </si>
  <si>
    <t xml:space="preserve">Population ~35,700; median home value ~$411-423K; 56% owner-occupied; large 1970-1989 housing stock (original drainage aging out). https://www.city-data.com/zips/70808.html</t>
  </si>
  <si>
    <t xml:space="preserve">BLS OEWS May 2023 - Baton Rouge MSA</t>
  </si>
  <si>
    <t xml:space="preserve">Landscaping workers mean $16.80/h; construction laborers $20.43/h; operating engineers $32.26/h. https://www.bls.gov/oes/2023/may/oes_12940.htm</t>
  </si>
  <si>
    <t xml:space="preserve">Higrovi 2026 missed-call report / Hicira</t>
  </si>
  <si>
    <t xml:space="preserve">27% of home-services calls unanswered; 85% of unreachable callers don't call back; 5-minute response = 21x qualification. https://www.higrovi.com/blog/contractor-missed-call-report-2026</t>
  </si>
  <si>
    <t xml:space="preserve">Moasure - export formats</t>
  </si>
  <si>
    <t xml:space="preserve">PDF (with elevations, scale, logo), DXF/DWG, CSV point cloud (x,y,z), PNG/JPG/SVG. No public API; Command imports the CSV/PDF. https://www.moasure.com/pages/features-export</t>
  </si>
  <si>
    <t xml:space="preserve">Model conventions</t>
  </si>
  <si>
    <t xml:space="preserve">Revenue recognized in month of install; 30% deposit at signing, 90% of balance in month of completion, 10% the following month. Payroll burden 18% is an estimate - replace with actual workers' comp rate. No income tax modeled (pass-through LLC). Crew 2 equipment: Crew 1 already owns its trailer, skid steer and mini excavator; Crew 2's mini-ex and skid steer are rented for 3 months then bought (80% financed, 9%, 60 months); trailer, truck and tools bought at start.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</si>
</sst>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"/>
    <numFmt numFmtId="167" formatCode="\$#,##0;&quot;($&quot;#,##0\);\-"/>
    <numFmt numFmtId="168" formatCode="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1F5A6E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6524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8E7EC"/>
        <bgColor rgb="FFEEF1EF"/>
      </patternFill>
    </fill>
    <fill>
      <patternFill patternType="solid">
        <fgColor rgb="FFFFFF00"/>
        <bgColor rgb="FFFFFF00"/>
      </patternFill>
    </fill>
    <fill>
      <patternFill patternType="solid">
        <fgColor rgb="FFEEF1EF"/>
        <bgColor rgb="FFD8E7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16211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F1E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A6E"/>
      <rgbColor rgb="FFC0C0C0"/>
      <rgbColor rgb="FF808080"/>
      <rgbColor rgb="FF9999FF"/>
      <rgbColor rgb="FF993366"/>
      <rgbColor rgb="FFFFFFCC"/>
      <rgbColor rgb="FFD8E7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6211F"/>
      <rgbColor rgb="FF333300"/>
      <rgbColor rgb="FF993300"/>
      <rgbColor rgb="FF993366"/>
      <rgbColor rgb="FF333399"/>
      <rgbColor rgb="FF46524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5"/>
      <c r="C4" s="5"/>
    </row>
    <row r="5" customFormat="false" ht="15" hidden="false" customHeight="false" outlineLevel="0" collapsed="false">
      <c r="A5" s="2" t="s">
        <v>3</v>
      </c>
      <c r="B5" s="6" t="n">
        <v>42</v>
      </c>
      <c r="C5" s="7" t="s">
        <v>4</v>
      </c>
    </row>
    <row r="6" customFormat="false" ht="15" hidden="false" customHeight="false" outlineLevel="0" collapsed="false">
      <c r="A6" s="2" t="s">
        <v>5</v>
      </c>
      <c r="B6" s="8" t="n">
        <v>650</v>
      </c>
      <c r="C6" s="7" t="s">
        <v>6</v>
      </c>
    </row>
    <row r="7" customFormat="false" ht="15" hidden="false" customHeight="false" outlineLevel="0" collapsed="false">
      <c r="A7" s="2" t="s">
        <v>7</v>
      </c>
      <c r="B7" s="9" t="n">
        <v>900</v>
      </c>
      <c r="C7" s="7" t="s">
        <v>8</v>
      </c>
    </row>
    <row r="8" customFormat="false" ht="15" hidden="false" customHeight="false" outlineLevel="0" collapsed="false">
      <c r="A8" s="2" t="s">
        <v>9</v>
      </c>
      <c r="B8" s="6" t="n">
        <v>7</v>
      </c>
      <c r="C8" s="7" t="s">
        <v>10</v>
      </c>
    </row>
    <row r="9" customFormat="false" ht="15" hidden="false" customHeight="false" outlineLevel="0" collapsed="false">
      <c r="A9" s="2" t="s">
        <v>11</v>
      </c>
      <c r="B9" s="8" t="n">
        <v>500</v>
      </c>
      <c r="C9" s="7" t="s">
        <v>12</v>
      </c>
    </row>
    <row r="10" customFormat="false" ht="15" hidden="false" customHeight="false" outlineLevel="0" collapsed="false">
      <c r="A10" s="2" t="s">
        <v>13</v>
      </c>
      <c r="B10" s="8" t="n">
        <v>900</v>
      </c>
      <c r="C10" s="7" t="s">
        <v>14</v>
      </c>
    </row>
    <row r="11" customFormat="false" ht="15" hidden="false" customHeight="false" outlineLevel="0" collapsed="false">
      <c r="A11" s="2" t="s">
        <v>15</v>
      </c>
      <c r="B11" s="8" t="n">
        <v>100</v>
      </c>
      <c r="C11" s="7" t="s">
        <v>16</v>
      </c>
    </row>
    <row r="12" customFormat="false" ht="15" hidden="false" customHeight="false" outlineLevel="0" collapsed="false">
      <c r="A12" s="2" t="s">
        <v>17</v>
      </c>
      <c r="B12" s="10" t="n">
        <v>1</v>
      </c>
      <c r="C12" s="7" t="s">
        <v>18</v>
      </c>
    </row>
    <row r="13" customFormat="false" ht="15" hidden="false" customHeight="false" outlineLevel="0" collapsed="false">
      <c r="A13" s="4" t="s">
        <v>19</v>
      </c>
      <c r="B13" s="5"/>
      <c r="C13" s="5"/>
    </row>
    <row r="14" customFormat="false" ht="15" hidden="false" customHeight="false" outlineLevel="0" collapsed="false">
      <c r="A14" s="2" t="s">
        <v>20</v>
      </c>
      <c r="B14" s="11" t="n">
        <v>0.32</v>
      </c>
      <c r="C14" s="7" t="s">
        <v>21</v>
      </c>
    </row>
    <row r="15" customFormat="false" ht="15" hidden="false" customHeight="false" outlineLevel="0" collapsed="false">
      <c r="A15" s="2" t="s">
        <v>22</v>
      </c>
      <c r="B15" s="11" t="n">
        <v>0.2</v>
      </c>
      <c r="C15" s="7" t="s">
        <v>23</v>
      </c>
    </row>
    <row r="16" customFormat="false" ht="15" hidden="false" customHeight="false" outlineLevel="0" collapsed="false">
      <c r="A16" s="2" t="s">
        <v>24</v>
      </c>
      <c r="B16" s="10" t="n">
        <v>22.5</v>
      </c>
      <c r="C16" s="7" t="s">
        <v>25</v>
      </c>
    </row>
    <row r="17" customFormat="false" ht="15" hidden="false" customHeight="false" outlineLevel="0" collapsed="false">
      <c r="A17" s="2" t="s">
        <v>26</v>
      </c>
      <c r="B17" s="12" t="n">
        <v>0.14</v>
      </c>
      <c r="C17" s="7" t="s">
        <v>27</v>
      </c>
    </row>
    <row r="18" customFormat="false" ht="15" hidden="false" customHeight="false" outlineLevel="0" collapsed="false">
      <c r="A18" s="2" t="s">
        <v>28</v>
      </c>
      <c r="B18" s="10" t="n">
        <v>3</v>
      </c>
      <c r="C18" s="7" t="s">
        <v>29</v>
      </c>
    </row>
    <row r="19" customFormat="false" ht="15" hidden="false" customHeight="false" outlineLevel="0" collapsed="false">
      <c r="A19" s="2" t="s">
        <v>30</v>
      </c>
      <c r="B19" s="8" t="n">
        <v>173</v>
      </c>
      <c r="C19" s="7" t="s">
        <v>31</v>
      </c>
    </row>
    <row r="20" customFormat="false" ht="15" hidden="false" customHeight="false" outlineLevel="0" collapsed="false">
      <c r="A20" s="4" t="s">
        <v>32</v>
      </c>
      <c r="B20" s="5"/>
      <c r="C20" s="5"/>
    </row>
    <row r="21" customFormat="false" ht="15" hidden="false" customHeight="false" outlineLevel="0" collapsed="false">
      <c r="A21" s="2" t="s">
        <v>33</v>
      </c>
      <c r="B21" s="13" t="n">
        <v>249</v>
      </c>
      <c r="C21" s="7" t="s">
        <v>34</v>
      </c>
    </row>
    <row r="22" customFormat="false" ht="15" hidden="false" customHeight="false" outlineLevel="0" collapsed="false">
      <c r="A22" s="2" t="s">
        <v>35</v>
      </c>
      <c r="B22" s="10" t="n">
        <v>1</v>
      </c>
      <c r="C22" s="7" t="s">
        <v>36</v>
      </c>
    </row>
    <row r="23" customFormat="false" ht="15" hidden="false" customHeight="false" outlineLevel="0" collapsed="false">
      <c r="A23" s="2" t="s">
        <v>37</v>
      </c>
      <c r="B23" s="11" t="n">
        <v>0.4</v>
      </c>
      <c r="C23" s="7" t="s">
        <v>38</v>
      </c>
    </row>
    <row r="24" customFormat="false" ht="15" hidden="false" customHeight="false" outlineLevel="0" collapsed="false">
      <c r="A24" s="2" t="s">
        <v>39</v>
      </c>
      <c r="B24" s="8" t="n">
        <v>150</v>
      </c>
      <c r="C24" s="7" t="s">
        <v>40</v>
      </c>
    </row>
    <row r="25" customFormat="false" ht="15" hidden="false" customHeight="false" outlineLevel="0" collapsed="false">
      <c r="A25" s="2" t="s">
        <v>41</v>
      </c>
      <c r="B25" s="12" t="n">
        <v>0.15</v>
      </c>
      <c r="C25" s="7" t="s">
        <v>42</v>
      </c>
    </row>
    <row r="26" customFormat="false" ht="15" hidden="false" customHeight="false" outlineLevel="0" collapsed="false">
      <c r="A26" s="2" t="s">
        <v>43</v>
      </c>
      <c r="B26" s="10" t="n">
        <v>3</v>
      </c>
      <c r="C26" s="7" t="s">
        <v>44</v>
      </c>
    </row>
    <row r="27" customFormat="false" ht="15" hidden="false" customHeight="false" outlineLevel="0" collapsed="false">
      <c r="A27" s="2" t="s">
        <v>45</v>
      </c>
      <c r="B27" s="10" t="n">
        <v>70</v>
      </c>
      <c r="C27" s="7" t="s">
        <v>46</v>
      </c>
    </row>
    <row r="28" customFormat="false" ht="15" hidden="false" customHeight="false" outlineLevel="0" collapsed="false">
      <c r="A28" s="4" t="s">
        <v>47</v>
      </c>
      <c r="B28" s="5"/>
      <c r="C28" s="5"/>
    </row>
    <row r="29" customFormat="false" ht="15" hidden="false" customHeight="false" outlineLevel="0" collapsed="false">
      <c r="A29" s="2" t="s">
        <v>48</v>
      </c>
      <c r="B29" s="12" t="n">
        <v>0.3</v>
      </c>
      <c r="C29" s="7" t="s">
        <v>49</v>
      </c>
    </row>
    <row r="30" customFormat="false" ht="15" hidden="false" customHeight="false" outlineLevel="0" collapsed="false">
      <c r="A30" s="2" t="s">
        <v>50</v>
      </c>
      <c r="B30" s="12" t="n">
        <v>0.9</v>
      </c>
      <c r="C30" s="7" t="s">
        <v>51</v>
      </c>
    </row>
    <row r="31" customFormat="false" ht="15" hidden="false" customHeight="false" outlineLevel="0" collapsed="false">
      <c r="A31" s="2" t="s">
        <v>52</v>
      </c>
      <c r="B31" s="10" t="n">
        <v>1</v>
      </c>
      <c r="C31" s="7" t="s">
        <v>53</v>
      </c>
    </row>
    <row r="32" customFormat="false" ht="15" hidden="false" customHeight="false" outlineLevel="0" collapsed="false">
      <c r="A32" s="2" t="s">
        <v>54</v>
      </c>
      <c r="B32" s="13" t="n">
        <v>25000</v>
      </c>
      <c r="C32" s="7" t="s">
        <v>55</v>
      </c>
    </row>
    <row r="33" customFormat="false" ht="15" hidden="false" customHeight="false" outlineLevel="0" collapsed="false">
      <c r="A33" s="4" t="s">
        <v>56</v>
      </c>
      <c r="B33" s="5"/>
      <c r="C33" s="5"/>
    </row>
    <row r="34" customFormat="false" ht="15" hidden="false" customHeight="false" outlineLevel="0" collapsed="false">
      <c r="A34" s="2" t="s">
        <v>57</v>
      </c>
      <c r="B34" s="13" t="n">
        <v>900</v>
      </c>
      <c r="C34" s="7" t="s">
        <v>58</v>
      </c>
    </row>
    <row r="35" customFormat="false" ht="15" hidden="false" customHeight="false" outlineLevel="0" collapsed="false">
      <c r="A35" s="2" t="s">
        <v>59</v>
      </c>
      <c r="B35" s="10" t="n">
        <v>59</v>
      </c>
      <c r="C35" s="7" t="s">
        <v>60</v>
      </c>
    </row>
    <row r="36" customFormat="false" ht="15" hidden="false" customHeight="false" outlineLevel="0" collapsed="false">
      <c r="A36" s="2" t="s">
        <v>61</v>
      </c>
      <c r="B36" s="12" t="n">
        <v>0.5</v>
      </c>
      <c r="C36" s="7" t="s">
        <v>62</v>
      </c>
    </row>
    <row r="37" customFormat="false" ht="15" hidden="false" customHeight="false" outlineLevel="0" collapsed="false">
      <c r="A37" s="2" t="s">
        <v>63</v>
      </c>
      <c r="B37" s="13" t="n">
        <v>600</v>
      </c>
      <c r="C37" s="7" t="s">
        <v>64</v>
      </c>
    </row>
    <row r="38" customFormat="false" ht="15" hidden="false" customHeight="false" outlineLevel="0" collapsed="false">
      <c r="A38" s="2" t="s">
        <v>65</v>
      </c>
      <c r="B38" s="10" t="n">
        <v>55</v>
      </c>
      <c r="C38" s="7" t="s">
        <v>66</v>
      </c>
    </row>
    <row r="39" customFormat="false" ht="15" hidden="false" customHeight="false" outlineLevel="0" collapsed="false">
      <c r="A39" s="2" t="s">
        <v>67</v>
      </c>
      <c r="B39" s="12" t="n">
        <v>0.3</v>
      </c>
      <c r="C39" s="7" t="s">
        <v>68</v>
      </c>
    </row>
    <row r="40" customFormat="false" ht="15" hidden="false" customHeight="false" outlineLevel="0" collapsed="false">
      <c r="A40" s="2" t="s">
        <v>69</v>
      </c>
      <c r="B40" s="10" t="n">
        <v>6</v>
      </c>
      <c r="C40" s="7" t="s">
        <v>70</v>
      </c>
    </row>
    <row r="41" customFormat="false" ht="15" hidden="false" customHeight="false" outlineLevel="0" collapsed="false">
      <c r="A41" s="2" t="s">
        <v>71</v>
      </c>
      <c r="B41" s="12" t="n">
        <v>0.06</v>
      </c>
      <c r="C41" s="7" t="s">
        <v>72</v>
      </c>
    </row>
    <row r="42" customFormat="false" ht="15" hidden="false" customHeight="false" outlineLevel="0" collapsed="false">
      <c r="A42" s="2" t="s">
        <v>73</v>
      </c>
      <c r="B42" s="12" t="n">
        <v>0.65</v>
      </c>
      <c r="C42" s="7" t="s">
        <v>74</v>
      </c>
    </row>
    <row r="43" customFormat="false" ht="15" hidden="false" customHeight="false" outlineLevel="0" collapsed="false">
      <c r="A43" s="4" t="s">
        <v>75</v>
      </c>
      <c r="B43" s="5"/>
      <c r="C43" s="5"/>
    </row>
    <row r="44" customFormat="false" ht="15" hidden="false" customHeight="false" outlineLevel="0" collapsed="false">
      <c r="A44" s="2" t="s">
        <v>76</v>
      </c>
      <c r="B44" s="11" t="n">
        <v>0.7</v>
      </c>
      <c r="C44" s="7" t="s">
        <v>77</v>
      </c>
    </row>
    <row r="45" customFormat="false" ht="15" hidden="false" customHeight="false" outlineLevel="0" collapsed="false">
      <c r="A45" s="2" t="s">
        <v>78</v>
      </c>
      <c r="B45" s="6" t="n">
        <v>1.6</v>
      </c>
      <c r="C45" s="7" t="s">
        <v>79</v>
      </c>
    </row>
    <row r="46" customFormat="false" ht="15" hidden="false" customHeight="false" outlineLevel="0" collapsed="false">
      <c r="A46" s="2" t="s">
        <v>80</v>
      </c>
      <c r="B46" s="14" t="n">
        <v>300</v>
      </c>
      <c r="C46" s="7" t="s">
        <v>81</v>
      </c>
    </row>
    <row r="47" customFormat="false" ht="15" hidden="false" customHeight="false" outlineLevel="0" collapsed="false">
      <c r="A47" s="4" t="s">
        <v>82</v>
      </c>
      <c r="B47" s="5"/>
      <c r="C47" s="5"/>
    </row>
    <row r="48" customFormat="false" ht="15" hidden="false" customHeight="false" outlineLevel="0" collapsed="false">
      <c r="A48" s="2" t="s">
        <v>83</v>
      </c>
      <c r="B48" s="13" t="n">
        <v>6000</v>
      </c>
      <c r="C48" s="7" t="s">
        <v>84</v>
      </c>
    </row>
    <row r="49" customFormat="false" ht="15" hidden="false" customHeight="false" outlineLevel="0" collapsed="false">
      <c r="A49" s="2" t="s">
        <v>85</v>
      </c>
      <c r="B49" s="14" t="n">
        <v>900</v>
      </c>
      <c r="C49" s="7" t="s">
        <v>86</v>
      </c>
    </row>
    <row r="50" customFormat="false" ht="15" hidden="false" customHeight="false" outlineLevel="0" collapsed="false">
      <c r="A50" s="2" t="s">
        <v>87</v>
      </c>
      <c r="B50" s="14" t="n">
        <v>1800</v>
      </c>
      <c r="C50" s="7" t="s">
        <v>55</v>
      </c>
    </row>
    <row r="51" customFormat="false" ht="15" hidden="false" customHeight="false" outlineLevel="0" collapsed="false">
      <c r="A51" s="2" t="s">
        <v>88</v>
      </c>
      <c r="B51" s="14" t="n">
        <v>350</v>
      </c>
      <c r="C51" s="7" t="s">
        <v>89</v>
      </c>
    </row>
    <row r="52" customFormat="false" ht="15" hidden="false" customHeight="false" outlineLevel="0" collapsed="false">
      <c r="A52" s="2" t="s">
        <v>90</v>
      </c>
      <c r="B52" s="14" t="n">
        <v>250</v>
      </c>
      <c r="C52" s="7" t="s">
        <v>91</v>
      </c>
    </row>
    <row r="53" customFormat="false" ht="15" hidden="false" customHeight="false" outlineLevel="0" collapsed="false">
      <c r="A53" s="2" t="s">
        <v>92</v>
      </c>
      <c r="B53" s="14" t="n">
        <v>600</v>
      </c>
      <c r="C53" s="7" t="s">
        <v>91</v>
      </c>
    </row>
    <row r="54" customFormat="false" ht="15" hidden="false" customHeight="false" outlineLevel="0" collapsed="false">
      <c r="A54" s="2" t="s">
        <v>93</v>
      </c>
      <c r="B54" s="6" t="n">
        <v>0</v>
      </c>
      <c r="C54" s="7" t="s">
        <v>94</v>
      </c>
    </row>
    <row r="55" customFormat="false" ht="15" hidden="false" customHeight="false" outlineLevel="0" collapsed="false">
      <c r="A55" s="4" t="s">
        <v>95</v>
      </c>
      <c r="B55" s="5"/>
      <c r="C55" s="5"/>
    </row>
    <row r="56" customFormat="false" ht="15" hidden="false" customHeight="false" outlineLevel="0" collapsed="false">
      <c r="A56" s="2" t="s">
        <v>96</v>
      </c>
      <c r="B56" s="13" t="n">
        <v>50000</v>
      </c>
      <c r="C56" s="7" t="s">
        <v>97</v>
      </c>
    </row>
    <row r="57" customFormat="false" ht="15" hidden="false" customHeight="false" outlineLevel="0" collapsed="false">
      <c r="A57" s="2" t="s">
        <v>98</v>
      </c>
      <c r="B57" s="14" t="n">
        <v>2000</v>
      </c>
      <c r="C57" s="7" t="s">
        <v>99</v>
      </c>
    </row>
    <row r="58" customFormat="false" ht="15" hidden="false" customHeight="false" outlineLevel="0" collapsed="false">
      <c r="A58" s="2" t="s">
        <v>100</v>
      </c>
      <c r="B58" s="6" t="n">
        <v>3</v>
      </c>
      <c r="C58" s="7" t="s">
        <v>101</v>
      </c>
    </row>
    <row r="59" customFormat="false" ht="15" hidden="false" customHeight="false" outlineLevel="0" collapsed="false">
      <c r="A59" s="2" t="s">
        <v>102</v>
      </c>
      <c r="B59" s="13" t="n">
        <v>38000</v>
      </c>
      <c r="C59" s="7" t="s">
        <v>103</v>
      </c>
    </row>
    <row r="60" customFormat="false" ht="15" hidden="false" customHeight="false" outlineLevel="0" collapsed="false">
      <c r="A60" s="2" t="s">
        <v>104</v>
      </c>
      <c r="B60" s="14" t="n">
        <v>1700</v>
      </c>
      <c r="C60" s="7" t="s">
        <v>105</v>
      </c>
    </row>
    <row r="61" customFormat="false" ht="15" hidden="false" customHeight="false" outlineLevel="0" collapsed="false">
      <c r="A61" s="2" t="s">
        <v>106</v>
      </c>
      <c r="B61" s="6" t="n">
        <v>3</v>
      </c>
      <c r="C61" s="7"/>
    </row>
    <row r="62" customFormat="false" ht="15" hidden="false" customHeight="false" outlineLevel="0" collapsed="false">
      <c r="A62" s="2" t="s">
        <v>107</v>
      </c>
      <c r="B62" s="14" t="n">
        <v>9500</v>
      </c>
      <c r="C62" s="7" t="s">
        <v>108</v>
      </c>
    </row>
    <row r="63" customFormat="false" ht="15" hidden="false" customHeight="false" outlineLevel="0" collapsed="false">
      <c r="A63" s="2" t="s">
        <v>109</v>
      </c>
      <c r="B63" s="14" t="n">
        <v>600</v>
      </c>
      <c r="C63" s="7"/>
    </row>
    <row r="64" customFormat="false" ht="15" hidden="false" customHeight="false" outlineLevel="0" collapsed="false">
      <c r="A64" s="2" t="s">
        <v>110</v>
      </c>
      <c r="B64" s="10" t="n">
        <v>0</v>
      </c>
      <c r="C64" s="7" t="s">
        <v>111</v>
      </c>
    </row>
    <row r="65" customFormat="false" ht="15" hidden="false" customHeight="false" outlineLevel="0" collapsed="false">
      <c r="A65" s="2" t="s">
        <v>112</v>
      </c>
      <c r="B65" s="14" t="n">
        <v>35000</v>
      </c>
      <c r="C65" s="7"/>
    </row>
    <row r="66" customFormat="false" ht="15" hidden="false" customHeight="false" outlineLevel="0" collapsed="false">
      <c r="A66" s="2" t="s">
        <v>113</v>
      </c>
      <c r="B66" s="10" t="n">
        <v>0</v>
      </c>
      <c r="C66" s="7" t="s">
        <v>114</v>
      </c>
    </row>
    <row r="67" customFormat="false" ht="15" hidden="false" customHeight="false" outlineLevel="0" collapsed="false">
      <c r="A67" s="2" t="s">
        <v>115</v>
      </c>
      <c r="B67" s="10" t="n">
        <v>0</v>
      </c>
      <c r="C67" s="7"/>
    </row>
    <row r="68" customFormat="false" ht="15" hidden="false" customHeight="false" outlineLevel="0" collapsed="false">
      <c r="A68" s="2" t="s">
        <v>116</v>
      </c>
      <c r="B68" s="14" t="n">
        <v>6000</v>
      </c>
      <c r="C68" s="7" t="s">
        <v>117</v>
      </c>
    </row>
    <row r="69" customFormat="false" ht="15" hidden="false" customHeight="false" outlineLevel="0" collapsed="false">
      <c r="A69" s="2" t="s">
        <v>118</v>
      </c>
      <c r="B69" s="10" t="n">
        <v>0</v>
      </c>
      <c r="C69" s="7"/>
    </row>
    <row r="70" customFormat="false" ht="15" hidden="false" customHeight="false" outlineLevel="0" collapsed="false">
      <c r="A70" s="2" t="s">
        <v>119</v>
      </c>
      <c r="B70" s="10" t="n">
        <v>0</v>
      </c>
      <c r="C70" s="7"/>
    </row>
    <row r="71" customFormat="false" ht="15" hidden="false" customHeight="false" outlineLevel="0" collapsed="false">
      <c r="A71" s="2" t="s">
        <v>120</v>
      </c>
      <c r="B71" s="12" t="n">
        <v>0.8</v>
      </c>
      <c r="C71" s="7" t="s">
        <v>121</v>
      </c>
    </row>
    <row r="72" customFormat="false" ht="15" hidden="false" customHeight="false" outlineLevel="0" collapsed="false">
      <c r="A72" s="2" t="s">
        <v>122</v>
      </c>
      <c r="B72" s="12" t="n">
        <v>0.09</v>
      </c>
      <c r="C72" s="7" t="s">
        <v>123</v>
      </c>
    </row>
    <row r="73" customFormat="false" ht="15" hidden="false" customHeight="false" outlineLevel="0" collapsed="false">
      <c r="A73" s="2" t="s">
        <v>124</v>
      </c>
      <c r="B73" s="10" t="n">
        <v>60</v>
      </c>
      <c r="C73" s="7"/>
    </row>
    <row r="74" customFormat="false" ht="15" hidden="false" customHeight="false" outlineLevel="0" collapsed="false">
      <c r="A74" s="2" t="s">
        <v>125</v>
      </c>
      <c r="B74" s="14" t="n">
        <v>4500</v>
      </c>
      <c r="C74" s="7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5" min="2" style="0" width="11"/>
    <col collapsed="false" customWidth="true" hidden="false" outlineLevel="0" max="28" min="26" style="0" width="13"/>
  </cols>
  <sheetData>
    <row r="1" customFormat="false" ht="17.35" hidden="false" customHeight="false" outlineLevel="0" collapsed="false">
      <c r="A1" s="1" t="s">
        <v>127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3" t="s">
        <v>128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customFormat="false" ht="15" hidden="false" customHeight="false" outlineLevel="0" collapsed="false">
      <c r="A4" s="15" t="s">
        <v>129</v>
      </c>
      <c r="B4" s="16" t="n">
        <v>1</v>
      </c>
      <c r="C4" s="16" t="n">
        <v>2</v>
      </c>
      <c r="D4" s="16" t="n">
        <v>3</v>
      </c>
      <c r="E4" s="16" t="n">
        <v>4</v>
      </c>
      <c r="F4" s="16" t="n">
        <v>5</v>
      </c>
      <c r="G4" s="16" t="n">
        <v>6</v>
      </c>
      <c r="H4" s="16" t="n">
        <v>7</v>
      </c>
      <c r="I4" s="16" t="n">
        <v>8</v>
      </c>
      <c r="J4" s="16" t="n">
        <v>9</v>
      </c>
      <c r="K4" s="16" t="n">
        <v>10</v>
      </c>
      <c r="L4" s="16" t="n">
        <v>11</v>
      </c>
      <c r="M4" s="16" t="n">
        <v>12</v>
      </c>
      <c r="N4" s="16" t="n">
        <v>13</v>
      </c>
      <c r="O4" s="16" t="n">
        <v>14</v>
      </c>
      <c r="P4" s="16" t="n">
        <v>15</v>
      </c>
      <c r="Q4" s="16" t="n">
        <v>16</v>
      </c>
      <c r="R4" s="16" t="n">
        <v>17</v>
      </c>
      <c r="S4" s="16" t="n">
        <v>18</v>
      </c>
      <c r="T4" s="16" t="n">
        <v>19</v>
      </c>
      <c r="U4" s="16" t="n">
        <v>20</v>
      </c>
      <c r="V4" s="16" t="n">
        <v>21</v>
      </c>
      <c r="W4" s="16" t="n">
        <v>22</v>
      </c>
      <c r="X4" s="16" t="n">
        <v>23</v>
      </c>
      <c r="Y4" s="16" t="n">
        <v>24</v>
      </c>
      <c r="Z4" s="15" t="s">
        <v>130</v>
      </c>
      <c r="AA4" s="15" t="s">
        <v>131</v>
      </c>
      <c r="AB4" s="15" t="s">
        <v>132</v>
      </c>
    </row>
    <row r="5" customFormat="false" ht="15" hidden="false" customHeight="false" outlineLevel="0" collapsed="false">
      <c r="A5" s="4" t="s">
        <v>133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customFormat="false" ht="15" hidden="false" customHeight="false" outlineLevel="0" collapsed="false">
      <c r="A6" s="17" t="s">
        <v>134</v>
      </c>
      <c r="B6" s="18" t="n">
        <f aca="false">MIN(Assumptions!$B$7,Assumptions!$B$6+(Assumptions!$B$7-Assumptions!$B$6)*(1-1)/5)</f>
        <v>650</v>
      </c>
      <c r="C6" s="18" t="n">
        <f aca="false">MIN(Assumptions!$B$7,Assumptions!$B$6+(Assumptions!$B$7-Assumptions!$B$6)*(2-1)/5)</f>
        <v>700</v>
      </c>
      <c r="D6" s="18" t="n">
        <f aca="false">MIN(Assumptions!$B$7,Assumptions!$B$6+(Assumptions!$B$7-Assumptions!$B$6)*(3-1)/5)</f>
        <v>750</v>
      </c>
      <c r="E6" s="18" t="n">
        <f aca="false">MIN(Assumptions!$B$7,Assumptions!$B$6+(Assumptions!$B$7-Assumptions!$B$6)*(4-1)/5)</f>
        <v>800</v>
      </c>
      <c r="F6" s="18" t="n">
        <f aca="false">MIN(Assumptions!$B$7,Assumptions!$B$6+(Assumptions!$B$7-Assumptions!$B$6)*(5-1)/5)</f>
        <v>850</v>
      </c>
      <c r="G6" s="18" t="n">
        <f aca="false">MIN(Assumptions!$B$7,Assumptions!$B$6+(Assumptions!$B$7-Assumptions!$B$6)*(6-1)/5)</f>
        <v>900</v>
      </c>
      <c r="H6" s="18" t="n">
        <f aca="false">MIN(Assumptions!$B$7,Assumptions!$B$6+(Assumptions!$B$7-Assumptions!$B$6)*(7-1)/5)</f>
        <v>900</v>
      </c>
      <c r="I6" s="18" t="n">
        <f aca="false">MIN(Assumptions!$B$7,Assumptions!$B$6+(Assumptions!$B$7-Assumptions!$B$6)*(8-1)/5)</f>
        <v>900</v>
      </c>
      <c r="J6" s="18" t="n">
        <f aca="false">MIN(Assumptions!$B$7,Assumptions!$B$6+(Assumptions!$B$7-Assumptions!$B$6)*(9-1)/5)</f>
        <v>900</v>
      </c>
      <c r="K6" s="18" t="n">
        <f aca="false">MIN(Assumptions!$B$7,Assumptions!$B$6+(Assumptions!$B$7-Assumptions!$B$6)*(10-1)/5)</f>
        <v>900</v>
      </c>
      <c r="L6" s="18" t="n">
        <f aca="false">MIN(Assumptions!$B$7,Assumptions!$B$6+(Assumptions!$B$7-Assumptions!$B$6)*(11-1)/5)</f>
        <v>900</v>
      </c>
      <c r="M6" s="18" t="n">
        <f aca="false">MIN(Assumptions!$B$7,Assumptions!$B$6+(Assumptions!$B$7-Assumptions!$B$6)*(12-1)/5)</f>
        <v>900</v>
      </c>
      <c r="N6" s="18" t="n">
        <f aca="false">MIN(Assumptions!$B$7,Assumptions!$B$6+(Assumptions!$B$7-Assumptions!$B$6)*(13-1)/5)</f>
        <v>900</v>
      </c>
      <c r="O6" s="18" t="n">
        <f aca="false">MIN(Assumptions!$B$7,Assumptions!$B$6+(Assumptions!$B$7-Assumptions!$B$6)*(14-1)/5)</f>
        <v>900</v>
      </c>
      <c r="P6" s="18" t="n">
        <f aca="false">MIN(Assumptions!$B$7,Assumptions!$B$6+(Assumptions!$B$7-Assumptions!$B$6)*(15-1)/5)</f>
        <v>900</v>
      </c>
      <c r="Q6" s="18" t="n">
        <f aca="false">MIN(Assumptions!$B$7,Assumptions!$B$6+(Assumptions!$B$7-Assumptions!$B$6)*(16-1)/5)</f>
        <v>900</v>
      </c>
      <c r="R6" s="18" t="n">
        <f aca="false">MIN(Assumptions!$B$7,Assumptions!$B$6+(Assumptions!$B$7-Assumptions!$B$6)*(17-1)/5)</f>
        <v>900</v>
      </c>
      <c r="S6" s="18" t="n">
        <f aca="false">MIN(Assumptions!$B$7,Assumptions!$B$6+(Assumptions!$B$7-Assumptions!$B$6)*(18-1)/5)</f>
        <v>900</v>
      </c>
      <c r="T6" s="18" t="n">
        <f aca="false">MIN(Assumptions!$B$7,Assumptions!$B$6+(Assumptions!$B$7-Assumptions!$B$6)*(19-1)/5)</f>
        <v>900</v>
      </c>
      <c r="U6" s="18" t="n">
        <f aca="false">MIN(Assumptions!$B$7,Assumptions!$B$6+(Assumptions!$B$7-Assumptions!$B$6)*(20-1)/5)</f>
        <v>900</v>
      </c>
      <c r="V6" s="18" t="n">
        <f aca="false">MIN(Assumptions!$B$7,Assumptions!$B$6+(Assumptions!$B$7-Assumptions!$B$6)*(21-1)/5)</f>
        <v>900</v>
      </c>
      <c r="W6" s="18" t="n">
        <f aca="false">MIN(Assumptions!$B$7,Assumptions!$B$6+(Assumptions!$B$7-Assumptions!$B$6)*(22-1)/5)</f>
        <v>900</v>
      </c>
      <c r="X6" s="18" t="n">
        <f aca="false">MIN(Assumptions!$B$7,Assumptions!$B$6+(Assumptions!$B$7-Assumptions!$B$6)*(23-1)/5)</f>
        <v>900</v>
      </c>
      <c r="Y6" s="18" t="n">
        <f aca="false">MIN(Assumptions!$B$7,Assumptions!$B$6+(Assumptions!$B$7-Assumptions!$B$6)*(24-1)/5)</f>
        <v>900</v>
      </c>
      <c r="Z6" s="18" t="n">
        <f aca="false">SUM(B6:M6)</f>
        <v>10050</v>
      </c>
      <c r="AA6" s="18" t="n">
        <f aca="false">SUM(N6:Y6)</f>
        <v>10800</v>
      </c>
      <c r="AB6" s="18" t="n">
        <f aca="false">SUM(B6:Y6)</f>
        <v>20850</v>
      </c>
    </row>
    <row r="7" customFormat="false" ht="15" hidden="false" customHeight="false" outlineLevel="0" collapsed="false">
      <c r="A7" s="17" t="s">
        <v>135</v>
      </c>
      <c r="B7" s="18" t="n">
        <f aca="false">IF(1&lt;Assumptions!$B$8,0,MIN(Assumptions!$B$10,Assumptions!$B$9+(Assumptions!$B$10-Assumptions!$B$9)*(1-Assumptions!$B$8)/3))</f>
        <v>0</v>
      </c>
      <c r="C7" s="18" t="n">
        <f aca="false">IF(2&lt;Assumptions!$B$8,0,MIN(Assumptions!$B$10,Assumptions!$B$9+(Assumptions!$B$10-Assumptions!$B$9)*(2-Assumptions!$B$8)/3))</f>
        <v>0</v>
      </c>
      <c r="D7" s="18" t="n">
        <f aca="false">IF(3&lt;Assumptions!$B$8,0,MIN(Assumptions!$B$10,Assumptions!$B$9+(Assumptions!$B$10-Assumptions!$B$9)*(3-Assumptions!$B$8)/3))</f>
        <v>0</v>
      </c>
      <c r="E7" s="18" t="n">
        <f aca="false">IF(4&lt;Assumptions!$B$8,0,MIN(Assumptions!$B$10,Assumptions!$B$9+(Assumptions!$B$10-Assumptions!$B$9)*(4-Assumptions!$B$8)/3))</f>
        <v>0</v>
      </c>
      <c r="F7" s="18" t="n">
        <f aca="false">IF(5&lt;Assumptions!$B$8,0,MIN(Assumptions!$B$10,Assumptions!$B$9+(Assumptions!$B$10-Assumptions!$B$9)*(5-Assumptions!$B$8)/3))</f>
        <v>0</v>
      </c>
      <c r="G7" s="18" t="n">
        <f aca="false">IF(6&lt;Assumptions!$B$8,0,MIN(Assumptions!$B$10,Assumptions!$B$9+(Assumptions!$B$10-Assumptions!$B$9)*(6-Assumptions!$B$8)/3))</f>
        <v>0</v>
      </c>
      <c r="H7" s="18" t="n">
        <f aca="false">IF(7&lt;Assumptions!$B$8,0,MIN(Assumptions!$B$10,Assumptions!$B$9+(Assumptions!$B$10-Assumptions!$B$9)*(7-Assumptions!$B$8)/3))</f>
        <v>500</v>
      </c>
      <c r="I7" s="18" t="n">
        <f aca="false">IF(8&lt;Assumptions!$B$8,0,MIN(Assumptions!$B$10,Assumptions!$B$9+(Assumptions!$B$10-Assumptions!$B$9)*(8-Assumptions!$B$8)/3))</f>
        <v>633.333333333333</v>
      </c>
      <c r="J7" s="18" t="n">
        <f aca="false">IF(9&lt;Assumptions!$B$8,0,MIN(Assumptions!$B$10,Assumptions!$B$9+(Assumptions!$B$10-Assumptions!$B$9)*(9-Assumptions!$B$8)/3))</f>
        <v>766.666666666667</v>
      </c>
      <c r="K7" s="18" t="n">
        <f aca="false">IF(10&lt;Assumptions!$B$8,0,MIN(Assumptions!$B$10,Assumptions!$B$9+(Assumptions!$B$10-Assumptions!$B$9)*(10-Assumptions!$B$8)/3))</f>
        <v>900</v>
      </c>
      <c r="L7" s="18" t="n">
        <f aca="false">IF(11&lt;Assumptions!$B$8,0,MIN(Assumptions!$B$10,Assumptions!$B$9+(Assumptions!$B$10-Assumptions!$B$9)*(11-Assumptions!$B$8)/3))</f>
        <v>900</v>
      </c>
      <c r="M7" s="18" t="n">
        <f aca="false">IF(12&lt;Assumptions!$B$8,0,MIN(Assumptions!$B$10,Assumptions!$B$9+(Assumptions!$B$10-Assumptions!$B$9)*(12-Assumptions!$B$8)/3))</f>
        <v>900</v>
      </c>
      <c r="N7" s="18" t="n">
        <f aca="false">IF(13&lt;Assumptions!$B$8,0,MIN(Assumptions!$B$10,Assumptions!$B$9+(Assumptions!$B$10-Assumptions!$B$9)*(13-Assumptions!$B$8)/3))</f>
        <v>900</v>
      </c>
      <c r="O7" s="18" t="n">
        <f aca="false">IF(14&lt;Assumptions!$B$8,0,MIN(Assumptions!$B$10,Assumptions!$B$9+(Assumptions!$B$10-Assumptions!$B$9)*(14-Assumptions!$B$8)/3))</f>
        <v>900</v>
      </c>
      <c r="P7" s="18" t="n">
        <f aca="false">IF(15&lt;Assumptions!$B$8,0,MIN(Assumptions!$B$10,Assumptions!$B$9+(Assumptions!$B$10-Assumptions!$B$9)*(15-Assumptions!$B$8)/3))</f>
        <v>900</v>
      </c>
      <c r="Q7" s="18" t="n">
        <f aca="false">IF(16&lt;Assumptions!$B$8,0,MIN(Assumptions!$B$10,Assumptions!$B$9+(Assumptions!$B$10-Assumptions!$B$9)*(16-Assumptions!$B$8)/3))</f>
        <v>900</v>
      </c>
      <c r="R7" s="18" t="n">
        <f aca="false">IF(17&lt;Assumptions!$B$8,0,MIN(Assumptions!$B$10,Assumptions!$B$9+(Assumptions!$B$10-Assumptions!$B$9)*(17-Assumptions!$B$8)/3))</f>
        <v>900</v>
      </c>
      <c r="S7" s="18" t="n">
        <f aca="false">IF(18&lt;Assumptions!$B$8,0,MIN(Assumptions!$B$10,Assumptions!$B$9+(Assumptions!$B$10-Assumptions!$B$9)*(18-Assumptions!$B$8)/3))</f>
        <v>900</v>
      </c>
      <c r="T7" s="18" t="n">
        <f aca="false">IF(19&lt;Assumptions!$B$8,0,MIN(Assumptions!$B$10,Assumptions!$B$9+(Assumptions!$B$10-Assumptions!$B$9)*(19-Assumptions!$B$8)/3))</f>
        <v>900</v>
      </c>
      <c r="U7" s="18" t="n">
        <f aca="false">IF(20&lt;Assumptions!$B$8,0,MIN(Assumptions!$B$10,Assumptions!$B$9+(Assumptions!$B$10-Assumptions!$B$9)*(20-Assumptions!$B$8)/3))</f>
        <v>900</v>
      </c>
      <c r="V7" s="18" t="n">
        <f aca="false">IF(21&lt;Assumptions!$B$8,0,MIN(Assumptions!$B$10,Assumptions!$B$9+(Assumptions!$B$10-Assumptions!$B$9)*(21-Assumptions!$B$8)/3))</f>
        <v>900</v>
      </c>
      <c r="W7" s="18" t="n">
        <f aca="false">IF(22&lt;Assumptions!$B$8,0,MIN(Assumptions!$B$10,Assumptions!$B$9+(Assumptions!$B$10-Assumptions!$B$9)*(22-Assumptions!$B$8)/3))</f>
        <v>900</v>
      </c>
      <c r="X7" s="18" t="n">
        <f aca="false">IF(23&lt;Assumptions!$B$8,0,MIN(Assumptions!$B$10,Assumptions!$B$9+(Assumptions!$B$10-Assumptions!$B$9)*(23-Assumptions!$B$8)/3))</f>
        <v>900</v>
      </c>
      <c r="Y7" s="18" t="n">
        <f aca="false">IF(24&lt;Assumptions!$B$8,0,MIN(Assumptions!$B$10,Assumptions!$B$9+(Assumptions!$B$10-Assumptions!$B$9)*(24-Assumptions!$B$8)/3))</f>
        <v>900</v>
      </c>
      <c r="Z7" s="18" t="n">
        <f aca="false">SUM(B7:M7)</f>
        <v>4600</v>
      </c>
      <c r="AA7" s="18" t="n">
        <f aca="false">SUM(N7:Y7)</f>
        <v>10800</v>
      </c>
      <c r="AB7" s="18" t="n">
        <f aca="false">SUM(B7:Y7)</f>
        <v>15400</v>
      </c>
    </row>
    <row r="8" customFormat="false" ht="15" hidden="false" customHeight="false" outlineLevel="0" collapsed="false">
      <c r="A8" s="15" t="s">
        <v>136</v>
      </c>
      <c r="B8" s="19" t="n">
        <f aca="false">B6+B7</f>
        <v>650</v>
      </c>
      <c r="C8" s="19" t="n">
        <f aca="false">C6+C7</f>
        <v>700</v>
      </c>
      <c r="D8" s="19" t="n">
        <f aca="false">D6+D7</f>
        <v>750</v>
      </c>
      <c r="E8" s="19" t="n">
        <f aca="false">E6+E7</f>
        <v>800</v>
      </c>
      <c r="F8" s="19" t="n">
        <f aca="false">F6+F7</f>
        <v>850</v>
      </c>
      <c r="G8" s="19" t="n">
        <f aca="false">G6+G7</f>
        <v>900</v>
      </c>
      <c r="H8" s="19" t="n">
        <f aca="false">H6+H7</f>
        <v>1400</v>
      </c>
      <c r="I8" s="19" t="n">
        <f aca="false">I6+I7</f>
        <v>1533.33333333333</v>
      </c>
      <c r="J8" s="19" t="n">
        <f aca="false">J6+J7</f>
        <v>1666.66666666667</v>
      </c>
      <c r="K8" s="19" t="n">
        <f aca="false">K6+K7</f>
        <v>1800</v>
      </c>
      <c r="L8" s="19" t="n">
        <f aca="false">L6+L7</f>
        <v>1800</v>
      </c>
      <c r="M8" s="19" t="n">
        <f aca="false">M6+M7</f>
        <v>1800</v>
      </c>
      <c r="N8" s="19" t="n">
        <f aca="false">N6+N7</f>
        <v>1800</v>
      </c>
      <c r="O8" s="19" t="n">
        <f aca="false">O6+O7</f>
        <v>1800</v>
      </c>
      <c r="P8" s="19" t="n">
        <f aca="false">P6+P7</f>
        <v>1800</v>
      </c>
      <c r="Q8" s="19" t="n">
        <f aca="false">Q6+Q7</f>
        <v>1800</v>
      </c>
      <c r="R8" s="19" t="n">
        <f aca="false">R6+R7</f>
        <v>1800</v>
      </c>
      <c r="S8" s="19" t="n">
        <f aca="false">S6+S7</f>
        <v>1800</v>
      </c>
      <c r="T8" s="19" t="n">
        <f aca="false">T6+T7</f>
        <v>1800</v>
      </c>
      <c r="U8" s="19" t="n">
        <f aca="false">U6+U7</f>
        <v>1800</v>
      </c>
      <c r="V8" s="19" t="n">
        <f aca="false">V6+V7</f>
        <v>1800</v>
      </c>
      <c r="W8" s="19" t="n">
        <f aca="false">W6+W7</f>
        <v>1800</v>
      </c>
      <c r="X8" s="19" t="n">
        <f aca="false">X6+X7</f>
        <v>1800</v>
      </c>
      <c r="Y8" s="19" t="n">
        <f aca="false">Y6+Y7</f>
        <v>1800</v>
      </c>
      <c r="Z8" s="19" t="n">
        <f aca="false">SUM(B8:M8)</f>
        <v>14650</v>
      </c>
      <c r="AA8" s="19" t="n">
        <f aca="false">SUM(N8:Y8)</f>
        <v>21600</v>
      </c>
      <c r="AB8" s="19" t="n">
        <f aca="false">SUM(B8:Y8)</f>
        <v>36250</v>
      </c>
    </row>
    <row r="9" customFormat="false" ht="15" hidden="false" customHeight="false" outlineLevel="0" collapsed="false">
      <c r="A9" s="4" t="s">
        <v>137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 customFormat="false" ht="15" hidden="false" customHeight="false" outlineLevel="0" collapsed="false">
      <c r="A10" s="17" t="s">
        <v>138</v>
      </c>
      <c r="B10" s="18" t="n">
        <f aca="false">Assumptions!$B$34*IF(1&gt;=Assumptions!$B$8,Assumptions!$B$45,1)/Assumptions!$B$35</f>
        <v>15.2542372881356</v>
      </c>
      <c r="C10" s="18" t="n">
        <f aca="false">Assumptions!$B$34*IF(2&gt;=Assumptions!$B$8,Assumptions!$B$45,1)/Assumptions!$B$35</f>
        <v>15.2542372881356</v>
      </c>
      <c r="D10" s="18" t="n">
        <f aca="false">Assumptions!$B$34*IF(3&gt;=Assumptions!$B$8,Assumptions!$B$45,1)/Assumptions!$B$35</f>
        <v>15.2542372881356</v>
      </c>
      <c r="E10" s="18" t="n">
        <f aca="false">Assumptions!$B$34*IF(4&gt;=Assumptions!$B$8,Assumptions!$B$45,1)/Assumptions!$B$35</f>
        <v>15.2542372881356</v>
      </c>
      <c r="F10" s="18" t="n">
        <f aca="false">Assumptions!$B$34*IF(5&gt;=Assumptions!$B$8,Assumptions!$B$45,1)/Assumptions!$B$35</f>
        <v>15.2542372881356</v>
      </c>
      <c r="G10" s="18" t="n">
        <f aca="false">Assumptions!$B$34*IF(6&gt;=Assumptions!$B$8,Assumptions!$B$45,1)/Assumptions!$B$35</f>
        <v>15.2542372881356</v>
      </c>
      <c r="H10" s="18" t="n">
        <f aca="false">Assumptions!$B$34*IF(7&gt;=Assumptions!$B$8,Assumptions!$B$45,1)/Assumptions!$B$35</f>
        <v>24.4067796610169</v>
      </c>
      <c r="I10" s="18" t="n">
        <f aca="false">Assumptions!$B$34*IF(8&gt;=Assumptions!$B$8,Assumptions!$B$45,1)/Assumptions!$B$35</f>
        <v>24.4067796610169</v>
      </c>
      <c r="J10" s="18" t="n">
        <f aca="false">Assumptions!$B$34*IF(9&gt;=Assumptions!$B$8,Assumptions!$B$45,1)/Assumptions!$B$35</f>
        <v>24.4067796610169</v>
      </c>
      <c r="K10" s="18" t="n">
        <f aca="false">Assumptions!$B$34*IF(10&gt;=Assumptions!$B$8,Assumptions!$B$45,1)/Assumptions!$B$35</f>
        <v>24.4067796610169</v>
      </c>
      <c r="L10" s="18" t="n">
        <f aca="false">Assumptions!$B$34*IF(11&gt;=Assumptions!$B$8,Assumptions!$B$45,1)/Assumptions!$B$35</f>
        <v>24.4067796610169</v>
      </c>
      <c r="M10" s="18" t="n">
        <f aca="false">Assumptions!$B$34*IF(12&gt;=Assumptions!$B$8,Assumptions!$B$45,1)/Assumptions!$B$35</f>
        <v>24.4067796610169</v>
      </c>
      <c r="N10" s="18" t="n">
        <f aca="false">Assumptions!$B$34*IF(13&gt;=Assumptions!$B$8,Assumptions!$B$45,1)/Assumptions!$B$35</f>
        <v>24.4067796610169</v>
      </c>
      <c r="O10" s="18" t="n">
        <f aca="false">Assumptions!$B$34*IF(14&gt;=Assumptions!$B$8,Assumptions!$B$45,1)/Assumptions!$B$35</f>
        <v>24.4067796610169</v>
      </c>
      <c r="P10" s="18" t="n">
        <f aca="false">Assumptions!$B$34*IF(15&gt;=Assumptions!$B$8,Assumptions!$B$45,1)/Assumptions!$B$35</f>
        <v>24.4067796610169</v>
      </c>
      <c r="Q10" s="18" t="n">
        <f aca="false">Assumptions!$B$34*IF(16&gt;=Assumptions!$B$8,Assumptions!$B$45,1)/Assumptions!$B$35</f>
        <v>24.4067796610169</v>
      </c>
      <c r="R10" s="18" t="n">
        <f aca="false">Assumptions!$B$34*IF(17&gt;=Assumptions!$B$8,Assumptions!$B$45,1)/Assumptions!$B$35</f>
        <v>24.4067796610169</v>
      </c>
      <c r="S10" s="18" t="n">
        <f aca="false">Assumptions!$B$34*IF(18&gt;=Assumptions!$B$8,Assumptions!$B$45,1)/Assumptions!$B$35</f>
        <v>24.4067796610169</v>
      </c>
      <c r="T10" s="18" t="n">
        <f aca="false">Assumptions!$B$34*IF(19&gt;=Assumptions!$B$8,Assumptions!$B$45,1)/Assumptions!$B$35</f>
        <v>24.4067796610169</v>
      </c>
      <c r="U10" s="18" t="n">
        <f aca="false">Assumptions!$B$34*IF(20&gt;=Assumptions!$B$8,Assumptions!$B$45,1)/Assumptions!$B$35</f>
        <v>24.4067796610169</v>
      </c>
      <c r="V10" s="18" t="n">
        <f aca="false">Assumptions!$B$34*IF(21&gt;=Assumptions!$B$8,Assumptions!$B$45,1)/Assumptions!$B$35</f>
        <v>24.4067796610169</v>
      </c>
      <c r="W10" s="18" t="n">
        <f aca="false">Assumptions!$B$34*IF(22&gt;=Assumptions!$B$8,Assumptions!$B$45,1)/Assumptions!$B$35</f>
        <v>24.4067796610169</v>
      </c>
      <c r="X10" s="18" t="n">
        <f aca="false">Assumptions!$B$34*IF(23&gt;=Assumptions!$B$8,Assumptions!$B$45,1)/Assumptions!$B$35</f>
        <v>24.4067796610169</v>
      </c>
      <c r="Y10" s="18" t="n">
        <f aca="false">Assumptions!$B$34*IF(24&gt;=Assumptions!$B$8,Assumptions!$B$45,1)/Assumptions!$B$35</f>
        <v>24.4067796610169</v>
      </c>
      <c r="Z10" s="18" t="n">
        <f aca="false">SUM(B10:M10)</f>
        <v>237.966101694915</v>
      </c>
      <c r="AA10" s="18" t="n">
        <f aca="false">SUM(N10:Y10)</f>
        <v>292.881355932203</v>
      </c>
      <c r="AB10" s="18" t="n">
        <f aca="false">SUM(B10:Y10)</f>
        <v>530.847457627119</v>
      </c>
    </row>
    <row r="11" customFormat="false" ht="15" hidden="false" customHeight="false" outlineLevel="0" collapsed="false">
      <c r="A11" s="17" t="s">
        <v>139</v>
      </c>
      <c r="B11" s="18" t="n">
        <f aca="false">IF(1&gt;=2,Assumptions!$B$37*IF(1&gt;=Assumptions!$B$8,Assumptions!$B$45,1)/Assumptions!$B$38,0)</f>
        <v>0</v>
      </c>
      <c r="C11" s="18" t="n">
        <f aca="false">IF(2&gt;=2,Assumptions!$B$37*IF(2&gt;=Assumptions!$B$8,Assumptions!$B$45,1)/Assumptions!$B$38,0)</f>
        <v>10.9090909090909</v>
      </c>
      <c r="D11" s="18" t="n">
        <f aca="false">IF(3&gt;=2,Assumptions!$B$37*IF(3&gt;=Assumptions!$B$8,Assumptions!$B$45,1)/Assumptions!$B$38,0)</f>
        <v>10.9090909090909</v>
      </c>
      <c r="E11" s="18" t="n">
        <f aca="false">IF(4&gt;=2,Assumptions!$B$37*IF(4&gt;=Assumptions!$B$8,Assumptions!$B$45,1)/Assumptions!$B$38,0)</f>
        <v>10.9090909090909</v>
      </c>
      <c r="F11" s="18" t="n">
        <f aca="false">IF(5&gt;=2,Assumptions!$B$37*IF(5&gt;=Assumptions!$B$8,Assumptions!$B$45,1)/Assumptions!$B$38,0)</f>
        <v>10.9090909090909</v>
      </c>
      <c r="G11" s="18" t="n">
        <f aca="false">IF(6&gt;=2,Assumptions!$B$37*IF(6&gt;=Assumptions!$B$8,Assumptions!$B$45,1)/Assumptions!$B$38,0)</f>
        <v>10.9090909090909</v>
      </c>
      <c r="H11" s="18" t="n">
        <f aca="false">IF(7&gt;=2,Assumptions!$B$37*IF(7&gt;=Assumptions!$B$8,Assumptions!$B$45,1)/Assumptions!$B$38,0)</f>
        <v>17.4545454545455</v>
      </c>
      <c r="I11" s="18" t="n">
        <f aca="false">IF(8&gt;=2,Assumptions!$B$37*IF(8&gt;=Assumptions!$B$8,Assumptions!$B$45,1)/Assumptions!$B$38,0)</f>
        <v>17.4545454545455</v>
      </c>
      <c r="J11" s="18" t="n">
        <f aca="false">IF(9&gt;=2,Assumptions!$B$37*IF(9&gt;=Assumptions!$B$8,Assumptions!$B$45,1)/Assumptions!$B$38,0)</f>
        <v>17.4545454545455</v>
      </c>
      <c r="K11" s="18" t="n">
        <f aca="false">IF(10&gt;=2,Assumptions!$B$37*IF(10&gt;=Assumptions!$B$8,Assumptions!$B$45,1)/Assumptions!$B$38,0)</f>
        <v>17.4545454545455</v>
      </c>
      <c r="L11" s="18" t="n">
        <f aca="false">IF(11&gt;=2,Assumptions!$B$37*IF(11&gt;=Assumptions!$B$8,Assumptions!$B$45,1)/Assumptions!$B$38,0)</f>
        <v>17.4545454545455</v>
      </c>
      <c r="M11" s="18" t="n">
        <f aca="false">IF(12&gt;=2,Assumptions!$B$37*IF(12&gt;=Assumptions!$B$8,Assumptions!$B$45,1)/Assumptions!$B$38,0)</f>
        <v>17.4545454545455</v>
      </c>
      <c r="N11" s="18" t="n">
        <f aca="false">IF(13&gt;=2,Assumptions!$B$37*IF(13&gt;=Assumptions!$B$8,Assumptions!$B$45,1)/Assumptions!$B$38,0)</f>
        <v>17.4545454545455</v>
      </c>
      <c r="O11" s="18" t="n">
        <f aca="false">IF(14&gt;=2,Assumptions!$B$37*IF(14&gt;=Assumptions!$B$8,Assumptions!$B$45,1)/Assumptions!$B$38,0)</f>
        <v>17.4545454545455</v>
      </c>
      <c r="P11" s="18" t="n">
        <f aca="false">IF(15&gt;=2,Assumptions!$B$37*IF(15&gt;=Assumptions!$B$8,Assumptions!$B$45,1)/Assumptions!$B$38,0)</f>
        <v>17.4545454545455</v>
      </c>
      <c r="Q11" s="18" t="n">
        <f aca="false">IF(16&gt;=2,Assumptions!$B$37*IF(16&gt;=Assumptions!$B$8,Assumptions!$B$45,1)/Assumptions!$B$38,0)</f>
        <v>17.4545454545455</v>
      </c>
      <c r="R11" s="18" t="n">
        <f aca="false">IF(17&gt;=2,Assumptions!$B$37*IF(17&gt;=Assumptions!$B$8,Assumptions!$B$45,1)/Assumptions!$B$38,0)</f>
        <v>17.4545454545455</v>
      </c>
      <c r="S11" s="18" t="n">
        <f aca="false">IF(18&gt;=2,Assumptions!$B$37*IF(18&gt;=Assumptions!$B$8,Assumptions!$B$45,1)/Assumptions!$B$38,0)</f>
        <v>17.4545454545455</v>
      </c>
      <c r="T11" s="18" t="n">
        <f aca="false">IF(19&gt;=2,Assumptions!$B$37*IF(19&gt;=Assumptions!$B$8,Assumptions!$B$45,1)/Assumptions!$B$38,0)</f>
        <v>17.4545454545455</v>
      </c>
      <c r="U11" s="18" t="n">
        <f aca="false">IF(20&gt;=2,Assumptions!$B$37*IF(20&gt;=Assumptions!$B$8,Assumptions!$B$45,1)/Assumptions!$B$38,0)</f>
        <v>17.4545454545455</v>
      </c>
      <c r="V11" s="18" t="n">
        <f aca="false">IF(21&gt;=2,Assumptions!$B$37*IF(21&gt;=Assumptions!$B$8,Assumptions!$B$45,1)/Assumptions!$B$38,0)</f>
        <v>17.4545454545455</v>
      </c>
      <c r="W11" s="18" t="n">
        <f aca="false">IF(22&gt;=2,Assumptions!$B$37*IF(22&gt;=Assumptions!$B$8,Assumptions!$B$45,1)/Assumptions!$B$38,0)</f>
        <v>17.4545454545455</v>
      </c>
      <c r="X11" s="18" t="n">
        <f aca="false">IF(23&gt;=2,Assumptions!$B$37*IF(23&gt;=Assumptions!$B$8,Assumptions!$B$45,1)/Assumptions!$B$38,0)</f>
        <v>17.4545454545455</v>
      </c>
      <c r="Y11" s="18" t="n">
        <f aca="false">IF(24&gt;=2,Assumptions!$B$37*IF(24&gt;=Assumptions!$B$8,Assumptions!$B$45,1)/Assumptions!$B$38,0)</f>
        <v>17.4545454545455</v>
      </c>
      <c r="Z11" s="18" t="n">
        <f aca="false">SUM(B11:M11)</f>
        <v>159.272727272727</v>
      </c>
      <c r="AA11" s="18" t="n">
        <f aca="false">SUM(N11:Y11)</f>
        <v>209.454545454545</v>
      </c>
      <c r="AB11" s="18" t="n">
        <f aca="false">SUM(B11:Y11)</f>
        <v>368.727272727273</v>
      </c>
    </row>
    <row r="12" customFormat="false" ht="15" hidden="false" customHeight="false" outlineLevel="0" collapsed="false">
      <c r="A12" s="17" t="s">
        <v>140</v>
      </c>
      <c r="B12" s="18" t="n">
        <f aca="false">Assumptions!$B$40*(1+Assumptions!$B$41)^(1-1)</f>
        <v>6</v>
      </c>
      <c r="C12" s="18" t="n">
        <f aca="false">Assumptions!$B$40*(1+Assumptions!$B$41)^(2-1)</f>
        <v>6.36</v>
      </c>
      <c r="D12" s="18" t="n">
        <f aca="false">Assumptions!$B$40*(1+Assumptions!$B$41)^(3-1)</f>
        <v>6.7416</v>
      </c>
      <c r="E12" s="18" t="n">
        <f aca="false">Assumptions!$B$40*(1+Assumptions!$B$41)^(4-1)</f>
        <v>7.146096</v>
      </c>
      <c r="F12" s="18" t="n">
        <f aca="false">Assumptions!$B$40*(1+Assumptions!$B$41)^(5-1)</f>
        <v>7.57486176</v>
      </c>
      <c r="G12" s="18" t="n">
        <f aca="false">Assumptions!$B$40*(1+Assumptions!$B$41)^(6-1)</f>
        <v>8.0293534656</v>
      </c>
      <c r="H12" s="18" t="n">
        <f aca="false">Assumptions!$B$40*(1+Assumptions!$B$41)^(7-1)</f>
        <v>8.511114673536</v>
      </c>
      <c r="I12" s="18" t="n">
        <f aca="false">Assumptions!$B$40*(1+Assumptions!$B$41)^(8-1)</f>
        <v>9.02178155394816</v>
      </c>
      <c r="J12" s="18" t="n">
        <f aca="false">Assumptions!$B$40*(1+Assumptions!$B$41)^(9-1)</f>
        <v>9.56308844718505</v>
      </c>
      <c r="K12" s="18" t="n">
        <f aca="false">Assumptions!$B$40*(1+Assumptions!$B$41)^(10-1)</f>
        <v>10.1368737540162</v>
      </c>
      <c r="L12" s="18" t="n">
        <f aca="false">Assumptions!$B$40*(1+Assumptions!$B$41)^(11-1)</f>
        <v>10.7450861792571</v>
      </c>
      <c r="M12" s="18" t="n">
        <f aca="false">Assumptions!$B$40*(1+Assumptions!$B$41)^(12-1)</f>
        <v>11.3897913500126</v>
      </c>
      <c r="N12" s="18" t="n">
        <f aca="false">Assumptions!$B$40*(1+Assumptions!$B$41)^(13-1)</f>
        <v>12.0731788310133</v>
      </c>
      <c r="O12" s="18" t="n">
        <f aca="false">Assumptions!$B$40*(1+Assumptions!$B$41)^(14-1)</f>
        <v>12.7975695608741</v>
      </c>
      <c r="P12" s="18" t="n">
        <f aca="false">Assumptions!$B$40*(1+Assumptions!$B$41)^(15-1)</f>
        <v>13.5654237345266</v>
      </c>
      <c r="Q12" s="18" t="n">
        <f aca="false">Assumptions!$B$40*(1+Assumptions!$B$41)^(16-1)</f>
        <v>14.3793491585982</v>
      </c>
      <c r="R12" s="18" t="n">
        <f aca="false">Assumptions!$B$40*(1+Assumptions!$B$41)^(17-1)</f>
        <v>15.242110108114</v>
      </c>
      <c r="S12" s="18" t="n">
        <f aca="false">Assumptions!$B$40*(1+Assumptions!$B$41)^(18-1)</f>
        <v>16.1566367146009</v>
      </c>
      <c r="T12" s="18" t="n">
        <f aca="false">Assumptions!$B$40*(1+Assumptions!$B$41)^(19-1)</f>
        <v>17.1260349174769</v>
      </c>
      <c r="U12" s="18" t="n">
        <f aca="false">Assumptions!$B$40*(1+Assumptions!$B$41)^(20-1)</f>
        <v>18.1535970125256</v>
      </c>
      <c r="V12" s="18" t="n">
        <f aca="false">Assumptions!$B$40*(1+Assumptions!$B$41)^(21-1)</f>
        <v>19.2428128332771</v>
      </c>
      <c r="W12" s="18" t="n">
        <f aca="false">Assumptions!$B$40*(1+Assumptions!$B$41)^(22-1)</f>
        <v>20.3973816032737</v>
      </c>
      <c r="X12" s="18" t="n">
        <f aca="false">Assumptions!$B$40*(1+Assumptions!$B$41)^(23-1)</f>
        <v>21.6212244994701</v>
      </c>
      <c r="Y12" s="18" t="n">
        <f aca="false">Assumptions!$B$40*(1+Assumptions!$B$41)^(24-1)</f>
        <v>22.9184979694384</v>
      </c>
      <c r="Z12" s="18" t="n">
        <f aca="false">SUM(B12:M12)</f>
        <v>101.219647183555</v>
      </c>
      <c r="AA12" s="18" t="n">
        <f aca="false">SUM(N12:Y12)</f>
        <v>203.673816943189</v>
      </c>
      <c r="AB12" s="18" t="n">
        <f aca="false">SUM(B12:Y12)</f>
        <v>304.893464126744</v>
      </c>
    </row>
    <row r="13" customFormat="false" ht="15" hidden="false" customHeight="false" outlineLevel="0" collapsed="false">
      <c r="A13" s="15" t="s">
        <v>141</v>
      </c>
      <c r="B13" s="19" t="n">
        <f aca="false">B10+B11+B12</f>
        <v>21.2542372881356</v>
      </c>
      <c r="C13" s="19" t="n">
        <f aca="false">C10+C11+C12</f>
        <v>32.5233281972265</v>
      </c>
      <c r="D13" s="19" t="n">
        <f aca="false">D10+D11+D12</f>
        <v>32.9049281972265</v>
      </c>
      <c r="E13" s="19" t="n">
        <f aca="false">E10+E11+E12</f>
        <v>33.3094241972265</v>
      </c>
      <c r="F13" s="19" t="n">
        <f aca="false">F10+F11+F12</f>
        <v>33.7381899572265</v>
      </c>
      <c r="G13" s="19" t="n">
        <f aca="false">G10+G11+G12</f>
        <v>34.1926816628265</v>
      </c>
      <c r="H13" s="19" t="n">
        <f aca="false">H10+H11+H12</f>
        <v>50.3724397890984</v>
      </c>
      <c r="I13" s="19" t="n">
        <f aca="false">I10+I11+I12</f>
        <v>50.8831066695106</v>
      </c>
      <c r="J13" s="19" t="n">
        <f aca="false">J10+J11+J12</f>
        <v>51.4244135627475</v>
      </c>
      <c r="K13" s="19" t="n">
        <f aca="false">K10+K11+K12</f>
        <v>51.9981988695786</v>
      </c>
      <c r="L13" s="19" t="n">
        <f aca="false">L10+L11+L12</f>
        <v>52.6064112948195</v>
      </c>
      <c r="M13" s="19" t="n">
        <f aca="false">M10+M11+M12</f>
        <v>53.251116465575</v>
      </c>
      <c r="N13" s="19" t="n">
        <f aca="false">N10+N11+N12</f>
        <v>53.9345039465757</v>
      </c>
      <c r="O13" s="19" t="n">
        <f aca="false">O10+O11+O12</f>
        <v>54.6588946764365</v>
      </c>
      <c r="P13" s="19" t="n">
        <f aca="false">P10+P11+P12</f>
        <v>55.426748850089</v>
      </c>
      <c r="Q13" s="19" t="n">
        <f aca="false">Q10+Q11+Q12</f>
        <v>56.2406742741606</v>
      </c>
      <c r="R13" s="19" t="n">
        <f aca="false">R10+R11+R12</f>
        <v>57.1034352236764</v>
      </c>
      <c r="S13" s="19" t="n">
        <f aca="false">S10+S11+S12</f>
        <v>58.0179618301633</v>
      </c>
      <c r="T13" s="19" t="n">
        <f aca="false">T10+T11+T12</f>
        <v>58.9873600330393</v>
      </c>
      <c r="U13" s="19" t="n">
        <f aca="false">U10+U11+U12</f>
        <v>60.014922128088</v>
      </c>
      <c r="V13" s="19" t="n">
        <f aca="false">V10+V11+V12</f>
        <v>61.1041379488395</v>
      </c>
      <c r="W13" s="19" t="n">
        <f aca="false">W10+W11+W12</f>
        <v>62.2587067188361</v>
      </c>
      <c r="X13" s="19" t="n">
        <f aca="false">X10+X11+X12</f>
        <v>63.4825496150325</v>
      </c>
      <c r="Y13" s="19" t="n">
        <f aca="false">Y10+Y11+Y12</f>
        <v>64.7798230850007</v>
      </c>
      <c r="Z13" s="19" t="n">
        <f aca="false">SUM(B13:M13)</f>
        <v>498.458476151198</v>
      </c>
      <c r="AA13" s="19" t="n">
        <f aca="false">SUM(N13:Y13)</f>
        <v>706.009718329938</v>
      </c>
      <c r="AB13" s="19" t="n">
        <f aca="false">SUM(B13:Y13)</f>
        <v>1204.46819448114</v>
      </c>
    </row>
    <row r="14" customFormat="false" ht="15" hidden="false" customHeight="false" outlineLevel="0" collapsed="false">
      <c r="A14" s="17" t="s">
        <v>142</v>
      </c>
      <c r="B14" s="18" t="n">
        <f aca="false">B10*Assumptions!$B$36+B11*Assumptions!$B$39+B12*Assumptions!$B$42</f>
        <v>11.5271186440678</v>
      </c>
      <c r="C14" s="18" t="n">
        <f aca="false">C10*Assumptions!$B$36+C11*Assumptions!$B$39+C12*Assumptions!$B$42</f>
        <v>15.0338459167951</v>
      </c>
      <c r="D14" s="18" t="n">
        <f aca="false">D10*Assumptions!$B$36+D11*Assumptions!$B$39+D12*Assumptions!$B$42</f>
        <v>15.2818859167951</v>
      </c>
      <c r="E14" s="18" t="n">
        <f aca="false">E10*Assumptions!$B$36+E11*Assumptions!$B$39+E12*Assumptions!$B$42</f>
        <v>15.5448083167951</v>
      </c>
      <c r="F14" s="18" t="n">
        <f aca="false">F10*Assumptions!$B$36+F11*Assumptions!$B$39+F12*Assumptions!$B$42</f>
        <v>15.8235060607951</v>
      </c>
      <c r="G14" s="18" t="n">
        <f aca="false">G10*Assumptions!$B$36+G11*Assumptions!$B$39+G12*Assumptions!$B$42</f>
        <v>16.1189256694351</v>
      </c>
      <c r="H14" s="18" t="n">
        <f aca="false">H10*Assumptions!$B$36+H11*Assumptions!$B$39+H12*Assumptions!$B$42</f>
        <v>22.9719780046705</v>
      </c>
      <c r="I14" s="18" t="n">
        <f aca="false">I10*Assumptions!$B$36+I11*Assumptions!$B$39+I12*Assumptions!$B$42</f>
        <v>23.3039114769384</v>
      </c>
      <c r="J14" s="18" t="n">
        <f aca="false">J10*Assumptions!$B$36+J11*Assumptions!$B$39+J12*Assumptions!$B$42</f>
        <v>23.6557609575424</v>
      </c>
      <c r="K14" s="18" t="n">
        <f aca="false">K10*Assumptions!$B$36+K11*Assumptions!$B$39+K12*Assumptions!$B$42</f>
        <v>24.0287214069826</v>
      </c>
      <c r="L14" s="18" t="n">
        <f aca="false">L10*Assumptions!$B$36+L11*Assumptions!$B$39+L12*Assumptions!$B$42</f>
        <v>24.4240594833892</v>
      </c>
      <c r="M14" s="18" t="n">
        <f aca="false">M10*Assumptions!$B$36+M11*Assumptions!$B$39+M12*Assumptions!$B$42</f>
        <v>24.8431178443803</v>
      </c>
      <c r="N14" s="18" t="n">
        <f aca="false">N10*Assumptions!$B$36+N11*Assumptions!$B$39+N12*Assumptions!$B$42</f>
        <v>25.2873197070308</v>
      </c>
      <c r="O14" s="18" t="n">
        <f aca="false">O10*Assumptions!$B$36+O11*Assumptions!$B$39+O12*Assumptions!$B$42</f>
        <v>25.7581736814403</v>
      </c>
      <c r="P14" s="18" t="n">
        <f aca="false">P10*Assumptions!$B$36+P11*Assumptions!$B$39+P12*Assumptions!$B$42</f>
        <v>26.2572788943144</v>
      </c>
      <c r="Q14" s="18" t="n">
        <f aca="false">Q10*Assumptions!$B$36+Q11*Assumptions!$B$39+Q12*Assumptions!$B$42</f>
        <v>26.7863304199609</v>
      </c>
      <c r="R14" s="18" t="n">
        <f aca="false">R10*Assumptions!$B$36+R11*Assumptions!$B$39+R12*Assumptions!$B$42</f>
        <v>27.3471250371462</v>
      </c>
      <c r="S14" s="18" t="n">
        <f aca="false">S10*Assumptions!$B$36+S11*Assumptions!$B$39+S12*Assumptions!$B$42</f>
        <v>27.9415673313627</v>
      </c>
      <c r="T14" s="18" t="n">
        <f aca="false">T10*Assumptions!$B$36+T11*Assumptions!$B$39+T12*Assumptions!$B$42</f>
        <v>28.5716761632321</v>
      </c>
      <c r="U14" s="18" t="n">
        <f aca="false">U10*Assumptions!$B$36+U11*Assumptions!$B$39+U12*Assumptions!$B$42</f>
        <v>29.2395915250137</v>
      </c>
      <c r="V14" s="18" t="n">
        <f aca="false">V10*Assumptions!$B$36+V11*Assumptions!$B$39+V12*Assumptions!$B$42</f>
        <v>29.9475818085022</v>
      </c>
      <c r="W14" s="18" t="n">
        <f aca="false">W10*Assumptions!$B$36+W11*Assumptions!$B$39+W12*Assumptions!$B$42</f>
        <v>30.698051509</v>
      </c>
      <c r="X14" s="18" t="n">
        <f aca="false">X10*Assumptions!$B$36+X11*Assumptions!$B$39+X12*Assumptions!$B$42</f>
        <v>31.4935493915277</v>
      </c>
      <c r="Y14" s="18" t="n">
        <f aca="false">Y10*Assumptions!$B$36+Y11*Assumptions!$B$39+Y12*Assumptions!$B$42</f>
        <v>32.336777147007</v>
      </c>
      <c r="Z14" s="18" t="n">
        <f aca="false">SUM(B14:M14)</f>
        <v>232.557639698587</v>
      </c>
      <c r="AA14" s="18" t="n">
        <f aca="false">SUM(N14:Y14)</f>
        <v>341.665022615538</v>
      </c>
      <c r="AB14" s="18" t="n">
        <f aca="false">SUM(B14:Y14)</f>
        <v>574.222662314125</v>
      </c>
    </row>
    <row r="15" customFormat="false" ht="15" hidden="false" customHeight="false" outlineLevel="0" collapsed="false">
      <c r="A15" s="15" t="s">
        <v>143</v>
      </c>
      <c r="B15" s="19" t="n">
        <f aca="false">B14*Assumptions!$B$44</f>
        <v>8.06898305084746</v>
      </c>
      <c r="C15" s="19" t="n">
        <f aca="false">C14*Assumptions!$B$44</f>
        <v>10.5236921417565</v>
      </c>
      <c r="D15" s="19" t="n">
        <f aca="false">D14*Assumptions!$B$44</f>
        <v>10.6973201417565</v>
      </c>
      <c r="E15" s="19" t="n">
        <f aca="false">E14*Assumptions!$B$44</f>
        <v>10.8813658217565</v>
      </c>
      <c r="F15" s="19" t="n">
        <f aca="false">F14*Assumptions!$B$44</f>
        <v>11.0764542425565</v>
      </c>
      <c r="G15" s="19" t="n">
        <f aca="false">G14*Assumptions!$B$44</f>
        <v>11.2832479686045</v>
      </c>
      <c r="H15" s="19" t="n">
        <f aca="false">H14*Assumptions!$B$44</f>
        <v>16.0803846032694</v>
      </c>
      <c r="I15" s="19" t="n">
        <f aca="false">I14*Assumptions!$B$44</f>
        <v>16.3127380338569</v>
      </c>
      <c r="J15" s="19" t="n">
        <f aca="false">J14*Assumptions!$B$44</f>
        <v>16.5590326702797</v>
      </c>
      <c r="K15" s="19" t="n">
        <f aca="false">K14*Assumptions!$B$44</f>
        <v>16.8201049848878</v>
      </c>
      <c r="L15" s="19" t="n">
        <f aca="false">L14*Assumptions!$B$44</f>
        <v>17.0968416383725</v>
      </c>
      <c r="M15" s="19" t="n">
        <f aca="false">M14*Assumptions!$B$44</f>
        <v>17.3901824910662</v>
      </c>
      <c r="N15" s="19" t="n">
        <f aca="false">N14*Assumptions!$B$44</f>
        <v>17.7011237949215</v>
      </c>
      <c r="O15" s="19" t="n">
        <f aca="false">O14*Assumptions!$B$44</f>
        <v>18.0307215770082</v>
      </c>
      <c r="P15" s="19" t="n">
        <f aca="false">P14*Assumptions!$B$44</f>
        <v>18.3800952260201</v>
      </c>
      <c r="Q15" s="19" t="n">
        <f aca="false">Q14*Assumptions!$B$44</f>
        <v>18.7504312939726</v>
      </c>
      <c r="R15" s="19" t="n">
        <f aca="false">R14*Assumptions!$B$44</f>
        <v>19.1429875260024</v>
      </c>
      <c r="S15" s="19" t="n">
        <f aca="false">S14*Assumptions!$B$44</f>
        <v>19.5590971319539</v>
      </c>
      <c r="T15" s="19" t="n">
        <f aca="false">T14*Assumptions!$B$44</f>
        <v>20.0001733142625</v>
      </c>
      <c r="U15" s="19" t="n">
        <f aca="false">U14*Assumptions!$B$44</f>
        <v>20.4677140675096</v>
      </c>
      <c r="V15" s="19" t="n">
        <f aca="false">V14*Assumptions!$B$44</f>
        <v>20.9633072659516</v>
      </c>
      <c r="W15" s="19" t="n">
        <f aca="false">W14*Assumptions!$B$44</f>
        <v>21.4886360563</v>
      </c>
      <c r="X15" s="19" t="n">
        <f aca="false">X14*Assumptions!$B$44</f>
        <v>22.0454845740694</v>
      </c>
      <c r="Y15" s="19" t="n">
        <f aca="false">Y14*Assumptions!$B$44</f>
        <v>22.6357440029049</v>
      </c>
      <c r="Z15" s="19" t="n">
        <f aca="false">SUM(B15:M15)</f>
        <v>162.790347789011</v>
      </c>
      <c r="AA15" s="19" t="n">
        <f aca="false">SUM(N15:Y15)</f>
        <v>239.165515830877</v>
      </c>
      <c r="AB15" s="19" t="n">
        <f aca="false">SUM(B15:Y15)</f>
        <v>401.955863619887</v>
      </c>
    </row>
    <row r="16" customFormat="false" ht="15" hidden="false" customHeight="false" outlineLevel="0" collapsed="false">
      <c r="A16" s="17" t="s">
        <v>144</v>
      </c>
      <c r="B16" s="18" t="n">
        <f aca="false">B15*Assumptions!$B$11</f>
        <v>806.898305084746</v>
      </c>
      <c r="C16" s="18" t="n">
        <f aca="false">C15*Assumptions!$B$11</f>
        <v>1052.36921417565</v>
      </c>
      <c r="D16" s="18" t="n">
        <f aca="false">D15*Assumptions!$B$11</f>
        <v>1069.73201417565</v>
      </c>
      <c r="E16" s="18" t="n">
        <f aca="false">E15*Assumptions!$B$11</f>
        <v>1088.13658217566</v>
      </c>
      <c r="F16" s="18" t="n">
        <f aca="false">F15*Assumptions!$B$11</f>
        <v>1107.64542425566</v>
      </c>
      <c r="G16" s="18" t="n">
        <f aca="false">G15*Assumptions!$B$11</f>
        <v>1128.32479686045</v>
      </c>
      <c r="H16" s="18" t="n">
        <f aca="false">H15*Assumptions!$B$11</f>
        <v>1608.03846032694</v>
      </c>
      <c r="I16" s="18" t="n">
        <f aca="false">I15*Assumptions!$B$11</f>
        <v>1631.27380338569</v>
      </c>
      <c r="J16" s="18" t="n">
        <f aca="false">J15*Assumptions!$B$11</f>
        <v>1655.90326702797</v>
      </c>
      <c r="K16" s="18" t="n">
        <f aca="false">K15*Assumptions!$B$11</f>
        <v>1682.01049848878</v>
      </c>
      <c r="L16" s="18" t="n">
        <f aca="false">L15*Assumptions!$B$11</f>
        <v>1709.68416383725</v>
      </c>
      <c r="M16" s="18" t="n">
        <f aca="false">M15*Assumptions!$B$11</f>
        <v>1739.01824910662</v>
      </c>
      <c r="N16" s="18" t="n">
        <f aca="false">N15*Assumptions!$B$11</f>
        <v>1770.11237949215</v>
      </c>
      <c r="O16" s="18" t="n">
        <f aca="false">O15*Assumptions!$B$11</f>
        <v>1803.07215770082</v>
      </c>
      <c r="P16" s="18" t="n">
        <f aca="false">P15*Assumptions!$B$11</f>
        <v>1838.00952260201</v>
      </c>
      <c r="Q16" s="18" t="n">
        <f aca="false">Q15*Assumptions!$B$11</f>
        <v>1875.04312939726</v>
      </c>
      <c r="R16" s="18" t="n">
        <f aca="false">R15*Assumptions!$B$11</f>
        <v>1914.29875260024</v>
      </c>
      <c r="S16" s="18" t="n">
        <f aca="false">S15*Assumptions!$B$11</f>
        <v>1955.90971319539</v>
      </c>
      <c r="T16" s="18" t="n">
        <f aca="false">T15*Assumptions!$B$11</f>
        <v>2000.01733142625</v>
      </c>
      <c r="U16" s="18" t="n">
        <f aca="false">U15*Assumptions!$B$11</f>
        <v>2046.77140675096</v>
      </c>
      <c r="V16" s="18" t="n">
        <f aca="false">V15*Assumptions!$B$11</f>
        <v>2096.33072659516</v>
      </c>
      <c r="W16" s="18" t="n">
        <f aca="false">W15*Assumptions!$B$11</f>
        <v>2148.86360563</v>
      </c>
      <c r="X16" s="18" t="n">
        <f aca="false">X15*Assumptions!$B$11</f>
        <v>2204.54845740694</v>
      </c>
      <c r="Y16" s="18" t="n">
        <f aca="false">Y15*Assumptions!$B$11</f>
        <v>2263.57440029049</v>
      </c>
      <c r="Z16" s="18" t="n">
        <f aca="false">SUM(B16:M16)</f>
        <v>16279.0347789011</v>
      </c>
      <c r="AA16" s="18" t="n">
        <f aca="false">SUM(N16:Y16)</f>
        <v>23916.5515830877</v>
      </c>
      <c r="AB16" s="18" t="n">
        <f aca="false">SUM(B16:Y16)</f>
        <v>40195.5863619887</v>
      </c>
    </row>
    <row r="17" customFormat="false" ht="15" hidden="false" customHeight="false" outlineLevel="0" collapsed="false">
      <c r="A17" s="15" t="s">
        <v>145</v>
      </c>
      <c r="B17" s="19" t="n">
        <f aca="false">MIN(B16+0,B8)</f>
        <v>650</v>
      </c>
      <c r="C17" s="19" t="n">
        <f aca="false">MIN(C16+B18,C8)</f>
        <v>700</v>
      </c>
      <c r="D17" s="19" t="n">
        <f aca="false">MIN(D16+C18,D8)</f>
        <v>750</v>
      </c>
      <c r="E17" s="19" t="n">
        <f aca="false">MIN(E16+D18,E8)</f>
        <v>800</v>
      </c>
      <c r="F17" s="19" t="n">
        <f aca="false">MIN(F16+E18,F8)</f>
        <v>850</v>
      </c>
      <c r="G17" s="19" t="n">
        <f aca="false">MIN(G16+F18,G8)</f>
        <v>900</v>
      </c>
      <c r="H17" s="19" t="n">
        <f aca="false">MIN(H16+G18,H8)</f>
        <v>1400</v>
      </c>
      <c r="I17" s="19" t="n">
        <f aca="false">MIN(I16+H18,I8)</f>
        <v>1533.33333333333</v>
      </c>
      <c r="J17" s="19" t="n">
        <f aca="false">MIN(J16+I18,J8)</f>
        <v>1666.66666666667</v>
      </c>
      <c r="K17" s="19" t="n">
        <f aca="false">MIN(K16+J18,K8)</f>
        <v>1800</v>
      </c>
      <c r="L17" s="19" t="n">
        <f aca="false">MIN(L16+K18,L8)</f>
        <v>1800</v>
      </c>
      <c r="M17" s="19" t="n">
        <f aca="false">MIN(M16+L18,M8)</f>
        <v>1800</v>
      </c>
      <c r="N17" s="19" t="n">
        <f aca="false">MIN(N16+M18,N8)</f>
        <v>1800</v>
      </c>
      <c r="O17" s="19" t="n">
        <f aca="false">MIN(O16+N18,O8)</f>
        <v>1800</v>
      </c>
      <c r="P17" s="19" t="n">
        <f aca="false">MIN(P16+O18,P8)</f>
        <v>1800</v>
      </c>
      <c r="Q17" s="19" t="n">
        <f aca="false">MIN(Q16+P18,Q8)</f>
        <v>1800</v>
      </c>
      <c r="R17" s="19" t="n">
        <f aca="false">MIN(R16+Q18,R8)</f>
        <v>1800</v>
      </c>
      <c r="S17" s="19" t="n">
        <f aca="false">MIN(S16+R18,S8)</f>
        <v>1800</v>
      </c>
      <c r="T17" s="19" t="n">
        <f aca="false">MIN(T16+S18,T8)</f>
        <v>1800</v>
      </c>
      <c r="U17" s="19" t="n">
        <f aca="false">MIN(U16+T18,U8)</f>
        <v>1800</v>
      </c>
      <c r="V17" s="19" t="n">
        <f aca="false">MIN(V16+U18,V8)</f>
        <v>1800</v>
      </c>
      <c r="W17" s="19" t="n">
        <f aca="false">MIN(W16+V18,W8)</f>
        <v>1800</v>
      </c>
      <c r="X17" s="19" t="n">
        <f aca="false">MIN(X16+W18,X8)</f>
        <v>1800</v>
      </c>
      <c r="Y17" s="19" t="n">
        <f aca="false">MIN(Y16+X18,Y8)</f>
        <v>1800</v>
      </c>
      <c r="Z17" s="19" t="n">
        <f aca="false">SUM(B17:M17)</f>
        <v>14650</v>
      </c>
      <c r="AA17" s="19" t="n">
        <f aca="false">SUM(N17:Y17)</f>
        <v>21600</v>
      </c>
      <c r="AB17" s="19" t="n">
        <f aca="false">SUM(B17:Y17)</f>
        <v>36250</v>
      </c>
    </row>
    <row r="18" customFormat="false" ht="15" hidden="false" customHeight="false" outlineLevel="0" collapsed="false">
      <c r="A18" s="17" t="s">
        <v>146</v>
      </c>
      <c r="B18" s="18" t="n">
        <f aca="false">MIN(B8*Assumptions!$B$12,MAX(0,B16+0-B17))</f>
        <v>156.898305084746</v>
      </c>
      <c r="C18" s="18" t="n">
        <f aca="false">MIN(C8*Assumptions!$B$12,MAX(0,C16+B18-C17))</f>
        <v>509.267519260401</v>
      </c>
      <c r="D18" s="18" t="n">
        <f aca="false">MIN(D8*Assumptions!$B$12,MAX(0,D16+C18-D17))</f>
        <v>750</v>
      </c>
      <c r="E18" s="18" t="n">
        <f aca="false">MIN(E8*Assumptions!$B$12,MAX(0,E16+D18-E17))</f>
        <v>800</v>
      </c>
      <c r="F18" s="18" t="n">
        <f aca="false">MIN(F8*Assumptions!$B$12,MAX(0,F16+E18-F17))</f>
        <v>850</v>
      </c>
      <c r="G18" s="18" t="n">
        <f aca="false">MIN(G8*Assumptions!$B$12,MAX(0,G16+F18-G17))</f>
        <v>900</v>
      </c>
      <c r="H18" s="18" t="n">
        <f aca="false">MIN(H8*Assumptions!$B$12,MAX(0,H16+G18-H17))</f>
        <v>1108.03846032694</v>
      </c>
      <c r="I18" s="18" t="n">
        <f aca="false">MIN(I8*Assumptions!$B$12,MAX(0,I16+H18-I17))</f>
        <v>1205.97893037929</v>
      </c>
      <c r="J18" s="18" t="n">
        <f aca="false">MIN(J8*Assumptions!$B$12,MAX(0,J16+I18-J17))</f>
        <v>1195.21553074059</v>
      </c>
      <c r="K18" s="18" t="n">
        <f aca="false">MIN(K8*Assumptions!$B$12,MAX(0,K16+J18-K17))</f>
        <v>1077.22602922937</v>
      </c>
      <c r="L18" s="18" t="n">
        <f aca="false">MIN(L8*Assumptions!$B$12,MAX(0,L16+K18-L17))</f>
        <v>986.910193066621</v>
      </c>
      <c r="M18" s="18" t="n">
        <f aca="false">MIN(M8*Assumptions!$B$12,MAX(0,M16+L18-M17))</f>
        <v>925.92844217324</v>
      </c>
      <c r="N18" s="18" t="n">
        <f aca="false">MIN(N8*Assumptions!$B$12,MAX(0,N16+M18-N17))</f>
        <v>896.040821665393</v>
      </c>
      <c r="O18" s="18" t="n">
        <f aca="false">MIN(O8*Assumptions!$B$12,MAX(0,O16+N18-O17))</f>
        <v>899.112979366212</v>
      </c>
      <c r="P18" s="18" t="n">
        <f aca="false">MIN(P8*Assumptions!$B$12,MAX(0,P16+O18-P17))</f>
        <v>937.122501968218</v>
      </c>
      <c r="Q18" s="18" t="n">
        <f aca="false">MIN(Q8*Assumptions!$B$12,MAX(0,Q16+P18-Q17))</f>
        <v>1012.16563136548</v>
      </c>
      <c r="R18" s="18" t="n">
        <f aca="false">MIN(R8*Assumptions!$B$12,MAX(0,R16+Q18-R17))</f>
        <v>1126.46438396572</v>
      </c>
      <c r="S18" s="18" t="n">
        <f aca="false">MIN(S8*Assumptions!$B$12,MAX(0,S16+R18-S17))</f>
        <v>1282.37409716111</v>
      </c>
      <c r="T18" s="18" t="n">
        <f aca="false">MIN(T8*Assumptions!$B$12,MAX(0,T16+S18-T17))</f>
        <v>1482.39142858735</v>
      </c>
      <c r="U18" s="18" t="n">
        <f aca="false">MIN(U8*Assumptions!$B$12,MAX(0,U16+T18-U17))</f>
        <v>1729.16283533831</v>
      </c>
      <c r="V18" s="18" t="n">
        <f aca="false">MIN(V8*Assumptions!$B$12,MAX(0,V16+U18-V17))</f>
        <v>1800</v>
      </c>
      <c r="W18" s="18" t="n">
        <f aca="false">MIN(W8*Assumptions!$B$12,MAX(0,W16+V18-W17))</f>
        <v>1800</v>
      </c>
      <c r="X18" s="18" t="n">
        <f aca="false">MIN(X8*Assumptions!$B$12,MAX(0,X16+W18-X17))</f>
        <v>1800</v>
      </c>
      <c r="Y18" s="18" t="n">
        <f aca="false">MIN(Y8*Assumptions!$B$12,MAX(0,Y16+X18-Y17))</f>
        <v>1800</v>
      </c>
      <c r="Z18" s="2"/>
      <c r="AA18" s="2"/>
      <c r="AB18" s="2"/>
    </row>
    <row r="19" customFormat="false" ht="15" hidden="false" customHeight="false" outlineLevel="0" collapsed="false">
      <c r="A19" s="17" t="s">
        <v>147</v>
      </c>
      <c r="B19" s="20" t="n">
        <f aca="false">IF(B8=0,0,B17/B8)</f>
        <v>1</v>
      </c>
      <c r="C19" s="20" t="n">
        <f aca="false">IF(C8=0,0,C17/C8)</f>
        <v>1</v>
      </c>
      <c r="D19" s="20" t="n">
        <f aca="false">IF(D8=0,0,D17/D8)</f>
        <v>1</v>
      </c>
      <c r="E19" s="20" t="n">
        <f aca="false">IF(E8=0,0,E17/E8)</f>
        <v>1</v>
      </c>
      <c r="F19" s="20" t="n">
        <f aca="false">IF(F8=0,0,F17/F8)</f>
        <v>1</v>
      </c>
      <c r="G19" s="20" t="n">
        <f aca="false">IF(G8=0,0,G17/G8)</f>
        <v>1</v>
      </c>
      <c r="H19" s="20" t="n">
        <f aca="false">IF(H8=0,0,H17/H8)</f>
        <v>1</v>
      </c>
      <c r="I19" s="20" t="n">
        <f aca="false">IF(I8=0,0,I17/I8)</f>
        <v>1</v>
      </c>
      <c r="J19" s="20" t="n">
        <f aca="false">IF(J8=0,0,J17/J8)</f>
        <v>1</v>
      </c>
      <c r="K19" s="20" t="n">
        <f aca="false">IF(K8=0,0,K17/K8)</f>
        <v>1</v>
      </c>
      <c r="L19" s="20" t="n">
        <f aca="false">IF(L8=0,0,L17/L8)</f>
        <v>1</v>
      </c>
      <c r="M19" s="20" t="n">
        <f aca="false">IF(M8=0,0,M17/M8)</f>
        <v>1</v>
      </c>
      <c r="N19" s="20" t="n">
        <f aca="false">IF(N8=0,0,N17/N8)</f>
        <v>1</v>
      </c>
      <c r="O19" s="20" t="n">
        <f aca="false">IF(O8=0,0,O17/O8)</f>
        <v>1</v>
      </c>
      <c r="P19" s="20" t="n">
        <f aca="false">IF(P8=0,0,P17/P8)</f>
        <v>1</v>
      </c>
      <c r="Q19" s="20" t="n">
        <f aca="false">IF(Q8=0,0,Q17/Q8)</f>
        <v>1</v>
      </c>
      <c r="R19" s="20" t="n">
        <f aca="false">IF(R8=0,0,R17/R8)</f>
        <v>1</v>
      </c>
      <c r="S19" s="20" t="n">
        <f aca="false">IF(S8=0,0,S17/S8)</f>
        <v>1</v>
      </c>
      <c r="T19" s="20" t="n">
        <f aca="false">IF(T8=0,0,T17/T8)</f>
        <v>1</v>
      </c>
      <c r="U19" s="20" t="n">
        <f aca="false">IF(U8=0,0,U17/U8)</f>
        <v>1</v>
      </c>
      <c r="V19" s="20" t="n">
        <f aca="false">IF(V8=0,0,V17/V8)</f>
        <v>1</v>
      </c>
      <c r="W19" s="20" t="n">
        <f aca="false">IF(W8=0,0,W17/W8)</f>
        <v>1</v>
      </c>
      <c r="X19" s="20" t="n">
        <f aca="false">IF(X8=0,0,X17/X8)</f>
        <v>1</v>
      </c>
      <c r="Y19" s="20" t="n">
        <f aca="false">IF(Y8=0,0,Y17/Y8)</f>
        <v>1</v>
      </c>
      <c r="Z19" s="2"/>
      <c r="AA19" s="2"/>
      <c r="AB19" s="2"/>
    </row>
    <row r="20" customFormat="false" ht="15" hidden="false" customHeight="false" outlineLevel="0" collapsed="false">
      <c r="A20" s="4" t="s">
        <v>148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 customFormat="false" ht="15" hidden="false" customHeight="false" outlineLevel="0" collapsed="false">
      <c r="A21" s="17" t="s">
        <v>149</v>
      </c>
      <c r="B21" s="21" t="n">
        <f aca="false">B17*Assumptions!$B$5</f>
        <v>27300</v>
      </c>
      <c r="C21" s="21" t="n">
        <f aca="false">C17*Assumptions!$B$5</f>
        <v>29400</v>
      </c>
      <c r="D21" s="21" t="n">
        <f aca="false">D17*Assumptions!$B$5</f>
        <v>31500</v>
      </c>
      <c r="E21" s="21" t="n">
        <f aca="false">E17*Assumptions!$B$5</f>
        <v>33600</v>
      </c>
      <c r="F21" s="21" t="n">
        <f aca="false">F17*Assumptions!$B$5</f>
        <v>35700</v>
      </c>
      <c r="G21" s="21" t="n">
        <f aca="false">G17*Assumptions!$B$5</f>
        <v>37800</v>
      </c>
      <c r="H21" s="21" t="n">
        <f aca="false">H17*Assumptions!$B$5</f>
        <v>58800</v>
      </c>
      <c r="I21" s="21" t="n">
        <f aca="false">I17*Assumptions!$B$5</f>
        <v>64400</v>
      </c>
      <c r="J21" s="21" t="n">
        <f aca="false">J17*Assumptions!$B$5</f>
        <v>70000</v>
      </c>
      <c r="K21" s="21" t="n">
        <f aca="false">K17*Assumptions!$B$5</f>
        <v>75600</v>
      </c>
      <c r="L21" s="21" t="n">
        <f aca="false">L17*Assumptions!$B$5</f>
        <v>75600</v>
      </c>
      <c r="M21" s="21" t="n">
        <f aca="false">M17*Assumptions!$B$5</f>
        <v>75600</v>
      </c>
      <c r="N21" s="21" t="n">
        <f aca="false">N17*Assumptions!$B$5</f>
        <v>75600</v>
      </c>
      <c r="O21" s="21" t="n">
        <f aca="false">O17*Assumptions!$B$5</f>
        <v>75600</v>
      </c>
      <c r="P21" s="21" t="n">
        <f aca="false">P17*Assumptions!$B$5</f>
        <v>75600</v>
      </c>
      <c r="Q21" s="21" t="n">
        <f aca="false">Q17*Assumptions!$B$5</f>
        <v>75600</v>
      </c>
      <c r="R21" s="21" t="n">
        <f aca="false">R17*Assumptions!$B$5</f>
        <v>75600</v>
      </c>
      <c r="S21" s="21" t="n">
        <f aca="false">S17*Assumptions!$B$5</f>
        <v>75600</v>
      </c>
      <c r="T21" s="21" t="n">
        <f aca="false">T17*Assumptions!$B$5</f>
        <v>75600</v>
      </c>
      <c r="U21" s="21" t="n">
        <f aca="false">U17*Assumptions!$B$5</f>
        <v>75600</v>
      </c>
      <c r="V21" s="21" t="n">
        <f aca="false">V17*Assumptions!$B$5</f>
        <v>75600</v>
      </c>
      <c r="W21" s="21" t="n">
        <f aca="false">W17*Assumptions!$B$5</f>
        <v>75600</v>
      </c>
      <c r="X21" s="21" t="n">
        <f aca="false">X17*Assumptions!$B$5</f>
        <v>75600</v>
      </c>
      <c r="Y21" s="21" t="n">
        <f aca="false">Y17*Assumptions!$B$5</f>
        <v>75600</v>
      </c>
      <c r="Z21" s="21" t="n">
        <f aca="false">SUM(B21:M21)</f>
        <v>615300</v>
      </c>
      <c r="AA21" s="21" t="n">
        <f aca="false">SUM(N21:Y21)</f>
        <v>907200</v>
      </c>
      <c r="AB21" s="21" t="n">
        <f aca="false">SUM(B21:Y21)</f>
        <v>1522500</v>
      </c>
    </row>
    <row r="22" customFormat="false" ht="15" hidden="false" customHeight="false" outlineLevel="0" collapsed="false">
      <c r="A22" s="17" t="s">
        <v>150</v>
      </c>
      <c r="B22" s="18" t="n">
        <f aca="false">IF(1&lt;Assumptions!$B$26,0,B17/Assumptions!$B$11*Assumptions!$B$23+IF(1&lt;=Assumptions!$B$26+11,Assumptions!$B$24*Assumptions!$B$25/12,0))</f>
        <v>0</v>
      </c>
      <c r="C22" s="18" t="n">
        <f aca="false">IF(2&lt;Assumptions!$B$26,0,C17/Assumptions!$B$11*Assumptions!$B$23+IF(2&lt;=Assumptions!$B$26+11,Assumptions!$B$24*Assumptions!$B$25/12,0))</f>
        <v>0</v>
      </c>
      <c r="D22" s="18" t="n">
        <f aca="false">IF(3&lt;Assumptions!$B$26,0,D17/Assumptions!$B$11*Assumptions!$B$23+IF(3&lt;=Assumptions!$B$26+11,Assumptions!$B$24*Assumptions!$B$25/12,0))</f>
        <v>4.875</v>
      </c>
      <c r="E22" s="18" t="n">
        <f aca="false">IF(4&lt;Assumptions!$B$26,0,E17/Assumptions!$B$11*Assumptions!$B$23+IF(4&lt;=Assumptions!$B$26+11,Assumptions!$B$24*Assumptions!$B$25/12,0))</f>
        <v>5.075</v>
      </c>
      <c r="F22" s="18" t="n">
        <f aca="false">IF(5&lt;Assumptions!$B$26,0,F17/Assumptions!$B$11*Assumptions!$B$23+IF(5&lt;=Assumptions!$B$26+11,Assumptions!$B$24*Assumptions!$B$25/12,0))</f>
        <v>5.275</v>
      </c>
      <c r="G22" s="18" t="n">
        <f aca="false">IF(6&lt;Assumptions!$B$26,0,G17/Assumptions!$B$11*Assumptions!$B$23+IF(6&lt;=Assumptions!$B$26+11,Assumptions!$B$24*Assumptions!$B$25/12,0))</f>
        <v>5.475</v>
      </c>
      <c r="H22" s="18" t="n">
        <f aca="false">IF(7&lt;Assumptions!$B$26,0,H17/Assumptions!$B$11*Assumptions!$B$23+IF(7&lt;=Assumptions!$B$26+11,Assumptions!$B$24*Assumptions!$B$25/12,0))</f>
        <v>7.475</v>
      </c>
      <c r="I22" s="18" t="n">
        <f aca="false">IF(8&lt;Assumptions!$B$26,0,I17/Assumptions!$B$11*Assumptions!$B$23+IF(8&lt;=Assumptions!$B$26+11,Assumptions!$B$24*Assumptions!$B$25/12,0))</f>
        <v>8.00833333333334</v>
      </c>
      <c r="J22" s="18" t="n">
        <f aca="false">IF(9&lt;Assumptions!$B$26,0,J17/Assumptions!$B$11*Assumptions!$B$23+IF(9&lt;=Assumptions!$B$26+11,Assumptions!$B$24*Assumptions!$B$25/12,0))</f>
        <v>8.54166666666667</v>
      </c>
      <c r="K22" s="18" t="n">
        <f aca="false">IF(10&lt;Assumptions!$B$26,0,K17/Assumptions!$B$11*Assumptions!$B$23+IF(10&lt;=Assumptions!$B$26+11,Assumptions!$B$24*Assumptions!$B$25/12,0))</f>
        <v>9.075</v>
      </c>
      <c r="L22" s="18" t="n">
        <f aca="false">IF(11&lt;Assumptions!$B$26,0,L17/Assumptions!$B$11*Assumptions!$B$23+IF(11&lt;=Assumptions!$B$26+11,Assumptions!$B$24*Assumptions!$B$25/12,0))</f>
        <v>9.075</v>
      </c>
      <c r="M22" s="18" t="n">
        <f aca="false">IF(12&lt;Assumptions!$B$26,0,M17/Assumptions!$B$11*Assumptions!$B$23+IF(12&lt;=Assumptions!$B$26+11,Assumptions!$B$24*Assumptions!$B$25/12,0))</f>
        <v>9.075</v>
      </c>
      <c r="N22" s="18" t="n">
        <f aca="false">IF(13&lt;Assumptions!$B$26,0,N17/Assumptions!$B$11*Assumptions!$B$23+IF(13&lt;=Assumptions!$B$26+11,Assumptions!$B$24*Assumptions!$B$25/12,0))</f>
        <v>9.075</v>
      </c>
      <c r="O22" s="18" t="n">
        <f aca="false">IF(14&lt;Assumptions!$B$26,0,O17/Assumptions!$B$11*Assumptions!$B$23+IF(14&lt;=Assumptions!$B$26+11,Assumptions!$B$24*Assumptions!$B$25/12,0))</f>
        <v>9.075</v>
      </c>
      <c r="P22" s="18" t="n">
        <f aca="false">IF(15&lt;Assumptions!$B$26,0,P17/Assumptions!$B$11*Assumptions!$B$23+IF(15&lt;=Assumptions!$B$26+11,Assumptions!$B$24*Assumptions!$B$25/12,0))</f>
        <v>7.2</v>
      </c>
      <c r="Q22" s="18" t="n">
        <f aca="false">IF(16&lt;Assumptions!$B$26,0,Q17/Assumptions!$B$11*Assumptions!$B$23+IF(16&lt;=Assumptions!$B$26+11,Assumptions!$B$24*Assumptions!$B$25/12,0))</f>
        <v>7.2</v>
      </c>
      <c r="R22" s="18" t="n">
        <f aca="false">IF(17&lt;Assumptions!$B$26,0,R17/Assumptions!$B$11*Assumptions!$B$23+IF(17&lt;=Assumptions!$B$26+11,Assumptions!$B$24*Assumptions!$B$25/12,0))</f>
        <v>7.2</v>
      </c>
      <c r="S22" s="18" t="n">
        <f aca="false">IF(18&lt;Assumptions!$B$26,0,S17/Assumptions!$B$11*Assumptions!$B$23+IF(18&lt;=Assumptions!$B$26+11,Assumptions!$B$24*Assumptions!$B$25/12,0))</f>
        <v>7.2</v>
      </c>
      <c r="T22" s="18" t="n">
        <f aca="false">IF(19&lt;Assumptions!$B$26,0,T17/Assumptions!$B$11*Assumptions!$B$23+IF(19&lt;=Assumptions!$B$26+11,Assumptions!$B$24*Assumptions!$B$25/12,0))</f>
        <v>7.2</v>
      </c>
      <c r="U22" s="18" t="n">
        <f aca="false">IF(20&lt;Assumptions!$B$26,0,U17/Assumptions!$B$11*Assumptions!$B$23+IF(20&lt;=Assumptions!$B$26+11,Assumptions!$B$24*Assumptions!$B$25/12,0))</f>
        <v>7.2</v>
      </c>
      <c r="V22" s="18" t="n">
        <f aca="false">IF(21&lt;Assumptions!$B$26,0,V17/Assumptions!$B$11*Assumptions!$B$23+IF(21&lt;=Assumptions!$B$26+11,Assumptions!$B$24*Assumptions!$B$25/12,0))</f>
        <v>7.2</v>
      </c>
      <c r="W22" s="18" t="n">
        <f aca="false">IF(22&lt;Assumptions!$B$26,0,W17/Assumptions!$B$11*Assumptions!$B$23+IF(22&lt;=Assumptions!$B$26+11,Assumptions!$B$24*Assumptions!$B$25/12,0))</f>
        <v>7.2</v>
      </c>
      <c r="X22" s="18" t="n">
        <f aca="false">IF(23&lt;Assumptions!$B$26,0,X17/Assumptions!$B$11*Assumptions!$B$23+IF(23&lt;=Assumptions!$B$26+11,Assumptions!$B$24*Assumptions!$B$25/12,0))</f>
        <v>7.2</v>
      </c>
      <c r="Y22" s="18" t="n">
        <f aca="false">IF(24&lt;Assumptions!$B$26,0,Y17/Assumptions!$B$11*Assumptions!$B$23+IF(24&lt;=Assumptions!$B$26+11,Assumptions!$B$24*Assumptions!$B$25/12,0))</f>
        <v>7.2</v>
      </c>
      <c r="Z22" s="18" t="n">
        <f aca="false">SUM(B22:M22)</f>
        <v>71.95</v>
      </c>
      <c r="AA22" s="18" t="n">
        <f aca="false">SUM(N22:Y22)</f>
        <v>90.15</v>
      </c>
      <c r="AB22" s="18" t="n">
        <f aca="false">SUM(B22:Y22)</f>
        <v>162.1</v>
      </c>
    </row>
    <row r="23" customFormat="false" ht="15" hidden="false" customHeight="false" outlineLevel="0" collapsed="false">
      <c r="A23" s="17" t="s">
        <v>151</v>
      </c>
      <c r="B23" s="18" t="n">
        <f aca="false">0+B22</f>
        <v>0</v>
      </c>
      <c r="C23" s="18" t="n">
        <f aca="false">B23*(1-0.08/12)+C22</f>
        <v>0</v>
      </c>
      <c r="D23" s="18" t="n">
        <f aca="false">C23*(1-0.08/12)+D22</f>
        <v>4.875</v>
      </c>
      <c r="E23" s="18" t="n">
        <f aca="false">D23*(1-0.08/12)+E22</f>
        <v>9.9175</v>
      </c>
      <c r="F23" s="18" t="n">
        <f aca="false">E23*(1-0.08/12)+F22</f>
        <v>15.1263833333333</v>
      </c>
      <c r="G23" s="18" t="n">
        <f aca="false">F23*(1-0.08/12)+G22</f>
        <v>20.5005407777778</v>
      </c>
      <c r="H23" s="18" t="n">
        <f aca="false">G23*(1-0.08/12)+H22</f>
        <v>27.8388705059259</v>
      </c>
      <c r="I23" s="18" t="n">
        <f aca="false">H23*(1-0.08/12)+I22</f>
        <v>35.6616113692198</v>
      </c>
      <c r="J23" s="18" t="n">
        <f aca="false">I23*(1-0.08/12)+J22</f>
        <v>43.9655339600916</v>
      </c>
      <c r="K23" s="18" t="n">
        <f aca="false">J23*(1-0.08/12)+K22</f>
        <v>52.7474304003577</v>
      </c>
      <c r="L23" s="18" t="n">
        <f aca="false">K23*(1-0.08/12)+L22</f>
        <v>61.4707808643553</v>
      </c>
      <c r="M23" s="18" t="n">
        <f aca="false">L23*(1-0.08/12)+M22</f>
        <v>70.1359756585929</v>
      </c>
      <c r="N23" s="18" t="n">
        <f aca="false">M23*(1-0.08/12)+N22</f>
        <v>78.7434024875356</v>
      </c>
      <c r="O23" s="18" t="n">
        <f aca="false">N23*(1-0.08/12)+O22</f>
        <v>87.2934464709521</v>
      </c>
      <c r="P23" s="18" t="n">
        <f aca="false">O23*(1-0.08/12)+P22</f>
        <v>93.9114901611457</v>
      </c>
      <c r="Q23" s="18" t="n">
        <f aca="false">P23*(1-0.08/12)+Q22</f>
        <v>100.485413560071</v>
      </c>
      <c r="R23" s="18" t="n">
        <f aca="false">Q23*(1-0.08/12)+R22</f>
        <v>107.015510803004</v>
      </c>
      <c r="S23" s="18" t="n">
        <f aca="false">R23*(1-0.08/12)+S22</f>
        <v>113.502074064318</v>
      </c>
      <c r="T23" s="18" t="n">
        <f aca="false">S23*(1-0.08/12)+T22</f>
        <v>119.945393570555</v>
      </c>
      <c r="U23" s="18" t="n">
        <f aca="false">T23*(1-0.08/12)+U22</f>
        <v>126.345757613418</v>
      </c>
      <c r="V23" s="18" t="n">
        <f aca="false">U23*(1-0.08/12)+V22</f>
        <v>132.703452562662</v>
      </c>
      <c r="W23" s="18" t="n">
        <f aca="false">V23*(1-0.08/12)+W22</f>
        <v>139.018762878911</v>
      </c>
      <c r="X23" s="18" t="n">
        <f aca="false">W23*(1-0.08/12)+X22</f>
        <v>145.291971126385</v>
      </c>
      <c r="Y23" s="18" t="n">
        <f aca="false">X23*(1-0.08/12)+Y22</f>
        <v>151.523357985543</v>
      </c>
      <c r="Z23" s="2"/>
      <c r="AA23" s="2"/>
      <c r="AB23" s="2"/>
    </row>
    <row r="24" customFormat="false" ht="15" hidden="false" customHeight="false" outlineLevel="0" collapsed="false">
      <c r="A24" s="17" t="s">
        <v>152</v>
      </c>
      <c r="B24" s="21" t="n">
        <f aca="false">B23/12/Assumptions!$B$22*Assumptions!$B$21</f>
        <v>0</v>
      </c>
      <c r="C24" s="21" t="n">
        <f aca="false">C23/12/Assumptions!$B$22*Assumptions!$B$21</f>
        <v>0</v>
      </c>
      <c r="D24" s="21" t="n">
        <f aca="false">D23/12/Assumptions!$B$22*Assumptions!$B$21</f>
        <v>101.15625</v>
      </c>
      <c r="E24" s="21" t="n">
        <f aca="false">E23/12/Assumptions!$B$22*Assumptions!$B$21</f>
        <v>205.788125</v>
      </c>
      <c r="F24" s="21" t="n">
        <f aca="false">F23/12/Assumptions!$B$22*Assumptions!$B$21</f>
        <v>313.872454166667</v>
      </c>
      <c r="G24" s="21" t="n">
        <f aca="false">G23/12/Assumptions!$B$22*Assumptions!$B$21</f>
        <v>425.386221138889</v>
      </c>
      <c r="H24" s="21" t="n">
        <f aca="false">H23/12/Assumptions!$B$22*Assumptions!$B$21</f>
        <v>577.656562997963</v>
      </c>
      <c r="I24" s="21" t="n">
        <f aca="false">I23/12/Assumptions!$B$22*Assumptions!$B$21</f>
        <v>739.97843591131</v>
      </c>
      <c r="J24" s="21" t="n">
        <f aca="false">J23/12/Assumptions!$B$22*Assumptions!$B$21</f>
        <v>912.284829671901</v>
      </c>
      <c r="K24" s="21" t="n">
        <f aca="false">K23/12/Assumptions!$B$22*Assumptions!$B$21</f>
        <v>1094.50918080742</v>
      </c>
      <c r="L24" s="21" t="n">
        <f aca="false">L23/12/Assumptions!$B$22*Assumptions!$B$21</f>
        <v>1275.51870293537</v>
      </c>
      <c r="M24" s="21" t="n">
        <f aca="false">M23/12/Assumptions!$B$22*Assumptions!$B$21</f>
        <v>1455.3214949158</v>
      </c>
      <c r="N24" s="21" t="n">
        <f aca="false">N23/12/Assumptions!$B$22*Assumptions!$B$21</f>
        <v>1633.92560161636</v>
      </c>
      <c r="O24" s="21" t="n">
        <f aca="false">O23/12/Assumptions!$B$22*Assumptions!$B$21</f>
        <v>1811.33901427225</v>
      </c>
      <c r="P24" s="21" t="n">
        <f aca="false">P23/12/Assumptions!$B$22*Assumptions!$B$21</f>
        <v>1948.66342084377</v>
      </c>
      <c r="Q24" s="21" t="n">
        <f aca="false">Q23/12/Assumptions!$B$22*Assumptions!$B$21</f>
        <v>2085.07233137148</v>
      </c>
      <c r="R24" s="21" t="n">
        <f aca="false">R23/12/Assumptions!$B$22*Assumptions!$B$21</f>
        <v>2220.57184916234</v>
      </c>
      <c r="S24" s="21" t="n">
        <f aca="false">S23/12/Assumptions!$B$22*Assumptions!$B$21</f>
        <v>2355.16803683459</v>
      </c>
      <c r="T24" s="21" t="n">
        <f aca="false">T23/12/Assumptions!$B$22*Assumptions!$B$21</f>
        <v>2488.86691658903</v>
      </c>
      <c r="U24" s="21" t="n">
        <f aca="false">U23/12/Assumptions!$B$22*Assumptions!$B$21</f>
        <v>2621.67447047843</v>
      </c>
      <c r="V24" s="21" t="n">
        <f aca="false">V23/12/Assumptions!$B$22*Assumptions!$B$21</f>
        <v>2753.59664067524</v>
      </c>
      <c r="W24" s="21" t="n">
        <f aca="false">W23/12/Assumptions!$B$22*Assumptions!$B$21</f>
        <v>2884.63932973741</v>
      </c>
      <c r="X24" s="21" t="n">
        <f aca="false">X23/12/Assumptions!$B$22*Assumptions!$B$21</f>
        <v>3014.80840087249</v>
      </c>
      <c r="Y24" s="21" t="n">
        <f aca="false">Y23/12/Assumptions!$B$22*Assumptions!$B$21</f>
        <v>3144.10967820001</v>
      </c>
      <c r="Z24" s="21" t="n">
        <f aca="false">SUM(B24:M24)</f>
        <v>7101.47225754533</v>
      </c>
      <c r="AA24" s="21" t="n">
        <f aca="false">SUM(N24:Y24)</f>
        <v>28962.4356906534</v>
      </c>
      <c r="AB24" s="21" t="n">
        <f aca="false">SUM(B24:Y24)</f>
        <v>36063.9079481987</v>
      </c>
    </row>
    <row r="25" customFormat="false" ht="15" hidden="false" customHeight="false" outlineLevel="0" collapsed="false">
      <c r="A25" s="15" t="s">
        <v>153</v>
      </c>
      <c r="B25" s="22" t="n">
        <f aca="false">B21+B24</f>
        <v>27300</v>
      </c>
      <c r="C25" s="22" t="n">
        <f aca="false">C21+C24</f>
        <v>29400</v>
      </c>
      <c r="D25" s="22" t="n">
        <f aca="false">D21+D24</f>
        <v>31601.15625</v>
      </c>
      <c r="E25" s="22" t="n">
        <f aca="false">E21+E24</f>
        <v>33805.788125</v>
      </c>
      <c r="F25" s="22" t="n">
        <f aca="false">F21+F24</f>
        <v>36013.8724541667</v>
      </c>
      <c r="G25" s="22" t="n">
        <f aca="false">G21+G24</f>
        <v>38225.3862211389</v>
      </c>
      <c r="H25" s="22" t="n">
        <f aca="false">H21+H24</f>
        <v>59377.656562998</v>
      </c>
      <c r="I25" s="22" t="n">
        <f aca="false">I21+I24</f>
        <v>65139.9784359113</v>
      </c>
      <c r="J25" s="22" t="n">
        <f aca="false">J21+J24</f>
        <v>70912.2848296719</v>
      </c>
      <c r="K25" s="22" t="n">
        <f aca="false">K21+K24</f>
        <v>76694.5091808074</v>
      </c>
      <c r="L25" s="22" t="n">
        <f aca="false">L21+L24</f>
        <v>76875.5187029354</v>
      </c>
      <c r="M25" s="22" t="n">
        <f aca="false">M21+M24</f>
        <v>77055.3214949158</v>
      </c>
      <c r="N25" s="22" t="n">
        <f aca="false">N21+N24</f>
        <v>77233.9256016164</v>
      </c>
      <c r="O25" s="22" t="n">
        <f aca="false">O21+O24</f>
        <v>77411.3390142723</v>
      </c>
      <c r="P25" s="22" t="n">
        <f aca="false">P21+P24</f>
        <v>77548.6634208438</v>
      </c>
      <c r="Q25" s="22" t="n">
        <f aca="false">Q21+Q24</f>
        <v>77685.0723313715</v>
      </c>
      <c r="R25" s="22" t="n">
        <f aca="false">R21+R24</f>
        <v>77820.5718491623</v>
      </c>
      <c r="S25" s="22" t="n">
        <f aca="false">S21+S24</f>
        <v>77955.1680368346</v>
      </c>
      <c r="T25" s="22" t="n">
        <f aca="false">T21+T24</f>
        <v>78088.866916589</v>
      </c>
      <c r="U25" s="22" t="n">
        <f aca="false">U21+U24</f>
        <v>78221.6744704784</v>
      </c>
      <c r="V25" s="22" t="n">
        <f aca="false">V21+V24</f>
        <v>78353.5966406752</v>
      </c>
      <c r="W25" s="22" t="n">
        <f aca="false">W21+W24</f>
        <v>78484.6393297374</v>
      </c>
      <c r="X25" s="22" t="n">
        <f aca="false">X21+X24</f>
        <v>78614.8084008725</v>
      </c>
      <c r="Y25" s="22" t="n">
        <f aca="false">Y21+Y24</f>
        <v>78744.1096782</v>
      </c>
      <c r="Z25" s="23" t="n">
        <f aca="false">SUM(B25:M25)</f>
        <v>622401.472257545</v>
      </c>
      <c r="AA25" s="23" t="n">
        <f aca="false">SUM(N25:Y25)</f>
        <v>936162.435690653</v>
      </c>
      <c r="AB25" s="23" t="n">
        <f aca="false">SUM(B25:Y25)</f>
        <v>1558563.9079482</v>
      </c>
    </row>
    <row r="26" customFormat="false" ht="15" hidden="false" customHeight="false" outlineLevel="0" collapsed="false">
      <c r="A26" s="4" t="s">
        <v>154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 customFormat="false" ht="15" hidden="false" customHeight="false" outlineLevel="0" collapsed="false">
      <c r="A27" s="17" t="s">
        <v>155</v>
      </c>
      <c r="B27" s="21" t="n">
        <f aca="false">B21*Assumptions!$B$14</f>
        <v>8736</v>
      </c>
      <c r="C27" s="21" t="n">
        <f aca="false">C21*Assumptions!$B$14</f>
        <v>9408</v>
      </c>
      <c r="D27" s="21" t="n">
        <f aca="false">D21*Assumptions!$B$14</f>
        <v>10080</v>
      </c>
      <c r="E27" s="21" t="n">
        <f aca="false">E21*Assumptions!$B$14</f>
        <v>10752</v>
      </c>
      <c r="F27" s="21" t="n">
        <f aca="false">F21*Assumptions!$B$14</f>
        <v>11424</v>
      </c>
      <c r="G27" s="21" t="n">
        <f aca="false">G21*Assumptions!$B$14</f>
        <v>12096</v>
      </c>
      <c r="H27" s="21" t="n">
        <f aca="false">H21*Assumptions!$B$14</f>
        <v>18816</v>
      </c>
      <c r="I27" s="21" t="n">
        <f aca="false">I21*Assumptions!$B$14</f>
        <v>20608</v>
      </c>
      <c r="J27" s="21" t="n">
        <f aca="false">J21*Assumptions!$B$14</f>
        <v>22400</v>
      </c>
      <c r="K27" s="21" t="n">
        <f aca="false">K21*Assumptions!$B$14</f>
        <v>24192</v>
      </c>
      <c r="L27" s="21" t="n">
        <f aca="false">L21*Assumptions!$B$14</f>
        <v>24192</v>
      </c>
      <c r="M27" s="21" t="n">
        <f aca="false">M21*Assumptions!$B$14</f>
        <v>24192</v>
      </c>
      <c r="N27" s="21" t="n">
        <f aca="false">N21*Assumptions!$B$14</f>
        <v>24192</v>
      </c>
      <c r="O27" s="21" t="n">
        <f aca="false">O21*Assumptions!$B$14</f>
        <v>24192</v>
      </c>
      <c r="P27" s="21" t="n">
        <f aca="false">P21*Assumptions!$B$14</f>
        <v>24192</v>
      </c>
      <c r="Q27" s="21" t="n">
        <f aca="false">Q21*Assumptions!$B$14</f>
        <v>24192</v>
      </c>
      <c r="R27" s="21" t="n">
        <f aca="false">R21*Assumptions!$B$14</f>
        <v>24192</v>
      </c>
      <c r="S27" s="21" t="n">
        <f aca="false">S21*Assumptions!$B$14</f>
        <v>24192</v>
      </c>
      <c r="T27" s="21" t="n">
        <f aca="false">T21*Assumptions!$B$14</f>
        <v>24192</v>
      </c>
      <c r="U27" s="21" t="n">
        <f aca="false">U21*Assumptions!$B$14</f>
        <v>24192</v>
      </c>
      <c r="V27" s="21" t="n">
        <f aca="false">V21*Assumptions!$B$14</f>
        <v>24192</v>
      </c>
      <c r="W27" s="21" t="n">
        <f aca="false">W21*Assumptions!$B$14</f>
        <v>24192</v>
      </c>
      <c r="X27" s="21" t="n">
        <f aca="false">X21*Assumptions!$B$14</f>
        <v>24192</v>
      </c>
      <c r="Y27" s="21" t="n">
        <f aca="false">Y21*Assumptions!$B$14</f>
        <v>24192</v>
      </c>
      <c r="Z27" s="21" t="n">
        <f aca="false">SUM(B27:M27)</f>
        <v>196896</v>
      </c>
      <c r="AA27" s="21" t="n">
        <f aca="false">SUM(N27:Y27)</f>
        <v>290304</v>
      </c>
      <c r="AB27" s="21" t="n">
        <f aca="false">SUM(B27:Y27)</f>
        <v>487200</v>
      </c>
    </row>
    <row r="28" customFormat="false" ht="15" hidden="false" customHeight="false" outlineLevel="0" collapsed="false">
      <c r="A28" s="17" t="s">
        <v>156</v>
      </c>
      <c r="B28" s="21" t="n">
        <f aca="false">B21*Assumptions!$B$15</f>
        <v>5460</v>
      </c>
      <c r="C28" s="21" t="n">
        <f aca="false">C21*Assumptions!$B$15</f>
        <v>5880</v>
      </c>
      <c r="D28" s="21" t="n">
        <f aca="false">D21*Assumptions!$B$15</f>
        <v>6300</v>
      </c>
      <c r="E28" s="21" t="n">
        <f aca="false">E21*Assumptions!$B$15</f>
        <v>6720</v>
      </c>
      <c r="F28" s="21" t="n">
        <f aca="false">F21*Assumptions!$B$15</f>
        <v>7140</v>
      </c>
      <c r="G28" s="21" t="n">
        <f aca="false">G21*Assumptions!$B$15</f>
        <v>7560</v>
      </c>
      <c r="H28" s="21" t="n">
        <f aca="false">H21*Assumptions!$B$15</f>
        <v>11760</v>
      </c>
      <c r="I28" s="21" t="n">
        <f aca="false">I21*Assumptions!$B$15</f>
        <v>12880</v>
      </c>
      <c r="J28" s="21" t="n">
        <f aca="false">J21*Assumptions!$B$15</f>
        <v>14000</v>
      </c>
      <c r="K28" s="21" t="n">
        <f aca="false">K21*Assumptions!$B$15</f>
        <v>15120</v>
      </c>
      <c r="L28" s="21" t="n">
        <f aca="false">L21*Assumptions!$B$15</f>
        <v>15120</v>
      </c>
      <c r="M28" s="21" t="n">
        <f aca="false">M21*Assumptions!$B$15</f>
        <v>15120</v>
      </c>
      <c r="N28" s="21" t="n">
        <f aca="false">N21*Assumptions!$B$15</f>
        <v>15120</v>
      </c>
      <c r="O28" s="21" t="n">
        <f aca="false">O21*Assumptions!$B$15</f>
        <v>15120</v>
      </c>
      <c r="P28" s="21" t="n">
        <f aca="false">P21*Assumptions!$B$15</f>
        <v>15120</v>
      </c>
      <c r="Q28" s="21" t="n">
        <f aca="false">Q21*Assumptions!$B$15</f>
        <v>15120</v>
      </c>
      <c r="R28" s="21" t="n">
        <f aca="false">R21*Assumptions!$B$15</f>
        <v>15120</v>
      </c>
      <c r="S28" s="21" t="n">
        <f aca="false">S21*Assumptions!$B$15</f>
        <v>15120</v>
      </c>
      <c r="T28" s="21" t="n">
        <f aca="false">T21*Assumptions!$B$15</f>
        <v>15120</v>
      </c>
      <c r="U28" s="21" t="n">
        <f aca="false">U21*Assumptions!$B$15</f>
        <v>15120</v>
      </c>
      <c r="V28" s="21" t="n">
        <f aca="false">V21*Assumptions!$B$15</f>
        <v>15120</v>
      </c>
      <c r="W28" s="21" t="n">
        <f aca="false">W21*Assumptions!$B$15</f>
        <v>15120</v>
      </c>
      <c r="X28" s="21" t="n">
        <f aca="false">X21*Assumptions!$B$15</f>
        <v>15120</v>
      </c>
      <c r="Y28" s="21" t="n">
        <f aca="false">Y21*Assumptions!$B$15</f>
        <v>15120</v>
      </c>
      <c r="Z28" s="21" t="n">
        <f aca="false">SUM(B28:M28)</f>
        <v>123060</v>
      </c>
      <c r="AA28" s="21" t="n">
        <f aca="false">SUM(N28:Y28)</f>
        <v>181440</v>
      </c>
      <c r="AB28" s="21" t="n">
        <f aca="false">SUM(B28:Y28)</f>
        <v>304500</v>
      </c>
    </row>
    <row r="29" customFormat="false" ht="15" hidden="false" customHeight="false" outlineLevel="0" collapsed="false">
      <c r="A29" s="17" t="s">
        <v>157</v>
      </c>
      <c r="B29" s="21" t="n">
        <f aca="false">B23/12/Assumptions!$B$22*Assumptions!$B$27</f>
        <v>0</v>
      </c>
      <c r="C29" s="21" t="n">
        <f aca="false">C23/12/Assumptions!$B$22*Assumptions!$B$27</f>
        <v>0</v>
      </c>
      <c r="D29" s="21" t="n">
        <f aca="false">D23/12/Assumptions!$B$22*Assumptions!$B$27</f>
        <v>28.4375</v>
      </c>
      <c r="E29" s="21" t="n">
        <f aca="false">E23/12/Assumptions!$B$22*Assumptions!$B$27</f>
        <v>57.8520833333333</v>
      </c>
      <c r="F29" s="21" t="n">
        <f aca="false">F23/12/Assumptions!$B$22*Assumptions!$B$27</f>
        <v>88.2372361111111</v>
      </c>
      <c r="G29" s="21" t="n">
        <f aca="false">G23/12/Assumptions!$B$22*Assumptions!$B$27</f>
        <v>119.58648787037</v>
      </c>
      <c r="H29" s="21" t="n">
        <f aca="false">H23/12/Assumptions!$B$22*Assumptions!$B$27</f>
        <v>162.393411284568</v>
      </c>
      <c r="I29" s="21" t="n">
        <f aca="false">I23/12/Assumptions!$B$22*Assumptions!$B$27</f>
        <v>208.026066320449</v>
      </c>
      <c r="J29" s="21" t="n">
        <f aca="false">J23/12/Assumptions!$B$22*Assumptions!$B$27</f>
        <v>256.465614767201</v>
      </c>
      <c r="K29" s="21" t="n">
        <f aca="false">K23/12/Assumptions!$B$22*Assumptions!$B$27</f>
        <v>307.693344002086</v>
      </c>
      <c r="L29" s="21" t="n">
        <f aca="false">L23/12/Assumptions!$B$22*Assumptions!$B$27</f>
        <v>358.579555042073</v>
      </c>
      <c r="M29" s="21" t="n">
        <f aca="false">M23/12/Assumptions!$B$22*Assumptions!$B$27</f>
        <v>409.126524675125</v>
      </c>
      <c r="N29" s="21" t="n">
        <f aca="false">N23/12/Assumptions!$B$22*Assumptions!$B$27</f>
        <v>459.336514510624</v>
      </c>
      <c r="O29" s="21" t="n">
        <f aca="false">O23/12/Assumptions!$B$22*Assumptions!$B$27</f>
        <v>509.211771080554</v>
      </c>
      <c r="P29" s="21" t="n">
        <f aca="false">P23/12/Assumptions!$B$22*Assumptions!$B$27</f>
        <v>547.817025940017</v>
      </c>
      <c r="Q29" s="21" t="n">
        <f aca="false">Q23/12/Assumptions!$B$22*Assumptions!$B$27</f>
        <v>586.16491243375</v>
      </c>
      <c r="R29" s="21" t="n">
        <f aca="false">R23/12/Assumptions!$B$22*Assumptions!$B$27</f>
        <v>624.257146350858</v>
      </c>
      <c r="S29" s="21" t="n">
        <f aca="false">S23/12/Assumptions!$B$22*Assumptions!$B$27</f>
        <v>662.095432041853</v>
      </c>
      <c r="T29" s="21" t="n">
        <f aca="false">T23/12/Assumptions!$B$22*Assumptions!$B$27</f>
        <v>699.681462494907</v>
      </c>
      <c r="U29" s="21" t="n">
        <f aca="false">U23/12/Assumptions!$B$22*Assumptions!$B$27</f>
        <v>737.016919411607</v>
      </c>
      <c r="V29" s="21" t="n">
        <f aca="false">V23/12/Assumptions!$B$22*Assumptions!$B$27</f>
        <v>774.103473282197</v>
      </c>
      <c r="W29" s="21" t="n">
        <f aca="false">W23/12/Assumptions!$B$22*Assumptions!$B$27</f>
        <v>810.942783460315</v>
      </c>
      <c r="X29" s="21" t="n">
        <f aca="false">X23/12/Assumptions!$B$22*Assumptions!$B$27</f>
        <v>847.536498237246</v>
      </c>
      <c r="Y29" s="21" t="n">
        <f aca="false">Y23/12/Assumptions!$B$22*Assumptions!$B$27</f>
        <v>883.886254915665</v>
      </c>
      <c r="Z29" s="21" t="n">
        <f aca="false">SUM(B29:M29)</f>
        <v>1996.39782340632</v>
      </c>
      <c r="AA29" s="21" t="n">
        <f aca="false">SUM(N29:Y29)</f>
        <v>8142.05019415959</v>
      </c>
      <c r="AB29" s="21" t="n">
        <f aca="false">SUM(B29:Y29)</f>
        <v>10138.4480175659</v>
      </c>
    </row>
    <row r="30" customFormat="false" ht="15" hidden="false" customHeight="false" outlineLevel="0" collapsed="false">
      <c r="A30" s="15" t="s">
        <v>158</v>
      </c>
      <c r="B30" s="22" t="n">
        <f aca="false">B27+B28+B29</f>
        <v>14196</v>
      </c>
      <c r="C30" s="22" t="n">
        <f aca="false">C27+C28+C29</f>
        <v>15288</v>
      </c>
      <c r="D30" s="22" t="n">
        <f aca="false">D27+D28+D29</f>
        <v>16408.4375</v>
      </c>
      <c r="E30" s="22" t="n">
        <f aca="false">E27+E28+E29</f>
        <v>17529.8520833333</v>
      </c>
      <c r="F30" s="22" t="n">
        <f aca="false">F27+F28+F29</f>
        <v>18652.2372361111</v>
      </c>
      <c r="G30" s="22" t="n">
        <f aca="false">G27+G28+G29</f>
        <v>19775.5864878704</v>
      </c>
      <c r="H30" s="22" t="n">
        <f aca="false">H27+H28+H29</f>
        <v>30738.3934112846</v>
      </c>
      <c r="I30" s="22" t="n">
        <f aca="false">I27+I28+I29</f>
        <v>33696.0260663205</v>
      </c>
      <c r="J30" s="22" t="n">
        <f aca="false">J27+J28+J29</f>
        <v>36656.4656147672</v>
      </c>
      <c r="K30" s="22" t="n">
        <f aca="false">K27+K28+K29</f>
        <v>39619.6933440021</v>
      </c>
      <c r="L30" s="22" t="n">
        <f aca="false">L27+L28+L29</f>
        <v>39670.5795550421</v>
      </c>
      <c r="M30" s="22" t="n">
        <f aca="false">M27+M28+M29</f>
        <v>39721.1265246751</v>
      </c>
      <c r="N30" s="22" t="n">
        <f aca="false">N27+N28+N29</f>
        <v>39771.3365145106</v>
      </c>
      <c r="O30" s="22" t="n">
        <f aca="false">O27+O28+O29</f>
        <v>39821.2117710806</v>
      </c>
      <c r="P30" s="22" t="n">
        <f aca="false">P27+P28+P29</f>
        <v>39859.81702594</v>
      </c>
      <c r="Q30" s="22" t="n">
        <f aca="false">Q27+Q28+Q29</f>
        <v>39898.1649124338</v>
      </c>
      <c r="R30" s="22" t="n">
        <f aca="false">R27+R28+R29</f>
        <v>39936.2571463509</v>
      </c>
      <c r="S30" s="22" t="n">
        <f aca="false">S27+S28+S29</f>
        <v>39974.0954320419</v>
      </c>
      <c r="T30" s="22" t="n">
        <f aca="false">T27+T28+T29</f>
        <v>40011.6814624949</v>
      </c>
      <c r="U30" s="22" t="n">
        <f aca="false">U27+U28+U29</f>
        <v>40049.0169194116</v>
      </c>
      <c r="V30" s="22" t="n">
        <f aca="false">V27+V28+V29</f>
        <v>40086.1034732822</v>
      </c>
      <c r="W30" s="22" t="n">
        <f aca="false">W27+W28+W29</f>
        <v>40122.9427834603</v>
      </c>
      <c r="X30" s="22" t="n">
        <f aca="false">X27+X28+X29</f>
        <v>40159.5364982373</v>
      </c>
      <c r="Y30" s="22" t="n">
        <f aca="false">Y27+Y28+Y29</f>
        <v>40195.8862549157</v>
      </c>
      <c r="Z30" s="23" t="n">
        <f aca="false">SUM(B30:M30)</f>
        <v>321952.397823406</v>
      </c>
      <c r="AA30" s="23" t="n">
        <f aca="false">SUM(N30:Y30)</f>
        <v>479886.05019416</v>
      </c>
      <c r="AB30" s="23" t="n">
        <f aca="false">SUM(B30:Y30)</f>
        <v>801838.448017566</v>
      </c>
    </row>
    <row r="31" customFormat="false" ht="15" hidden="false" customHeight="false" outlineLevel="0" collapsed="false">
      <c r="A31" s="15" t="s">
        <v>159</v>
      </c>
      <c r="B31" s="23" t="n">
        <f aca="false">B25-B30</f>
        <v>13104</v>
      </c>
      <c r="C31" s="23" t="n">
        <f aca="false">C25-C30</f>
        <v>14112</v>
      </c>
      <c r="D31" s="23" t="n">
        <f aca="false">D25-D30</f>
        <v>15192.71875</v>
      </c>
      <c r="E31" s="23" t="n">
        <f aca="false">E25-E30</f>
        <v>16275.9360416667</v>
      </c>
      <c r="F31" s="23" t="n">
        <f aca="false">F25-F30</f>
        <v>17361.6352180556</v>
      </c>
      <c r="G31" s="23" t="n">
        <f aca="false">G25-G30</f>
        <v>18449.7997332685</v>
      </c>
      <c r="H31" s="23" t="n">
        <f aca="false">H25-H30</f>
        <v>28639.2631517134</v>
      </c>
      <c r="I31" s="23" t="n">
        <f aca="false">I25-I30</f>
        <v>31443.9523695909</v>
      </c>
      <c r="J31" s="23" t="n">
        <f aca="false">J25-J30</f>
        <v>34255.8192149047</v>
      </c>
      <c r="K31" s="23" t="n">
        <f aca="false">K25-K30</f>
        <v>37074.8158368053</v>
      </c>
      <c r="L31" s="23" t="n">
        <f aca="false">L25-L30</f>
        <v>37204.9391478933</v>
      </c>
      <c r="M31" s="23" t="n">
        <f aca="false">M25-M30</f>
        <v>37334.1949702407</v>
      </c>
      <c r="N31" s="23" t="n">
        <f aca="false">N25-N30</f>
        <v>37462.5890871058</v>
      </c>
      <c r="O31" s="23" t="n">
        <f aca="false">O25-O30</f>
        <v>37590.1272431917</v>
      </c>
      <c r="P31" s="23" t="n">
        <f aca="false">P25-P30</f>
        <v>37688.8463949038</v>
      </c>
      <c r="Q31" s="23" t="n">
        <f aca="false">Q25-Q30</f>
        <v>37786.9074189377</v>
      </c>
      <c r="R31" s="23" t="n">
        <f aca="false">R25-R30</f>
        <v>37884.3147028115</v>
      </c>
      <c r="S31" s="23" t="n">
        <f aca="false">S25-S30</f>
        <v>37981.0726047927</v>
      </c>
      <c r="T31" s="23" t="n">
        <f aca="false">T25-T30</f>
        <v>38077.1854540941</v>
      </c>
      <c r="U31" s="23" t="n">
        <f aca="false">U25-U30</f>
        <v>38172.6575510668</v>
      </c>
      <c r="V31" s="23" t="n">
        <f aca="false">V25-V30</f>
        <v>38267.4931673931</v>
      </c>
      <c r="W31" s="23" t="n">
        <f aca="false">W25-W30</f>
        <v>38361.6965462771</v>
      </c>
      <c r="X31" s="23" t="n">
        <f aca="false">X25-X30</f>
        <v>38455.2719026352</v>
      </c>
      <c r="Y31" s="23" t="n">
        <f aca="false">Y25-Y30</f>
        <v>38548.2234232844</v>
      </c>
      <c r="Z31" s="23" t="n">
        <f aca="false">SUM(B31:M31)</f>
        <v>300449.074434139</v>
      </c>
      <c r="AA31" s="23" t="n">
        <f aca="false">SUM(N31:Y31)</f>
        <v>456276.385496494</v>
      </c>
      <c r="AB31" s="23" t="n">
        <f aca="false">SUM(B31:Y31)</f>
        <v>756725.459930633</v>
      </c>
    </row>
    <row r="32" customFormat="false" ht="15" hidden="false" customHeight="false" outlineLevel="0" collapsed="false">
      <c r="A32" s="17" t="s">
        <v>160</v>
      </c>
      <c r="B32" s="20" t="n">
        <f aca="false">IF(B25=0,0,B31/B25)</f>
        <v>0.48</v>
      </c>
      <c r="C32" s="20" t="n">
        <f aca="false">IF(C25=0,0,C31/C25)</f>
        <v>0.48</v>
      </c>
      <c r="D32" s="20" t="n">
        <f aca="false">IF(D25=0,0,D31/D25)</f>
        <v>0.480764647654309</v>
      </c>
      <c r="E32" s="20" t="n">
        <f aca="false">IF(E25=0,0,E31/E25)</f>
        <v>0.481454122042205</v>
      </c>
      <c r="F32" s="20" t="n">
        <f aca="false">IF(F25=0,0,F31/F25)</f>
        <v>0.482081876647699</v>
      </c>
      <c r="G32" s="20" t="n">
        <f aca="false">IF(G25=0,0,G31/G25)</f>
        <v>0.482658294844531</v>
      </c>
      <c r="H32" s="20" t="n">
        <f aca="false">IF(H25=0,0,H31/H25)</f>
        <v>0.482323904469486</v>
      </c>
      <c r="I32" s="20" t="n">
        <f aca="false">IF(I25=0,0,I31/I25)</f>
        <v>0.4827135827275</v>
      </c>
      <c r="J32" s="20" t="n">
        <f aca="false">IF(J25=0,0,J31/J25)</f>
        <v>0.483073127557314</v>
      </c>
      <c r="K32" s="20" t="n">
        <f aca="false">IF(K25=0,0,K31/K25)</f>
        <v>0.483408998020985</v>
      </c>
      <c r="L32" s="20" t="n">
        <f aca="false">IF(L25=0,0,L31/L25)</f>
        <v>0.483963422629533</v>
      </c>
      <c r="M32" s="20" t="n">
        <f aca="false">IF(M25=0,0,M31/M25)</f>
        <v>0.484511572282571</v>
      </c>
      <c r="N32" s="20" t="n">
        <f aca="false">IF(N25=0,0,N31/N25)</f>
        <v>0.485053540853836</v>
      </c>
      <c r="O32" s="20" t="n">
        <f aca="false">IF(O25=0,0,O31/O25)</f>
        <v>0.485589420385316</v>
      </c>
      <c r="P32" s="20" t="n">
        <f aca="false">IF(P25=0,0,P31/P25)</f>
        <v>0.486002527088992</v>
      </c>
      <c r="Q32" s="20" t="n">
        <f aca="false">IF(Q25=0,0,Q31/Q25)</f>
        <v>0.486411433817746</v>
      </c>
      <c r="R32" s="20" t="n">
        <f aca="false">IF(R25=0,0,R31/R25)</f>
        <v>0.486816195288846</v>
      </c>
      <c r="S32" s="20" t="n">
        <f aca="false">IF(S25=0,0,S31/S25)</f>
        <v>0.487216865299377</v>
      </c>
      <c r="T32" s="20" t="n">
        <f aca="false">IF(T25=0,0,T31/T25)</f>
        <v>0.487613496745528</v>
      </c>
      <c r="U32" s="20" t="n">
        <f aca="false">IF(U25=0,0,U31/U25)</f>
        <v>0.488006141641388</v>
      </c>
      <c r="V32" s="20" t="n">
        <f aca="false">IF(V25=0,0,V31/V25)</f>
        <v>0.48839485113728</v>
      </c>
      <c r="W32" s="20" t="n">
        <f aca="false">IF(W25=0,0,W31/W25)</f>
        <v>0.488779675537632</v>
      </c>
      <c r="X32" s="20" t="n">
        <f aca="false">IF(X25=0,0,X31/X25)</f>
        <v>0.489160664318409</v>
      </c>
      <c r="Y32" s="20" t="n">
        <f aca="false">IF(Y25=0,0,Y31/Y25)</f>
        <v>0.489537866144117</v>
      </c>
      <c r="Z32" s="2"/>
      <c r="AA32" s="2"/>
      <c r="AB32" s="2"/>
    </row>
    <row r="33" customFormat="false" ht="15" hidden="false" customHeight="false" outlineLevel="0" collapsed="false">
      <c r="A33" s="4" t="s">
        <v>161</v>
      </c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 customFormat="false" ht="15" hidden="false" customHeight="false" outlineLevel="0" collapsed="false">
      <c r="A34" s="17" t="s">
        <v>162</v>
      </c>
      <c r="B34" s="21" t="n">
        <f aca="false">Assumptions!$B$48</f>
        <v>6000</v>
      </c>
      <c r="C34" s="21" t="n">
        <f aca="false">Assumptions!$B$48</f>
        <v>6000</v>
      </c>
      <c r="D34" s="21" t="n">
        <f aca="false">Assumptions!$B$48</f>
        <v>6000</v>
      </c>
      <c r="E34" s="21" t="n">
        <f aca="false">Assumptions!$B$48</f>
        <v>6000</v>
      </c>
      <c r="F34" s="21" t="n">
        <f aca="false">Assumptions!$B$48</f>
        <v>6000</v>
      </c>
      <c r="G34" s="21" t="n">
        <f aca="false">Assumptions!$B$48</f>
        <v>6000</v>
      </c>
      <c r="H34" s="21" t="n">
        <f aca="false">Assumptions!$B$48</f>
        <v>6000</v>
      </c>
      <c r="I34" s="21" t="n">
        <f aca="false">Assumptions!$B$48</f>
        <v>6000</v>
      </c>
      <c r="J34" s="21" t="n">
        <f aca="false">Assumptions!$B$48</f>
        <v>6000</v>
      </c>
      <c r="K34" s="21" t="n">
        <f aca="false">Assumptions!$B$48</f>
        <v>6000</v>
      </c>
      <c r="L34" s="21" t="n">
        <f aca="false">Assumptions!$B$48</f>
        <v>6000</v>
      </c>
      <c r="M34" s="21" t="n">
        <f aca="false">Assumptions!$B$48</f>
        <v>6000</v>
      </c>
      <c r="N34" s="21" t="n">
        <f aca="false">Assumptions!$B$48</f>
        <v>6000</v>
      </c>
      <c r="O34" s="21" t="n">
        <f aca="false">Assumptions!$B$48</f>
        <v>6000</v>
      </c>
      <c r="P34" s="21" t="n">
        <f aca="false">Assumptions!$B$48</f>
        <v>6000</v>
      </c>
      <c r="Q34" s="21" t="n">
        <f aca="false">Assumptions!$B$48</f>
        <v>6000</v>
      </c>
      <c r="R34" s="21" t="n">
        <f aca="false">Assumptions!$B$48</f>
        <v>6000</v>
      </c>
      <c r="S34" s="21" t="n">
        <f aca="false">Assumptions!$B$48</f>
        <v>6000</v>
      </c>
      <c r="T34" s="21" t="n">
        <f aca="false">Assumptions!$B$48</f>
        <v>6000</v>
      </c>
      <c r="U34" s="21" t="n">
        <f aca="false">Assumptions!$B$48</f>
        <v>6000</v>
      </c>
      <c r="V34" s="21" t="n">
        <f aca="false">Assumptions!$B$48</f>
        <v>6000</v>
      </c>
      <c r="W34" s="21" t="n">
        <f aca="false">Assumptions!$B$48</f>
        <v>6000</v>
      </c>
      <c r="X34" s="21" t="n">
        <f aca="false">Assumptions!$B$48</f>
        <v>6000</v>
      </c>
      <c r="Y34" s="21" t="n">
        <f aca="false">Assumptions!$B$48</f>
        <v>6000</v>
      </c>
      <c r="Z34" s="21" t="n">
        <f aca="false">SUM(B34:M34)</f>
        <v>72000</v>
      </c>
      <c r="AA34" s="21" t="n">
        <f aca="false">SUM(N34:Y34)</f>
        <v>72000</v>
      </c>
      <c r="AB34" s="21" t="n">
        <f aca="false">SUM(B34:Y34)</f>
        <v>144000</v>
      </c>
    </row>
    <row r="35" customFormat="false" ht="15" hidden="false" customHeight="false" outlineLevel="0" collapsed="false">
      <c r="A35" s="17" t="s">
        <v>163</v>
      </c>
      <c r="B35" s="21" t="n">
        <f aca="false">Assumptions!$B$49</f>
        <v>900</v>
      </c>
      <c r="C35" s="21" t="n">
        <f aca="false">Assumptions!$B$49</f>
        <v>900</v>
      </c>
      <c r="D35" s="21" t="n">
        <f aca="false">Assumptions!$B$49</f>
        <v>900</v>
      </c>
      <c r="E35" s="21" t="n">
        <f aca="false">Assumptions!$B$49</f>
        <v>900</v>
      </c>
      <c r="F35" s="21" t="n">
        <f aca="false">Assumptions!$B$49</f>
        <v>900</v>
      </c>
      <c r="G35" s="21" t="n">
        <f aca="false">Assumptions!$B$49</f>
        <v>900</v>
      </c>
      <c r="H35" s="21" t="n">
        <f aca="false">Assumptions!$B$49</f>
        <v>900</v>
      </c>
      <c r="I35" s="21" t="n">
        <f aca="false">Assumptions!$B$49</f>
        <v>900</v>
      </c>
      <c r="J35" s="21" t="n">
        <f aca="false">Assumptions!$B$49</f>
        <v>900</v>
      </c>
      <c r="K35" s="21" t="n">
        <f aca="false">Assumptions!$B$49</f>
        <v>900</v>
      </c>
      <c r="L35" s="21" t="n">
        <f aca="false">Assumptions!$B$49</f>
        <v>900</v>
      </c>
      <c r="M35" s="21" t="n">
        <f aca="false">Assumptions!$B$49</f>
        <v>900</v>
      </c>
      <c r="N35" s="21" t="n">
        <f aca="false">Assumptions!$B$49</f>
        <v>900</v>
      </c>
      <c r="O35" s="21" t="n">
        <f aca="false">Assumptions!$B$49</f>
        <v>900</v>
      </c>
      <c r="P35" s="21" t="n">
        <f aca="false">Assumptions!$B$49</f>
        <v>900</v>
      </c>
      <c r="Q35" s="21" t="n">
        <f aca="false">Assumptions!$B$49</f>
        <v>900</v>
      </c>
      <c r="R35" s="21" t="n">
        <f aca="false">Assumptions!$B$49</f>
        <v>900</v>
      </c>
      <c r="S35" s="21" t="n">
        <f aca="false">Assumptions!$B$49</f>
        <v>900</v>
      </c>
      <c r="T35" s="21" t="n">
        <f aca="false">Assumptions!$B$49</f>
        <v>900</v>
      </c>
      <c r="U35" s="21" t="n">
        <f aca="false">Assumptions!$B$49</f>
        <v>900</v>
      </c>
      <c r="V35" s="21" t="n">
        <f aca="false">Assumptions!$B$49</f>
        <v>900</v>
      </c>
      <c r="W35" s="21" t="n">
        <f aca="false">Assumptions!$B$49</f>
        <v>900</v>
      </c>
      <c r="X35" s="21" t="n">
        <f aca="false">Assumptions!$B$49</f>
        <v>900</v>
      </c>
      <c r="Y35" s="21" t="n">
        <f aca="false">Assumptions!$B$49</f>
        <v>900</v>
      </c>
      <c r="Z35" s="21" t="n">
        <f aca="false">SUM(B35:M35)</f>
        <v>10800</v>
      </c>
      <c r="AA35" s="21" t="n">
        <f aca="false">SUM(N35:Y35)</f>
        <v>10800</v>
      </c>
      <c r="AB35" s="21" t="n">
        <f aca="false">SUM(B35:Y35)</f>
        <v>21600</v>
      </c>
    </row>
    <row r="36" customFormat="false" ht="15" hidden="false" customHeight="false" outlineLevel="0" collapsed="false">
      <c r="A36" s="17" t="s">
        <v>164</v>
      </c>
      <c r="B36" s="21" t="n">
        <f aca="false">Assumptions!$B$50</f>
        <v>1800</v>
      </c>
      <c r="C36" s="21" t="n">
        <f aca="false">Assumptions!$B$50</f>
        <v>1800</v>
      </c>
      <c r="D36" s="21" t="n">
        <f aca="false">Assumptions!$B$50</f>
        <v>1800</v>
      </c>
      <c r="E36" s="21" t="n">
        <f aca="false">Assumptions!$B$50</f>
        <v>1800</v>
      </c>
      <c r="F36" s="21" t="n">
        <f aca="false">Assumptions!$B$50</f>
        <v>1800</v>
      </c>
      <c r="G36" s="21" t="n">
        <f aca="false">Assumptions!$B$50</f>
        <v>1800</v>
      </c>
      <c r="H36" s="21" t="n">
        <f aca="false">Assumptions!$B$50</f>
        <v>1800</v>
      </c>
      <c r="I36" s="21" t="n">
        <f aca="false">Assumptions!$B$50</f>
        <v>1800</v>
      </c>
      <c r="J36" s="21" t="n">
        <f aca="false">Assumptions!$B$50</f>
        <v>1800</v>
      </c>
      <c r="K36" s="21" t="n">
        <f aca="false">Assumptions!$B$50</f>
        <v>1800</v>
      </c>
      <c r="L36" s="21" t="n">
        <f aca="false">Assumptions!$B$50</f>
        <v>1800</v>
      </c>
      <c r="M36" s="21" t="n">
        <f aca="false">Assumptions!$B$50</f>
        <v>1800</v>
      </c>
      <c r="N36" s="21" t="n">
        <f aca="false">Assumptions!$B$50</f>
        <v>1800</v>
      </c>
      <c r="O36" s="21" t="n">
        <f aca="false">Assumptions!$B$50</f>
        <v>1800</v>
      </c>
      <c r="P36" s="21" t="n">
        <f aca="false">Assumptions!$B$50</f>
        <v>1800</v>
      </c>
      <c r="Q36" s="21" t="n">
        <f aca="false">Assumptions!$B$50</f>
        <v>1800</v>
      </c>
      <c r="R36" s="21" t="n">
        <f aca="false">Assumptions!$B$50</f>
        <v>1800</v>
      </c>
      <c r="S36" s="21" t="n">
        <f aca="false">Assumptions!$B$50</f>
        <v>1800</v>
      </c>
      <c r="T36" s="21" t="n">
        <f aca="false">Assumptions!$B$50</f>
        <v>1800</v>
      </c>
      <c r="U36" s="21" t="n">
        <f aca="false">Assumptions!$B$50</f>
        <v>1800</v>
      </c>
      <c r="V36" s="21" t="n">
        <f aca="false">Assumptions!$B$50</f>
        <v>1800</v>
      </c>
      <c r="W36" s="21" t="n">
        <f aca="false">Assumptions!$B$50</f>
        <v>1800</v>
      </c>
      <c r="X36" s="21" t="n">
        <f aca="false">Assumptions!$B$50</f>
        <v>1800</v>
      </c>
      <c r="Y36" s="21" t="n">
        <f aca="false">Assumptions!$B$50</f>
        <v>1800</v>
      </c>
      <c r="Z36" s="21" t="n">
        <f aca="false">SUM(B36:M36)</f>
        <v>21600</v>
      </c>
      <c r="AA36" s="21" t="n">
        <f aca="false">SUM(N36:Y36)</f>
        <v>21600</v>
      </c>
      <c r="AB36" s="21" t="n">
        <f aca="false">SUM(B36:Y36)</f>
        <v>43200</v>
      </c>
    </row>
    <row r="37" customFormat="false" ht="15" hidden="false" customHeight="false" outlineLevel="0" collapsed="false">
      <c r="A37" s="17" t="s">
        <v>165</v>
      </c>
      <c r="B37" s="21" t="n">
        <f aca="false">Assumptions!$B$51</f>
        <v>350</v>
      </c>
      <c r="C37" s="21" t="n">
        <f aca="false">Assumptions!$B$51</f>
        <v>350</v>
      </c>
      <c r="D37" s="21" t="n">
        <f aca="false">Assumptions!$B$51</f>
        <v>350</v>
      </c>
      <c r="E37" s="21" t="n">
        <f aca="false">Assumptions!$B$51</f>
        <v>350</v>
      </c>
      <c r="F37" s="21" t="n">
        <f aca="false">Assumptions!$B$51</f>
        <v>350</v>
      </c>
      <c r="G37" s="21" t="n">
        <f aca="false">Assumptions!$B$51</f>
        <v>350</v>
      </c>
      <c r="H37" s="21" t="n">
        <f aca="false">Assumptions!$B$51</f>
        <v>350</v>
      </c>
      <c r="I37" s="21" t="n">
        <f aca="false">Assumptions!$B$51</f>
        <v>350</v>
      </c>
      <c r="J37" s="21" t="n">
        <f aca="false">Assumptions!$B$51</f>
        <v>350</v>
      </c>
      <c r="K37" s="21" t="n">
        <f aca="false">Assumptions!$B$51</f>
        <v>350</v>
      </c>
      <c r="L37" s="21" t="n">
        <f aca="false">Assumptions!$B$51</f>
        <v>350</v>
      </c>
      <c r="M37" s="21" t="n">
        <f aca="false">Assumptions!$B$51</f>
        <v>350</v>
      </c>
      <c r="N37" s="21" t="n">
        <f aca="false">Assumptions!$B$51</f>
        <v>350</v>
      </c>
      <c r="O37" s="21" t="n">
        <f aca="false">Assumptions!$B$51</f>
        <v>350</v>
      </c>
      <c r="P37" s="21" t="n">
        <f aca="false">Assumptions!$B$51</f>
        <v>350</v>
      </c>
      <c r="Q37" s="21" t="n">
        <f aca="false">Assumptions!$B$51</f>
        <v>350</v>
      </c>
      <c r="R37" s="21" t="n">
        <f aca="false">Assumptions!$B$51</f>
        <v>350</v>
      </c>
      <c r="S37" s="21" t="n">
        <f aca="false">Assumptions!$B$51</f>
        <v>350</v>
      </c>
      <c r="T37" s="21" t="n">
        <f aca="false">Assumptions!$B$51</f>
        <v>350</v>
      </c>
      <c r="U37" s="21" t="n">
        <f aca="false">Assumptions!$B$51</f>
        <v>350</v>
      </c>
      <c r="V37" s="21" t="n">
        <f aca="false">Assumptions!$B$51</f>
        <v>350</v>
      </c>
      <c r="W37" s="21" t="n">
        <f aca="false">Assumptions!$B$51</f>
        <v>350</v>
      </c>
      <c r="X37" s="21" t="n">
        <f aca="false">Assumptions!$B$51</f>
        <v>350</v>
      </c>
      <c r="Y37" s="21" t="n">
        <f aca="false">Assumptions!$B$51</f>
        <v>350</v>
      </c>
      <c r="Z37" s="21" t="n">
        <f aca="false">SUM(B37:M37)</f>
        <v>4200</v>
      </c>
      <c r="AA37" s="21" t="n">
        <f aca="false">SUM(N37:Y37)</f>
        <v>4200</v>
      </c>
      <c r="AB37" s="21" t="n">
        <f aca="false">SUM(B37:Y37)</f>
        <v>8400</v>
      </c>
    </row>
    <row r="38" customFormat="false" ht="15" hidden="false" customHeight="false" outlineLevel="0" collapsed="false">
      <c r="A38" s="17" t="s">
        <v>166</v>
      </c>
      <c r="B38" s="21" t="n">
        <f aca="false">Assumptions!$B$52</f>
        <v>250</v>
      </c>
      <c r="C38" s="21" t="n">
        <f aca="false">Assumptions!$B$52</f>
        <v>250</v>
      </c>
      <c r="D38" s="21" t="n">
        <f aca="false">Assumptions!$B$52</f>
        <v>250</v>
      </c>
      <c r="E38" s="21" t="n">
        <f aca="false">Assumptions!$B$52</f>
        <v>250</v>
      </c>
      <c r="F38" s="21" t="n">
        <f aca="false">Assumptions!$B$52</f>
        <v>250</v>
      </c>
      <c r="G38" s="21" t="n">
        <f aca="false">Assumptions!$B$52</f>
        <v>250</v>
      </c>
      <c r="H38" s="21" t="n">
        <f aca="false">Assumptions!$B$52</f>
        <v>250</v>
      </c>
      <c r="I38" s="21" t="n">
        <f aca="false">Assumptions!$B$52</f>
        <v>250</v>
      </c>
      <c r="J38" s="21" t="n">
        <f aca="false">Assumptions!$B$52</f>
        <v>250</v>
      </c>
      <c r="K38" s="21" t="n">
        <f aca="false">Assumptions!$B$52</f>
        <v>250</v>
      </c>
      <c r="L38" s="21" t="n">
        <f aca="false">Assumptions!$B$52</f>
        <v>250</v>
      </c>
      <c r="M38" s="21" t="n">
        <f aca="false">Assumptions!$B$52</f>
        <v>250</v>
      </c>
      <c r="N38" s="21" t="n">
        <f aca="false">Assumptions!$B$52</f>
        <v>250</v>
      </c>
      <c r="O38" s="21" t="n">
        <f aca="false">Assumptions!$B$52</f>
        <v>250</v>
      </c>
      <c r="P38" s="21" t="n">
        <f aca="false">Assumptions!$B$52</f>
        <v>250</v>
      </c>
      <c r="Q38" s="21" t="n">
        <f aca="false">Assumptions!$B$52</f>
        <v>250</v>
      </c>
      <c r="R38" s="21" t="n">
        <f aca="false">Assumptions!$B$52</f>
        <v>250</v>
      </c>
      <c r="S38" s="21" t="n">
        <f aca="false">Assumptions!$B$52</f>
        <v>250</v>
      </c>
      <c r="T38" s="21" t="n">
        <f aca="false">Assumptions!$B$52</f>
        <v>250</v>
      </c>
      <c r="U38" s="21" t="n">
        <f aca="false">Assumptions!$B$52</f>
        <v>250</v>
      </c>
      <c r="V38" s="21" t="n">
        <f aca="false">Assumptions!$B$52</f>
        <v>250</v>
      </c>
      <c r="W38" s="21" t="n">
        <f aca="false">Assumptions!$B$52</f>
        <v>250</v>
      </c>
      <c r="X38" s="21" t="n">
        <f aca="false">Assumptions!$B$52</f>
        <v>250</v>
      </c>
      <c r="Y38" s="21" t="n">
        <f aca="false">Assumptions!$B$52</f>
        <v>250</v>
      </c>
      <c r="Z38" s="21" t="n">
        <f aca="false">SUM(B38:M38)</f>
        <v>3000</v>
      </c>
      <c r="AA38" s="21" t="n">
        <f aca="false">SUM(N38:Y38)</f>
        <v>3000</v>
      </c>
      <c r="AB38" s="21" t="n">
        <f aca="false">SUM(B38:Y38)</f>
        <v>6000</v>
      </c>
    </row>
    <row r="39" customFormat="false" ht="15" hidden="false" customHeight="false" outlineLevel="0" collapsed="false">
      <c r="A39" s="17" t="s">
        <v>167</v>
      </c>
      <c r="B39" s="21" t="n">
        <f aca="false">Assumptions!$B$53</f>
        <v>600</v>
      </c>
      <c r="C39" s="21" t="n">
        <f aca="false">Assumptions!$B$53</f>
        <v>600</v>
      </c>
      <c r="D39" s="21" t="n">
        <f aca="false">Assumptions!$B$53</f>
        <v>600</v>
      </c>
      <c r="E39" s="21" t="n">
        <f aca="false">Assumptions!$B$53</f>
        <v>600</v>
      </c>
      <c r="F39" s="21" t="n">
        <f aca="false">Assumptions!$B$53</f>
        <v>600</v>
      </c>
      <c r="G39" s="21" t="n">
        <f aca="false">Assumptions!$B$53</f>
        <v>600</v>
      </c>
      <c r="H39" s="21" t="n">
        <f aca="false">Assumptions!$B$53</f>
        <v>600</v>
      </c>
      <c r="I39" s="21" t="n">
        <f aca="false">Assumptions!$B$53</f>
        <v>600</v>
      </c>
      <c r="J39" s="21" t="n">
        <f aca="false">Assumptions!$B$53</f>
        <v>600</v>
      </c>
      <c r="K39" s="21" t="n">
        <f aca="false">Assumptions!$B$53</f>
        <v>600</v>
      </c>
      <c r="L39" s="21" t="n">
        <f aca="false">Assumptions!$B$53</f>
        <v>600</v>
      </c>
      <c r="M39" s="21" t="n">
        <f aca="false">Assumptions!$B$53</f>
        <v>600</v>
      </c>
      <c r="N39" s="21" t="n">
        <f aca="false">Assumptions!$B$53</f>
        <v>600</v>
      </c>
      <c r="O39" s="21" t="n">
        <f aca="false">Assumptions!$B$53</f>
        <v>600</v>
      </c>
      <c r="P39" s="21" t="n">
        <f aca="false">Assumptions!$B$53</f>
        <v>600</v>
      </c>
      <c r="Q39" s="21" t="n">
        <f aca="false">Assumptions!$B$53</f>
        <v>600</v>
      </c>
      <c r="R39" s="21" t="n">
        <f aca="false">Assumptions!$B$53</f>
        <v>600</v>
      </c>
      <c r="S39" s="21" t="n">
        <f aca="false">Assumptions!$B$53</f>
        <v>600</v>
      </c>
      <c r="T39" s="21" t="n">
        <f aca="false">Assumptions!$B$53</f>
        <v>600</v>
      </c>
      <c r="U39" s="21" t="n">
        <f aca="false">Assumptions!$B$53</f>
        <v>600</v>
      </c>
      <c r="V39" s="21" t="n">
        <f aca="false">Assumptions!$B$53</f>
        <v>600</v>
      </c>
      <c r="W39" s="21" t="n">
        <f aca="false">Assumptions!$B$53</f>
        <v>600</v>
      </c>
      <c r="X39" s="21" t="n">
        <f aca="false">Assumptions!$B$53</f>
        <v>600</v>
      </c>
      <c r="Y39" s="21" t="n">
        <f aca="false">Assumptions!$B$53</f>
        <v>600</v>
      </c>
      <c r="Z39" s="21" t="n">
        <f aca="false">SUM(B39:M39)</f>
        <v>7200</v>
      </c>
      <c r="AA39" s="21" t="n">
        <f aca="false">SUM(N39:Y39)</f>
        <v>7200</v>
      </c>
      <c r="AB39" s="21" t="n">
        <f aca="false">SUM(B39:Y39)</f>
        <v>14400</v>
      </c>
    </row>
    <row r="40" customFormat="false" ht="15" hidden="false" customHeight="false" outlineLevel="0" collapsed="false">
      <c r="A40" s="17" t="s">
        <v>168</v>
      </c>
      <c r="B40" s="21" t="n">
        <f aca="false">Assumptions!$B$54</f>
        <v>0</v>
      </c>
      <c r="C40" s="21" t="n">
        <f aca="false">Assumptions!$B$54</f>
        <v>0</v>
      </c>
      <c r="D40" s="21" t="n">
        <f aca="false">Assumptions!$B$54</f>
        <v>0</v>
      </c>
      <c r="E40" s="21" t="n">
        <f aca="false">Assumptions!$B$54</f>
        <v>0</v>
      </c>
      <c r="F40" s="21" t="n">
        <f aca="false">Assumptions!$B$54</f>
        <v>0</v>
      </c>
      <c r="G40" s="21" t="n">
        <f aca="false">Assumptions!$B$54</f>
        <v>0</v>
      </c>
      <c r="H40" s="21" t="n">
        <f aca="false">Assumptions!$B$54</f>
        <v>0</v>
      </c>
      <c r="I40" s="21" t="n">
        <f aca="false">Assumptions!$B$54</f>
        <v>0</v>
      </c>
      <c r="J40" s="21" t="n">
        <f aca="false">Assumptions!$B$54</f>
        <v>0</v>
      </c>
      <c r="K40" s="21" t="n">
        <f aca="false">Assumptions!$B$54</f>
        <v>0</v>
      </c>
      <c r="L40" s="21" t="n">
        <f aca="false">Assumptions!$B$54</f>
        <v>0</v>
      </c>
      <c r="M40" s="21" t="n">
        <f aca="false">Assumptions!$B$54</f>
        <v>0</v>
      </c>
      <c r="N40" s="21" t="n">
        <f aca="false">Assumptions!$B$54</f>
        <v>0</v>
      </c>
      <c r="O40" s="21" t="n">
        <f aca="false">Assumptions!$B$54</f>
        <v>0</v>
      </c>
      <c r="P40" s="21" t="n">
        <f aca="false">Assumptions!$B$54</f>
        <v>0</v>
      </c>
      <c r="Q40" s="21" t="n">
        <f aca="false">Assumptions!$B$54</f>
        <v>0</v>
      </c>
      <c r="R40" s="21" t="n">
        <f aca="false">Assumptions!$B$54</f>
        <v>0</v>
      </c>
      <c r="S40" s="21" t="n">
        <f aca="false">Assumptions!$B$54</f>
        <v>0</v>
      </c>
      <c r="T40" s="21" t="n">
        <f aca="false">Assumptions!$B$54</f>
        <v>0</v>
      </c>
      <c r="U40" s="21" t="n">
        <f aca="false">Assumptions!$B$54</f>
        <v>0</v>
      </c>
      <c r="V40" s="21" t="n">
        <f aca="false">Assumptions!$B$54</f>
        <v>0</v>
      </c>
      <c r="W40" s="21" t="n">
        <f aca="false">Assumptions!$B$54</f>
        <v>0</v>
      </c>
      <c r="X40" s="21" t="n">
        <f aca="false">Assumptions!$B$54</f>
        <v>0</v>
      </c>
      <c r="Y40" s="21" t="n">
        <f aca="false">Assumptions!$B$54</f>
        <v>0</v>
      </c>
      <c r="Z40" s="21" t="n">
        <f aca="false">SUM(B40:M40)</f>
        <v>0</v>
      </c>
      <c r="AA40" s="21" t="n">
        <f aca="false">SUM(N40:Y40)</f>
        <v>0</v>
      </c>
      <c r="AB40" s="21" t="n">
        <f aca="false">SUM(B40:Y40)</f>
        <v>0</v>
      </c>
    </row>
    <row r="41" customFormat="false" ht="15" hidden="false" customHeight="false" outlineLevel="0" collapsed="false">
      <c r="A41" s="17" t="s">
        <v>169</v>
      </c>
      <c r="B41" s="21" t="n">
        <f aca="false">Assumptions!$B$34*IF(1&gt;=Assumptions!$B$8,Assumptions!$B$45,1)</f>
        <v>900</v>
      </c>
      <c r="C41" s="21" t="n">
        <f aca="false">Assumptions!$B$34*IF(2&gt;=Assumptions!$B$8,Assumptions!$B$45,1)</f>
        <v>900</v>
      </c>
      <c r="D41" s="21" t="n">
        <f aca="false">Assumptions!$B$34*IF(3&gt;=Assumptions!$B$8,Assumptions!$B$45,1)</f>
        <v>900</v>
      </c>
      <c r="E41" s="21" t="n">
        <f aca="false">Assumptions!$B$34*IF(4&gt;=Assumptions!$B$8,Assumptions!$B$45,1)</f>
        <v>900</v>
      </c>
      <c r="F41" s="21" t="n">
        <f aca="false">Assumptions!$B$34*IF(5&gt;=Assumptions!$B$8,Assumptions!$B$45,1)</f>
        <v>900</v>
      </c>
      <c r="G41" s="21" t="n">
        <f aca="false">Assumptions!$B$34*IF(6&gt;=Assumptions!$B$8,Assumptions!$B$45,1)</f>
        <v>900</v>
      </c>
      <c r="H41" s="21" t="n">
        <f aca="false">Assumptions!$B$34*IF(7&gt;=Assumptions!$B$8,Assumptions!$B$45,1)</f>
        <v>1440</v>
      </c>
      <c r="I41" s="21" t="n">
        <f aca="false">Assumptions!$B$34*IF(8&gt;=Assumptions!$B$8,Assumptions!$B$45,1)</f>
        <v>1440</v>
      </c>
      <c r="J41" s="21" t="n">
        <f aca="false">Assumptions!$B$34*IF(9&gt;=Assumptions!$B$8,Assumptions!$B$45,1)</f>
        <v>1440</v>
      </c>
      <c r="K41" s="21" t="n">
        <f aca="false">Assumptions!$B$34*IF(10&gt;=Assumptions!$B$8,Assumptions!$B$45,1)</f>
        <v>1440</v>
      </c>
      <c r="L41" s="21" t="n">
        <f aca="false">Assumptions!$B$34*IF(11&gt;=Assumptions!$B$8,Assumptions!$B$45,1)</f>
        <v>1440</v>
      </c>
      <c r="M41" s="21" t="n">
        <f aca="false">Assumptions!$B$34*IF(12&gt;=Assumptions!$B$8,Assumptions!$B$45,1)</f>
        <v>1440</v>
      </c>
      <c r="N41" s="21" t="n">
        <f aca="false">Assumptions!$B$34*IF(13&gt;=Assumptions!$B$8,Assumptions!$B$45,1)</f>
        <v>1440</v>
      </c>
      <c r="O41" s="21" t="n">
        <f aca="false">Assumptions!$B$34*IF(14&gt;=Assumptions!$B$8,Assumptions!$B$45,1)</f>
        <v>1440</v>
      </c>
      <c r="P41" s="21" t="n">
        <f aca="false">Assumptions!$B$34*IF(15&gt;=Assumptions!$B$8,Assumptions!$B$45,1)</f>
        <v>1440</v>
      </c>
      <c r="Q41" s="21" t="n">
        <f aca="false">Assumptions!$B$34*IF(16&gt;=Assumptions!$B$8,Assumptions!$B$45,1)</f>
        <v>1440</v>
      </c>
      <c r="R41" s="21" t="n">
        <f aca="false">Assumptions!$B$34*IF(17&gt;=Assumptions!$B$8,Assumptions!$B$45,1)</f>
        <v>1440</v>
      </c>
      <c r="S41" s="21" t="n">
        <f aca="false">Assumptions!$B$34*IF(18&gt;=Assumptions!$B$8,Assumptions!$B$45,1)</f>
        <v>1440</v>
      </c>
      <c r="T41" s="21" t="n">
        <f aca="false">Assumptions!$B$34*IF(19&gt;=Assumptions!$B$8,Assumptions!$B$45,1)</f>
        <v>1440</v>
      </c>
      <c r="U41" s="21" t="n">
        <f aca="false">Assumptions!$B$34*IF(20&gt;=Assumptions!$B$8,Assumptions!$B$45,1)</f>
        <v>1440</v>
      </c>
      <c r="V41" s="21" t="n">
        <f aca="false">Assumptions!$B$34*IF(21&gt;=Assumptions!$B$8,Assumptions!$B$45,1)</f>
        <v>1440</v>
      </c>
      <c r="W41" s="21" t="n">
        <f aca="false">Assumptions!$B$34*IF(22&gt;=Assumptions!$B$8,Assumptions!$B$45,1)</f>
        <v>1440</v>
      </c>
      <c r="X41" s="21" t="n">
        <f aca="false">Assumptions!$B$34*IF(23&gt;=Assumptions!$B$8,Assumptions!$B$45,1)</f>
        <v>1440</v>
      </c>
      <c r="Y41" s="21" t="n">
        <f aca="false">Assumptions!$B$34*IF(24&gt;=Assumptions!$B$8,Assumptions!$B$45,1)</f>
        <v>1440</v>
      </c>
      <c r="Z41" s="21" t="n">
        <f aca="false">SUM(B41:M41)</f>
        <v>14040</v>
      </c>
      <c r="AA41" s="21" t="n">
        <f aca="false">SUM(N41:Y41)</f>
        <v>17280</v>
      </c>
      <c r="AB41" s="21" t="n">
        <f aca="false">SUM(B41:Y41)</f>
        <v>31320</v>
      </c>
    </row>
    <row r="42" customFormat="false" ht="15" hidden="false" customHeight="false" outlineLevel="0" collapsed="false">
      <c r="A42" s="17" t="s">
        <v>170</v>
      </c>
      <c r="B42" s="21" t="n">
        <f aca="false">IF(1&gt;=2,Assumptions!$B$37*IF(1&gt;=Assumptions!$B$8,Assumptions!$B$45,1),0)</f>
        <v>0</v>
      </c>
      <c r="C42" s="21" t="n">
        <f aca="false">IF(2&gt;=2,Assumptions!$B$37*IF(2&gt;=Assumptions!$B$8,Assumptions!$B$45,1),0)</f>
        <v>600</v>
      </c>
      <c r="D42" s="21" t="n">
        <f aca="false">IF(3&gt;=2,Assumptions!$B$37*IF(3&gt;=Assumptions!$B$8,Assumptions!$B$45,1),0)</f>
        <v>600</v>
      </c>
      <c r="E42" s="21" t="n">
        <f aca="false">IF(4&gt;=2,Assumptions!$B$37*IF(4&gt;=Assumptions!$B$8,Assumptions!$B$45,1),0)</f>
        <v>600</v>
      </c>
      <c r="F42" s="21" t="n">
        <f aca="false">IF(5&gt;=2,Assumptions!$B$37*IF(5&gt;=Assumptions!$B$8,Assumptions!$B$45,1),0)</f>
        <v>600</v>
      </c>
      <c r="G42" s="21" t="n">
        <f aca="false">IF(6&gt;=2,Assumptions!$B$37*IF(6&gt;=Assumptions!$B$8,Assumptions!$B$45,1),0)</f>
        <v>600</v>
      </c>
      <c r="H42" s="21" t="n">
        <f aca="false">IF(7&gt;=2,Assumptions!$B$37*IF(7&gt;=Assumptions!$B$8,Assumptions!$B$45,1),0)</f>
        <v>960</v>
      </c>
      <c r="I42" s="21" t="n">
        <f aca="false">IF(8&gt;=2,Assumptions!$B$37*IF(8&gt;=Assumptions!$B$8,Assumptions!$B$45,1),0)</f>
        <v>960</v>
      </c>
      <c r="J42" s="21" t="n">
        <f aca="false">IF(9&gt;=2,Assumptions!$B$37*IF(9&gt;=Assumptions!$B$8,Assumptions!$B$45,1),0)</f>
        <v>960</v>
      </c>
      <c r="K42" s="21" t="n">
        <f aca="false">IF(10&gt;=2,Assumptions!$B$37*IF(10&gt;=Assumptions!$B$8,Assumptions!$B$45,1),0)</f>
        <v>960</v>
      </c>
      <c r="L42" s="21" t="n">
        <f aca="false">IF(11&gt;=2,Assumptions!$B$37*IF(11&gt;=Assumptions!$B$8,Assumptions!$B$45,1),0)</f>
        <v>960</v>
      </c>
      <c r="M42" s="21" t="n">
        <f aca="false">IF(12&gt;=2,Assumptions!$B$37*IF(12&gt;=Assumptions!$B$8,Assumptions!$B$45,1),0)</f>
        <v>960</v>
      </c>
      <c r="N42" s="21" t="n">
        <f aca="false">IF(13&gt;=2,Assumptions!$B$37*IF(13&gt;=Assumptions!$B$8,Assumptions!$B$45,1),0)</f>
        <v>960</v>
      </c>
      <c r="O42" s="21" t="n">
        <f aca="false">IF(14&gt;=2,Assumptions!$B$37*IF(14&gt;=Assumptions!$B$8,Assumptions!$B$45,1),0)</f>
        <v>960</v>
      </c>
      <c r="P42" s="21" t="n">
        <f aca="false">IF(15&gt;=2,Assumptions!$B$37*IF(15&gt;=Assumptions!$B$8,Assumptions!$B$45,1),0)</f>
        <v>960</v>
      </c>
      <c r="Q42" s="21" t="n">
        <f aca="false">IF(16&gt;=2,Assumptions!$B$37*IF(16&gt;=Assumptions!$B$8,Assumptions!$B$45,1),0)</f>
        <v>960</v>
      </c>
      <c r="R42" s="21" t="n">
        <f aca="false">IF(17&gt;=2,Assumptions!$B$37*IF(17&gt;=Assumptions!$B$8,Assumptions!$B$45,1),0)</f>
        <v>960</v>
      </c>
      <c r="S42" s="21" t="n">
        <f aca="false">IF(18&gt;=2,Assumptions!$B$37*IF(18&gt;=Assumptions!$B$8,Assumptions!$B$45,1),0)</f>
        <v>960</v>
      </c>
      <c r="T42" s="21" t="n">
        <f aca="false">IF(19&gt;=2,Assumptions!$B$37*IF(19&gt;=Assumptions!$B$8,Assumptions!$B$45,1),0)</f>
        <v>960</v>
      </c>
      <c r="U42" s="21" t="n">
        <f aca="false">IF(20&gt;=2,Assumptions!$B$37*IF(20&gt;=Assumptions!$B$8,Assumptions!$B$45,1),0)</f>
        <v>960</v>
      </c>
      <c r="V42" s="21" t="n">
        <f aca="false">IF(21&gt;=2,Assumptions!$B$37*IF(21&gt;=Assumptions!$B$8,Assumptions!$B$45,1),0)</f>
        <v>960</v>
      </c>
      <c r="W42" s="21" t="n">
        <f aca="false">IF(22&gt;=2,Assumptions!$B$37*IF(22&gt;=Assumptions!$B$8,Assumptions!$B$45,1),0)</f>
        <v>960</v>
      </c>
      <c r="X42" s="21" t="n">
        <f aca="false">IF(23&gt;=2,Assumptions!$B$37*IF(23&gt;=Assumptions!$B$8,Assumptions!$B$45,1),0)</f>
        <v>960</v>
      </c>
      <c r="Y42" s="21" t="n">
        <f aca="false">IF(24&gt;=2,Assumptions!$B$37*IF(24&gt;=Assumptions!$B$8,Assumptions!$B$45,1),0)</f>
        <v>960</v>
      </c>
      <c r="Z42" s="21" t="n">
        <f aca="false">SUM(B42:M42)</f>
        <v>8760</v>
      </c>
      <c r="AA42" s="21" t="n">
        <f aca="false">SUM(N42:Y42)</f>
        <v>11520</v>
      </c>
      <c r="AB42" s="21" t="n">
        <f aca="false">SUM(B42:Y42)</f>
        <v>20280</v>
      </c>
    </row>
    <row r="43" customFormat="false" ht="15" hidden="false" customHeight="false" outlineLevel="0" collapsed="false">
      <c r="A43" s="17" t="s">
        <v>171</v>
      </c>
      <c r="B43" s="21" t="n">
        <f aca="false">Assumptions!$B$46</f>
        <v>300</v>
      </c>
      <c r="C43" s="21" t="n">
        <f aca="false">Assumptions!$B$46</f>
        <v>300</v>
      </c>
      <c r="D43" s="21" t="n">
        <f aca="false">Assumptions!$B$46</f>
        <v>300</v>
      </c>
      <c r="E43" s="21" t="n">
        <f aca="false">Assumptions!$B$46</f>
        <v>300</v>
      </c>
      <c r="F43" s="21" t="n">
        <f aca="false">Assumptions!$B$46</f>
        <v>300</v>
      </c>
      <c r="G43" s="21" t="n">
        <f aca="false">Assumptions!$B$46</f>
        <v>300</v>
      </c>
      <c r="H43" s="21" t="n">
        <f aca="false">Assumptions!$B$46</f>
        <v>300</v>
      </c>
      <c r="I43" s="21" t="n">
        <f aca="false">Assumptions!$B$46</f>
        <v>300</v>
      </c>
      <c r="J43" s="21" t="n">
        <f aca="false">Assumptions!$B$46</f>
        <v>300</v>
      </c>
      <c r="K43" s="21" t="n">
        <f aca="false">Assumptions!$B$46</f>
        <v>300</v>
      </c>
      <c r="L43" s="21" t="n">
        <f aca="false">Assumptions!$B$46</f>
        <v>300</v>
      </c>
      <c r="M43" s="21" t="n">
        <f aca="false">Assumptions!$B$46</f>
        <v>300</v>
      </c>
      <c r="N43" s="21" t="n">
        <f aca="false">Assumptions!$B$46</f>
        <v>300</v>
      </c>
      <c r="O43" s="21" t="n">
        <f aca="false">Assumptions!$B$46</f>
        <v>300</v>
      </c>
      <c r="P43" s="21" t="n">
        <f aca="false">Assumptions!$B$46</f>
        <v>300</v>
      </c>
      <c r="Q43" s="21" t="n">
        <f aca="false">Assumptions!$B$46</f>
        <v>300</v>
      </c>
      <c r="R43" s="21" t="n">
        <f aca="false">Assumptions!$B$46</f>
        <v>300</v>
      </c>
      <c r="S43" s="21" t="n">
        <f aca="false">Assumptions!$B$46</f>
        <v>300</v>
      </c>
      <c r="T43" s="21" t="n">
        <f aca="false">Assumptions!$B$46</f>
        <v>300</v>
      </c>
      <c r="U43" s="21" t="n">
        <f aca="false">Assumptions!$B$46</f>
        <v>300</v>
      </c>
      <c r="V43" s="21" t="n">
        <f aca="false">Assumptions!$B$46</f>
        <v>300</v>
      </c>
      <c r="W43" s="21" t="n">
        <f aca="false">Assumptions!$B$46</f>
        <v>300</v>
      </c>
      <c r="X43" s="21" t="n">
        <f aca="false">Assumptions!$B$46</f>
        <v>300</v>
      </c>
      <c r="Y43" s="21" t="n">
        <f aca="false">Assumptions!$B$46</f>
        <v>300</v>
      </c>
      <c r="Z43" s="21" t="n">
        <f aca="false">SUM(B43:M43)</f>
        <v>3600</v>
      </c>
      <c r="AA43" s="21" t="n">
        <f aca="false">SUM(N43:Y43)</f>
        <v>3600</v>
      </c>
      <c r="AB43" s="21" t="n">
        <f aca="false">SUM(B43:Y43)</f>
        <v>7200</v>
      </c>
    </row>
    <row r="44" customFormat="false" ht="15" hidden="false" customHeight="false" outlineLevel="0" collapsed="false">
      <c r="A44" s="17" t="s">
        <v>172</v>
      </c>
      <c r="B44" s="21" t="n">
        <f aca="false">IF(AND(1&gt;=Assumptions!$B$8,1&lt;Assumptions!$B$8+Assumptions!$B$58),Assumptions!$B$57,0)+IF(AND(1&gt;=Assumptions!$B$8,1&lt;Assumptions!$B$8+Assumptions!$B$61),Assumptions!$B$60,0)+IF(AND(1&gt;=Assumptions!$B$8,1&lt;Assumptions!$B$8+Assumptions!$B$64),Assumptions!$B$63,0)+IF(AND(1&gt;=Assumptions!$B$8,1&lt;Assumptions!$B$8+Assumptions!$B$67),Assumptions!$B$66,0)+IF(AND(1&gt;=Assumptions!$B$8,1&lt;Assumptions!$B$8+Assumptions!$B$70),Assumptions!$B$69,0)+IF(1=Assumptions!$B$8,Assumptions!$B$74,0)</f>
        <v>0</v>
      </c>
      <c r="C44" s="21" t="n">
        <f aca="false">IF(AND(2&gt;=Assumptions!$B$8,2&lt;Assumptions!$B$8+Assumptions!$B$58),Assumptions!$B$57,0)+IF(AND(2&gt;=Assumptions!$B$8,2&lt;Assumptions!$B$8+Assumptions!$B$61),Assumptions!$B$60,0)+IF(AND(2&gt;=Assumptions!$B$8,2&lt;Assumptions!$B$8+Assumptions!$B$64),Assumptions!$B$63,0)+IF(AND(2&gt;=Assumptions!$B$8,2&lt;Assumptions!$B$8+Assumptions!$B$67),Assumptions!$B$66,0)+IF(AND(2&gt;=Assumptions!$B$8,2&lt;Assumptions!$B$8+Assumptions!$B$70),Assumptions!$B$69,0)+IF(2=Assumptions!$B$8,Assumptions!$B$74,0)</f>
        <v>0</v>
      </c>
      <c r="D44" s="21" t="n">
        <f aca="false">IF(AND(3&gt;=Assumptions!$B$8,3&lt;Assumptions!$B$8+Assumptions!$B$58),Assumptions!$B$57,0)+IF(AND(3&gt;=Assumptions!$B$8,3&lt;Assumptions!$B$8+Assumptions!$B$61),Assumptions!$B$60,0)+IF(AND(3&gt;=Assumptions!$B$8,3&lt;Assumptions!$B$8+Assumptions!$B$64),Assumptions!$B$63,0)+IF(AND(3&gt;=Assumptions!$B$8,3&lt;Assumptions!$B$8+Assumptions!$B$67),Assumptions!$B$66,0)+IF(AND(3&gt;=Assumptions!$B$8,3&lt;Assumptions!$B$8+Assumptions!$B$70),Assumptions!$B$69,0)+IF(3=Assumptions!$B$8,Assumptions!$B$74,0)</f>
        <v>0</v>
      </c>
      <c r="E44" s="21" t="n">
        <f aca="false">IF(AND(4&gt;=Assumptions!$B$8,4&lt;Assumptions!$B$8+Assumptions!$B$58),Assumptions!$B$57,0)+IF(AND(4&gt;=Assumptions!$B$8,4&lt;Assumptions!$B$8+Assumptions!$B$61),Assumptions!$B$60,0)+IF(AND(4&gt;=Assumptions!$B$8,4&lt;Assumptions!$B$8+Assumptions!$B$64),Assumptions!$B$63,0)+IF(AND(4&gt;=Assumptions!$B$8,4&lt;Assumptions!$B$8+Assumptions!$B$67),Assumptions!$B$66,0)+IF(AND(4&gt;=Assumptions!$B$8,4&lt;Assumptions!$B$8+Assumptions!$B$70),Assumptions!$B$69,0)+IF(4=Assumptions!$B$8,Assumptions!$B$74,0)</f>
        <v>0</v>
      </c>
      <c r="F44" s="21" t="n">
        <f aca="false">IF(AND(5&gt;=Assumptions!$B$8,5&lt;Assumptions!$B$8+Assumptions!$B$58),Assumptions!$B$57,0)+IF(AND(5&gt;=Assumptions!$B$8,5&lt;Assumptions!$B$8+Assumptions!$B$61),Assumptions!$B$60,0)+IF(AND(5&gt;=Assumptions!$B$8,5&lt;Assumptions!$B$8+Assumptions!$B$64),Assumptions!$B$63,0)+IF(AND(5&gt;=Assumptions!$B$8,5&lt;Assumptions!$B$8+Assumptions!$B$67),Assumptions!$B$66,0)+IF(AND(5&gt;=Assumptions!$B$8,5&lt;Assumptions!$B$8+Assumptions!$B$70),Assumptions!$B$69,0)+IF(5=Assumptions!$B$8,Assumptions!$B$74,0)</f>
        <v>0</v>
      </c>
      <c r="G44" s="21" t="n">
        <f aca="false">IF(AND(6&gt;=Assumptions!$B$8,6&lt;Assumptions!$B$8+Assumptions!$B$58),Assumptions!$B$57,0)+IF(AND(6&gt;=Assumptions!$B$8,6&lt;Assumptions!$B$8+Assumptions!$B$61),Assumptions!$B$60,0)+IF(AND(6&gt;=Assumptions!$B$8,6&lt;Assumptions!$B$8+Assumptions!$B$64),Assumptions!$B$63,0)+IF(AND(6&gt;=Assumptions!$B$8,6&lt;Assumptions!$B$8+Assumptions!$B$67),Assumptions!$B$66,0)+IF(AND(6&gt;=Assumptions!$B$8,6&lt;Assumptions!$B$8+Assumptions!$B$70),Assumptions!$B$69,0)+IF(6=Assumptions!$B$8,Assumptions!$B$74,0)</f>
        <v>0</v>
      </c>
      <c r="H44" s="21" t="n">
        <f aca="false">IF(AND(7&gt;=Assumptions!$B$8,7&lt;Assumptions!$B$8+Assumptions!$B$58),Assumptions!$B$57,0)+IF(AND(7&gt;=Assumptions!$B$8,7&lt;Assumptions!$B$8+Assumptions!$B$61),Assumptions!$B$60,0)+IF(AND(7&gt;=Assumptions!$B$8,7&lt;Assumptions!$B$8+Assumptions!$B$64),Assumptions!$B$63,0)+IF(AND(7&gt;=Assumptions!$B$8,7&lt;Assumptions!$B$8+Assumptions!$B$67),Assumptions!$B$66,0)+IF(AND(7&gt;=Assumptions!$B$8,7&lt;Assumptions!$B$8+Assumptions!$B$70),Assumptions!$B$69,0)+IF(7=Assumptions!$B$8,Assumptions!$B$74,0)</f>
        <v>8200</v>
      </c>
      <c r="I44" s="21" t="n">
        <f aca="false">IF(AND(8&gt;=Assumptions!$B$8,8&lt;Assumptions!$B$8+Assumptions!$B$58),Assumptions!$B$57,0)+IF(AND(8&gt;=Assumptions!$B$8,8&lt;Assumptions!$B$8+Assumptions!$B$61),Assumptions!$B$60,0)+IF(AND(8&gt;=Assumptions!$B$8,8&lt;Assumptions!$B$8+Assumptions!$B$64),Assumptions!$B$63,0)+IF(AND(8&gt;=Assumptions!$B$8,8&lt;Assumptions!$B$8+Assumptions!$B$67),Assumptions!$B$66,0)+IF(AND(8&gt;=Assumptions!$B$8,8&lt;Assumptions!$B$8+Assumptions!$B$70),Assumptions!$B$69,0)+IF(8=Assumptions!$B$8,Assumptions!$B$74,0)</f>
        <v>3700</v>
      </c>
      <c r="J44" s="21" t="n">
        <f aca="false">IF(AND(9&gt;=Assumptions!$B$8,9&lt;Assumptions!$B$8+Assumptions!$B$58),Assumptions!$B$57,0)+IF(AND(9&gt;=Assumptions!$B$8,9&lt;Assumptions!$B$8+Assumptions!$B$61),Assumptions!$B$60,0)+IF(AND(9&gt;=Assumptions!$B$8,9&lt;Assumptions!$B$8+Assumptions!$B$64),Assumptions!$B$63,0)+IF(AND(9&gt;=Assumptions!$B$8,9&lt;Assumptions!$B$8+Assumptions!$B$67),Assumptions!$B$66,0)+IF(AND(9&gt;=Assumptions!$B$8,9&lt;Assumptions!$B$8+Assumptions!$B$70),Assumptions!$B$69,0)+IF(9=Assumptions!$B$8,Assumptions!$B$74,0)</f>
        <v>3700</v>
      </c>
      <c r="K44" s="21" t="n">
        <f aca="false">IF(AND(10&gt;=Assumptions!$B$8,10&lt;Assumptions!$B$8+Assumptions!$B$58),Assumptions!$B$57,0)+IF(AND(10&gt;=Assumptions!$B$8,10&lt;Assumptions!$B$8+Assumptions!$B$61),Assumptions!$B$60,0)+IF(AND(10&gt;=Assumptions!$B$8,10&lt;Assumptions!$B$8+Assumptions!$B$64),Assumptions!$B$63,0)+IF(AND(10&gt;=Assumptions!$B$8,10&lt;Assumptions!$B$8+Assumptions!$B$67),Assumptions!$B$66,0)+IF(AND(10&gt;=Assumptions!$B$8,10&lt;Assumptions!$B$8+Assumptions!$B$70),Assumptions!$B$69,0)+IF(10=Assumptions!$B$8,Assumptions!$B$74,0)</f>
        <v>0</v>
      </c>
      <c r="L44" s="21" t="n">
        <f aca="false">IF(AND(11&gt;=Assumptions!$B$8,11&lt;Assumptions!$B$8+Assumptions!$B$58),Assumptions!$B$57,0)+IF(AND(11&gt;=Assumptions!$B$8,11&lt;Assumptions!$B$8+Assumptions!$B$61),Assumptions!$B$60,0)+IF(AND(11&gt;=Assumptions!$B$8,11&lt;Assumptions!$B$8+Assumptions!$B$64),Assumptions!$B$63,0)+IF(AND(11&gt;=Assumptions!$B$8,11&lt;Assumptions!$B$8+Assumptions!$B$67),Assumptions!$B$66,0)+IF(AND(11&gt;=Assumptions!$B$8,11&lt;Assumptions!$B$8+Assumptions!$B$70),Assumptions!$B$69,0)+IF(11=Assumptions!$B$8,Assumptions!$B$74,0)</f>
        <v>0</v>
      </c>
      <c r="M44" s="21" t="n">
        <f aca="false">IF(AND(12&gt;=Assumptions!$B$8,12&lt;Assumptions!$B$8+Assumptions!$B$58),Assumptions!$B$57,0)+IF(AND(12&gt;=Assumptions!$B$8,12&lt;Assumptions!$B$8+Assumptions!$B$61),Assumptions!$B$60,0)+IF(AND(12&gt;=Assumptions!$B$8,12&lt;Assumptions!$B$8+Assumptions!$B$64),Assumptions!$B$63,0)+IF(AND(12&gt;=Assumptions!$B$8,12&lt;Assumptions!$B$8+Assumptions!$B$67),Assumptions!$B$66,0)+IF(AND(12&gt;=Assumptions!$B$8,12&lt;Assumptions!$B$8+Assumptions!$B$70),Assumptions!$B$69,0)+IF(12=Assumptions!$B$8,Assumptions!$B$74,0)</f>
        <v>0</v>
      </c>
      <c r="N44" s="21" t="n">
        <f aca="false">IF(AND(13&gt;=Assumptions!$B$8,13&lt;Assumptions!$B$8+Assumptions!$B$58),Assumptions!$B$57,0)+IF(AND(13&gt;=Assumptions!$B$8,13&lt;Assumptions!$B$8+Assumptions!$B$61),Assumptions!$B$60,0)+IF(AND(13&gt;=Assumptions!$B$8,13&lt;Assumptions!$B$8+Assumptions!$B$64),Assumptions!$B$63,0)+IF(AND(13&gt;=Assumptions!$B$8,13&lt;Assumptions!$B$8+Assumptions!$B$67),Assumptions!$B$66,0)+IF(AND(13&gt;=Assumptions!$B$8,13&lt;Assumptions!$B$8+Assumptions!$B$70),Assumptions!$B$69,0)+IF(13=Assumptions!$B$8,Assumptions!$B$74,0)</f>
        <v>0</v>
      </c>
      <c r="O44" s="21" t="n">
        <f aca="false">IF(AND(14&gt;=Assumptions!$B$8,14&lt;Assumptions!$B$8+Assumptions!$B$58),Assumptions!$B$57,0)+IF(AND(14&gt;=Assumptions!$B$8,14&lt;Assumptions!$B$8+Assumptions!$B$61),Assumptions!$B$60,0)+IF(AND(14&gt;=Assumptions!$B$8,14&lt;Assumptions!$B$8+Assumptions!$B$64),Assumptions!$B$63,0)+IF(AND(14&gt;=Assumptions!$B$8,14&lt;Assumptions!$B$8+Assumptions!$B$67),Assumptions!$B$66,0)+IF(AND(14&gt;=Assumptions!$B$8,14&lt;Assumptions!$B$8+Assumptions!$B$70),Assumptions!$B$69,0)+IF(14=Assumptions!$B$8,Assumptions!$B$74,0)</f>
        <v>0</v>
      </c>
      <c r="P44" s="21" t="n">
        <f aca="false">IF(AND(15&gt;=Assumptions!$B$8,15&lt;Assumptions!$B$8+Assumptions!$B$58),Assumptions!$B$57,0)+IF(AND(15&gt;=Assumptions!$B$8,15&lt;Assumptions!$B$8+Assumptions!$B$61),Assumptions!$B$60,0)+IF(AND(15&gt;=Assumptions!$B$8,15&lt;Assumptions!$B$8+Assumptions!$B$64),Assumptions!$B$63,0)+IF(AND(15&gt;=Assumptions!$B$8,15&lt;Assumptions!$B$8+Assumptions!$B$67),Assumptions!$B$66,0)+IF(AND(15&gt;=Assumptions!$B$8,15&lt;Assumptions!$B$8+Assumptions!$B$70),Assumptions!$B$69,0)+IF(15=Assumptions!$B$8,Assumptions!$B$74,0)</f>
        <v>0</v>
      </c>
      <c r="Q44" s="21" t="n">
        <f aca="false">IF(AND(16&gt;=Assumptions!$B$8,16&lt;Assumptions!$B$8+Assumptions!$B$58),Assumptions!$B$57,0)+IF(AND(16&gt;=Assumptions!$B$8,16&lt;Assumptions!$B$8+Assumptions!$B$61),Assumptions!$B$60,0)+IF(AND(16&gt;=Assumptions!$B$8,16&lt;Assumptions!$B$8+Assumptions!$B$64),Assumptions!$B$63,0)+IF(AND(16&gt;=Assumptions!$B$8,16&lt;Assumptions!$B$8+Assumptions!$B$67),Assumptions!$B$66,0)+IF(AND(16&gt;=Assumptions!$B$8,16&lt;Assumptions!$B$8+Assumptions!$B$70),Assumptions!$B$69,0)+IF(16=Assumptions!$B$8,Assumptions!$B$74,0)</f>
        <v>0</v>
      </c>
      <c r="R44" s="21" t="n">
        <f aca="false">IF(AND(17&gt;=Assumptions!$B$8,17&lt;Assumptions!$B$8+Assumptions!$B$58),Assumptions!$B$57,0)+IF(AND(17&gt;=Assumptions!$B$8,17&lt;Assumptions!$B$8+Assumptions!$B$61),Assumptions!$B$60,0)+IF(AND(17&gt;=Assumptions!$B$8,17&lt;Assumptions!$B$8+Assumptions!$B$64),Assumptions!$B$63,0)+IF(AND(17&gt;=Assumptions!$B$8,17&lt;Assumptions!$B$8+Assumptions!$B$67),Assumptions!$B$66,0)+IF(AND(17&gt;=Assumptions!$B$8,17&lt;Assumptions!$B$8+Assumptions!$B$70),Assumptions!$B$69,0)+IF(17=Assumptions!$B$8,Assumptions!$B$74,0)</f>
        <v>0</v>
      </c>
      <c r="S44" s="21" t="n">
        <f aca="false">IF(AND(18&gt;=Assumptions!$B$8,18&lt;Assumptions!$B$8+Assumptions!$B$58),Assumptions!$B$57,0)+IF(AND(18&gt;=Assumptions!$B$8,18&lt;Assumptions!$B$8+Assumptions!$B$61),Assumptions!$B$60,0)+IF(AND(18&gt;=Assumptions!$B$8,18&lt;Assumptions!$B$8+Assumptions!$B$64),Assumptions!$B$63,0)+IF(AND(18&gt;=Assumptions!$B$8,18&lt;Assumptions!$B$8+Assumptions!$B$67),Assumptions!$B$66,0)+IF(AND(18&gt;=Assumptions!$B$8,18&lt;Assumptions!$B$8+Assumptions!$B$70),Assumptions!$B$69,0)+IF(18=Assumptions!$B$8,Assumptions!$B$74,0)</f>
        <v>0</v>
      </c>
      <c r="T44" s="21" t="n">
        <f aca="false">IF(AND(19&gt;=Assumptions!$B$8,19&lt;Assumptions!$B$8+Assumptions!$B$58),Assumptions!$B$57,0)+IF(AND(19&gt;=Assumptions!$B$8,19&lt;Assumptions!$B$8+Assumptions!$B$61),Assumptions!$B$60,0)+IF(AND(19&gt;=Assumptions!$B$8,19&lt;Assumptions!$B$8+Assumptions!$B$64),Assumptions!$B$63,0)+IF(AND(19&gt;=Assumptions!$B$8,19&lt;Assumptions!$B$8+Assumptions!$B$67),Assumptions!$B$66,0)+IF(AND(19&gt;=Assumptions!$B$8,19&lt;Assumptions!$B$8+Assumptions!$B$70),Assumptions!$B$69,0)+IF(19=Assumptions!$B$8,Assumptions!$B$74,0)</f>
        <v>0</v>
      </c>
      <c r="U44" s="21" t="n">
        <f aca="false">IF(AND(20&gt;=Assumptions!$B$8,20&lt;Assumptions!$B$8+Assumptions!$B$58),Assumptions!$B$57,0)+IF(AND(20&gt;=Assumptions!$B$8,20&lt;Assumptions!$B$8+Assumptions!$B$61),Assumptions!$B$60,0)+IF(AND(20&gt;=Assumptions!$B$8,20&lt;Assumptions!$B$8+Assumptions!$B$64),Assumptions!$B$63,0)+IF(AND(20&gt;=Assumptions!$B$8,20&lt;Assumptions!$B$8+Assumptions!$B$67),Assumptions!$B$66,0)+IF(AND(20&gt;=Assumptions!$B$8,20&lt;Assumptions!$B$8+Assumptions!$B$70),Assumptions!$B$69,0)+IF(20=Assumptions!$B$8,Assumptions!$B$74,0)</f>
        <v>0</v>
      </c>
      <c r="V44" s="21" t="n">
        <f aca="false">IF(AND(21&gt;=Assumptions!$B$8,21&lt;Assumptions!$B$8+Assumptions!$B$58),Assumptions!$B$57,0)+IF(AND(21&gt;=Assumptions!$B$8,21&lt;Assumptions!$B$8+Assumptions!$B$61),Assumptions!$B$60,0)+IF(AND(21&gt;=Assumptions!$B$8,21&lt;Assumptions!$B$8+Assumptions!$B$64),Assumptions!$B$63,0)+IF(AND(21&gt;=Assumptions!$B$8,21&lt;Assumptions!$B$8+Assumptions!$B$67),Assumptions!$B$66,0)+IF(AND(21&gt;=Assumptions!$B$8,21&lt;Assumptions!$B$8+Assumptions!$B$70),Assumptions!$B$69,0)+IF(21=Assumptions!$B$8,Assumptions!$B$74,0)</f>
        <v>0</v>
      </c>
      <c r="W44" s="21" t="n">
        <f aca="false">IF(AND(22&gt;=Assumptions!$B$8,22&lt;Assumptions!$B$8+Assumptions!$B$58),Assumptions!$B$57,0)+IF(AND(22&gt;=Assumptions!$B$8,22&lt;Assumptions!$B$8+Assumptions!$B$61),Assumptions!$B$60,0)+IF(AND(22&gt;=Assumptions!$B$8,22&lt;Assumptions!$B$8+Assumptions!$B$64),Assumptions!$B$63,0)+IF(AND(22&gt;=Assumptions!$B$8,22&lt;Assumptions!$B$8+Assumptions!$B$67),Assumptions!$B$66,0)+IF(AND(22&gt;=Assumptions!$B$8,22&lt;Assumptions!$B$8+Assumptions!$B$70),Assumptions!$B$69,0)+IF(22=Assumptions!$B$8,Assumptions!$B$74,0)</f>
        <v>0</v>
      </c>
      <c r="X44" s="21" t="n">
        <f aca="false">IF(AND(23&gt;=Assumptions!$B$8,23&lt;Assumptions!$B$8+Assumptions!$B$58),Assumptions!$B$57,0)+IF(AND(23&gt;=Assumptions!$B$8,23&lt;Assumptions!$B$8+Assumptions!$B$61),Assumptions!$B$60,0)+IF(AND(23&gt;=Assumptions!$B$8,23&lt;Assumptions!$B$8+Assumptions!$B$64),Assumptions!$B$63,0)+IF(AND(23&gt;=Assumptions!$B$8,23&lt;Assumptions!$B$8+Assumptions!$B$67),Assumptions!$B$66,0)+IF(AND(23&gt;=Assumptions!$B$8,23&lt;Assumptions!$B$8+Assumptions!$B$70),Assumptions!$B$69,0)+IF(23=Assumptions!$B$8,Assumptions!$B$74,0)</f>
        <v>0</v>
      </c>
      <c r="Y44" s="21" t="n">
        <f aca="false">IF(AND(24&gt;=Assumptions!$B$8,24&lt;Assumptions!$B$8+Assumptions!$B$58),Assumptions!$B$57,0)+IF(AND(24&gt;=Assumptions!$B$8,24&lt;Assumptions!$B$8+Assumptions!$B$61),Assumptions!$B$60,0)+IF(AND(24&gt;=Assumptions!$B$8,24&lt;Assumptions!$B$8+Assumptions!$B$64),Assumptions!$B$63,0)+IF(AND(24&gt;=Assumptions!$B$8,24&lt;Assumptions!$B$8+Assumptions!$B$67),Assumptions!$B$66,0)+IF(AND(24&gt;=Assumptions!$B$8,24&lt;Assumptions!$B$8+Assumptions!$B$70),Assumptions!$B$69,0)+IF(24=Assumptions!$B$8,Assumptions!$B$74,0)</f>
        <v>0</v>
      </c>
      <c r="Z44" s="21" t="n">
        <f aca="false">SUM(B44:M44)</f>
        <v>15600</v>
      </c>
      <c r="AA44" s="21" t="n">
        <f aca="false">SUM(N44:Y44)</f>
        <v>0</v>
      </c>
      <c r="AB44" s="21" t="n">
        <f aca="false">SUM(B44:Y44)</f>
        <v>15600</v>
      </c>
    </row>
    <row r="45" customFormat="false" ht="15" hidden="false" customHeight="false" outlineLevel="0" collapsed="false">
      <c r="A45" s="17" t="s">
        <v>173</v>
      </c>
      <c r="B45" s="21" t="n">
        <f aca="false">IF(1&gt;=Assumptions!$B$8+Assumptions!$B$58,-PMT(Assumptions!$B$72/12,Assumptions!$B$73,Assumptions!$B$56*Assumptions!$B$71),0)+IF(1&gt;=Assumptions!$B$8+Assumptions!$B$61,-PMT(Assumptions!$B$72/12,Assumptions!$B$73,Assumptions!$B$59*Assumptions!$B$71),0)+IF(1&gt;=Assumptions!$B$8+Assumptions!$B$64,-PMT(Assumptions!$B$72/12,Assumptions!$B$73,Assumptions!$B$62*Assumptions!$B$71),0)+IF(1&gt;=Assumptions!$B$8+Assumptions!$B$67,-PMT(Assumptions!$B$72/12,Assumptions!$B$73,Assumptions!$B$65*Assumptions!$B$71),0)+IF(1&gt;=Assumptions!$B$8+Assumptions!$B$70,-PMT(Assumptions!$B$72/12,Assumptions!$B$73,Assumptions!$B$68*Assumptions!$B$71),0)</f>
        <v>0</v>
      </c>
      <c r="C45" s="21" t="n">
        <f aca="false">IF(2&gt;=Assumptions!$B$8+Assumptions!$B$58,-PMT(Assumptions!$B$72/12,Assumptions!$B$73,Assumptions!$B$56*Assumptions!$B$71),0)+IF(2&gt;=Assumptions!$B$8+Assumptions!$B$61,-PMT(Assumptions!$B$72/12,Assumptions!$B$73,Assumptions!$B$59*Assumptions!$B$71),0)+IF(2&gt;=Assumptions!$B$8+Assumptions!$B$64,-PMT(Assumptions!$B$72/12,Assumptions!$B$73,Assumptions!$B$62*Assumptions!$B$71),0)+IF(2&gt;=Assumptions!$B$8+Assumptions!$B$67,-PMT(Assumptions!$B$72/12,Assumptions!$B$73,Assumptions!$B$65*Assumptions!$B$71),0)+IF(2&gt;=Assumptions!$B$8+Assumptions!$B$70,-PMT(Assumptions!$B$72/12,Assumptions!$B$73,Assumptions!$B$68*Assumptions!$B$71),0)</f>
        <v>0</v>
      </c>
      <c r="D45" s="21" t="n">
        <f aca="false">IF(3&gt;=Assumptions!$B$8+Assumptions!$B$58,-PMT(Assumptions!$B$72/12,Assumptions!$B$73,Assumptions!$B$56*Assumptions!$B$71),0)+IF(3&gt;=Assumptions!$B$8+Assumptions!$B$61,-PMT(Assumptions!$B$72/12,Assumptions!$B$73,Assumptions!$B$59*Assumptions!$B$71),0)+IF(3&gt;=Assumptions!$B$8+Assumptions!$B$64,-PMT(Assumptions!$B$72/12,Assumptions!$B$73,Assumptions!$B$62*Assumptions!$B$71),0)+IF(3&gt;=Assumptions!$B$8+Assumptions!$B$67,-PMT(Assumptions!$B$72/12,Assumptions!$B$73,Assumptions!$B$65*Assumptions!$B$71),0)+IF(3&gt;=Assumptions!$B$8+Assumptions!$B$70,-PMT(Assumptions!$B$72/12,Assumptions!$B$73,Assumptions!$B$68*Assumptions!$B$71),0)</f>
        <v>0</v>
      </c>
      <c r="E45" s="21" t="n">
        <f aca="false">IF(4&gt;=Assumptions!$B$8+Assumptions!$B$58,-PMT(Assumptions!$B$72/12,Assumptions!$B$73,Assumptions!$B$56*Assumptions!$B$71),0)+IF(4&gt;=Assumptions!$B$8+Assumptions!$B$61,-PMT(Assumptions!$B$72/12,Assumptions!$B$73,Assumptions!$B$59*Assumptions!$B$71),0)+IF(4&gt;=Assumptions!$B$8+Assumptions!$B$64,-PMT(Assumptions!$B$72/12,Assumptions!$B$73,Assumptions!$B$62*Assumptions!$B$71),0)+IF(4&gt;=Assumptions!$B$8+Assumptions!$B$67,-PMT(Assumptions!$B$72/12,Assumptions!$B$73,Assumptions!$B$65*Assumptions!$B$71),0)+IF(4&gt;=Assumptions!$B$8+Assumptions!$B$70,-PMT(Assumptions!$B$72/12,Assumptions!$B$73,Assumptions!$B$68*Assumptions!$B$71),0)</f>
        <v>0</v>
      </c>
      <c r="F45" s="21" t="n">
        <f aca="false">IF(5&gt;=Assumptions!$B$8+Assumptions!$B$58,-PMT(Assumptions!$B$72/12,Assumptions!$B$73,Assumptions!$B$56*Assumptions!$B$71),0)+IF(5&gt;=Assumptions!$B$8+Assumptions!$B$61,-PMT(Assumptions!$B$72/12,Assumptions!$B$73,Assumptions!$B$59*Assumptions!$B$71),0)+IF(5&gt;=Assumptions!$B$8+Assumptions!$B$64,-PMT(Assumptions!$B$72/12,Assumptions!$B$73,Assumptions!$B$62*Assumptions!$B$71),0)+IF(5&gt;=Assumptions!$B$8+Assumptions!$B$67,-PMT(Assumptions!$B$72/12,Assumptions!$B$73,Assumptions!$B$65*Assumptions!$B$71),0)+IF(5&gt;=Assumptions!$B$8+Assumptions!$B$70,-PMT(Assumptions!$B$72/12,Assumptions!$B$73,Assumptions!$B$68*Assumptions!$B$71),0)</f>
        <v>0</v>
      </c>
      <c r="G45" s="21" t="n">
        <f aca="false">IF(6&gt;=Assumptions!$B$8+Assumptions!$B$58,-PMT(Assumptions!$B$72/12,Assumptions!$B$73,Assumptions!$B$56*Assumptions!$B$71),0)+IF(6&gt;=Assumptions!$B$8+Assumptions!$B$61,-PMT(Assumptions!$B$72/12,Assumptions!$B$73,Assumptions!$B$59*Assumptions!$B$71),0)+IF(6&gt;=Assumptions!$B$8+Assumptions!$B$64,-PMT(Assumptions!$B$72/12,Assumptions!$B$73,Assumptions!$B$62*Assumptions!$B$71),0)+IF(6&gt;=Assumptions!$B$8+Assumptions!$B$67,-PMT(Assumptions!$B$72/12,Assumptions!$B$73,Assumptions!$B$65*Assumptions!$B$71),0)+IF(6&gt;=Assumptions!$B$8+Assumptions!$B$70,-PMT(Assumptions!$B$72/12,Assumptions!$B$73,Assumptions!$B$68*Assumptions!$B$71),0)</f>
        <v>0</v>
      </c>
      <c r="H45" s="21" t="n">
        <f aca="false">IF(7&gt;=Assumptions!$B$8+Assumptions!$B$58,-PMT(Assumptions!$B$72/12,Assumptions!$B$73,Assumptions!$B$56*Assumptions!$B$71),0)+IF(7&gt;=Assumptions!$B$8+Assumptions!$B$61,-PMT(Assumptions!$B$72/12,Assumptions!$B$73,Assumptions!$B$59*Assumptions!$B$71),0)+IF(7&gt;=Assumptions!$B$8+Assumptions!$B$64,-PMT(Assumptions!$B$72/12,Assumptions!$B$73,Assumptions!$B$62*Assumptions!$B$71),0)+IF(7&gt;=Assumptions!$B$8+Assumptions!$B$67,-PMT(Assumptions!$B$72/12,Assumptions!$B$73,Assumptions!$B$65*Assumptions!$B$71),0)+IF(7&gt;=Assumptions!$B$8+Assumptions!$B$70,-PMT(Assumptions!$B$72/12,Assumptions!$B$73,Assumptions!$B$68*Assumptions!$B$71),0)</f>
        <v>838.637551144702</v>
      </c>
      <c r="I45" s="21" t="n">
        <f aca="false">IF(8&gt;=Assumptions!$B$8+Assumptions!$B$58,-PMT(Assumptions!$B$72/12,Assumptions!$B$73,Assumptions!$B$56*Assumptions!$B$71),0)+IF(8&gt;=Assumptions!$B$8+Assumptions!$B$61,-PMT(Assumptions!$B$72/12,Assumptions!$B$73,Assumptions!$B$59*Assumptions!$B$71),0)+IF(8&gt;=Assumptions!$B$8+Assumptions!$B$64,-PMT(Assumptions!$B$72/12,Assumptions!$B$73,Assumptions!$B$62*Assumptions!$B$71),0)+IF(8&gt;=Assumptions!$B$8+Assumptions!$B$67,-PMT(Assumptions!$B$72/12,Assumptions!$B$73,Assumptions!$B$65*Assumptions!$B$71),0)+IF(8&gt;=Assumptions!$B$8+Assumptions!$B$70,-PMT(Assumptions!$B$72/12,Assumptions!$B$73,Assumptions!$B$68*Assumptions!$B$71),0)</f>
        <v>838.637551144702</v>
      </c>
      <c r="J45" s="21" t="n">
        <f aca="false">IF(9&gt;=Assumptions!$B$8+Assumptions!$B$58,-PMT(Assumptions!$B$72/12,Assumptions!$B$73,Assumptions!$B$56*Assumptions!$B$71),0)+IF(9&gt;=Assumptions!$B$8+Assumptions!$B$61,-PMT(Assumptions!$B$72/12,Assumptions!$B$73,Assumptions!$B$59*Assumptions!$B$71),0)+IF(9&gt;=Assumptions!$B$8+Assumptions!$B$64,-PMT(Assumptions!$B$72/12,Assumptions!$B$73,Assumptions!$B$62*Assumptions!$B$71),0)+IF(9&gt;=Assumptions!$B$8+Assumptions!$B$67,-PMT(Assumptions!$B$72/12,Assumptions!$B$73,Assumptions!$B$65*Assumptions!$B$71),0)+IF(9&gt;=Assumptions!$B$8+Assumptions!$B$70,-PMT(Assumptions!$B$72/12,Assumptions!$B$73,Assumptions!$B$68*Assumptions!$B$71),0)</f>
        <v>838.637551144702</v>
      </c>
      <c r="K45" s="21" t="n">
        <f aca="false">IF(10&gt;=Assumptions!$B$8+Assumptions!$B$58,-PMT(Assumptions!$B$72/12,Assumptions!$B$73,Assumptions!$B$56*Assumptions!$B$71),0)+IF(10&gt;=Assumptions!$B$8+Assumptions!$B$61,-PMT(Assumptions!$B$72/12,Assumptions!$B$73,Assumptions!$B$59*Assumptions!$B$71),0)+IF(10&gt;=Assumptions!$B$8+Assumptions!$B$64,-PMT(Assumptions!$B$72/12,Assumptions!$B$73,Assumptions!$B$62*Assumptions!$B$71),0)+IF(10&gt;=Assumptions!$B$8+Assumptions!$B$67,-PMT(Assumptions!$B$72/12,Assumptions!$B$73,Assumptions!$B$65*Assumptions!$B$71),0)+IF(10&gt;=Assumptions!$B$8+Assumptions!$B$70,-PMT(Assumptions!$B$72/12,Assumptions!$B$73,Assumptions!$B$68*Assumptions!$B$71),0)</f>
        <v>2300.02575908002</v>
      </c>
      <c r="L45" s="21" t="n">
        <f aca="false">IF(11&gt;=Assumptions!$B$8+Assumptions!$B$58,-PMT(Assumptions!$B$72/12,Assumptions!$B$73,Assumptions!$B$56*Assumptions!$B$71),0)+IF(11&gt;=Assumptions!$B$8+Assumptions!$B$61,-PMT(Assumptions!$B$72/12,Assumptions!$B$73,Assumptions!$B$59*Assumptions!$B$71),0)+IF(11&gt;=Assumptions!$B$8+Assumptions!$B$64,-PMT(Assumptions!$B$72/12,Assumptions!$B$73,Assumptions!$B$62*Assumptions!$B$71),0)+IF(11&gt;=Assumptions!$B$8+Assumptions!$B$67,-PMT(Assumptions!$B$72/12,Assumptions!$B$73,Assumptions!$B$65*Assumptions!$B$71),0)+IF(11&gt;=Assumptions!$B$8+Assumptions!$B$70,-PMT(Assumptions!$B$72/12,Assumptions!$B$73,Assumptions!$B$68*Assumptions!$B$71),0)</f>
        <v>2300.02575908002</v>
      </c>
      <c r="M45" s="21" t="n">
        <f aca="false">IF(12&gt;=Assumptions!$B$8+Assumptions!$B$58,-PMT(Assumptions!$B$72/12,Assumptions!$B$73,Assumptions!$B$56*Assumptions!$B$71),0)+IF(12&gt;=Assumptions!$B$8+Assumptions!$B$61,-PMT(Assumptions!$B$72/12,Assumptions!$B$73,Assumptions!$B$59*Assumptions!$B$71),0)+IF(12&gt;=Assumptions!$B$8+Assumptions!$B$64,-PMT(Assumptions!$B$72/12,Assumptions!$B$73,Assumptions!$B$62*Assumptions!$B$71),0)+IF(12&gt;=Assumptions!$B$8+Assumptions!$B$67,-PMT(Assumptions!$B$72/12,Assumptions!$B$73,Assumptions!$B$65*Assumptions!$B$71),0)+IF(12&gt;=Assumptions!$B$8+Assumptions!$B$70,-PMT(Assumptions!$B$72/12,Assumptions!$B$73,Assumptions!$B$68*Assumptions!$B$71),0)</f>
        <v>2300.02575908002</v>
      </c>
      <c r="N45" s="21" t="n">
        <f aca="false">IF(13&gt;=Assumptions!$B$8+Assumptions!$B$58,-PMT(Assumptions!$B$72/12,Assumptions!$B$73,Assumptions!$B$56*Assumptions!$B$71),0)+IF(13&gt;=Assumptions!$B$8+Assumptions!$B$61,-PMT(Assumptions!$B$72/12,Assumptions!$B$73,Assumptions!$B$59*Assumptions!$B$71),0)+IF(13&gt;=Assumptions!$B$8+Assumptions!$B$64,-PMT(Assumptions!$B$72/12,Assumptions!$B$73,Assumptions!$B$62*Assumptions!$B$71),0)+IF(13&gt;=Assumptions!$B$8+Assumptions!$B$67,-PMT(Assumptions!$B$72/12,Assumptions!$B$73,Assumptions!$B$65*Assumptions!$B$71),0)+IF(13&gt;=Assumptions!$B$8+Assumptions!$B$70,-PMT(Assumptions!$B$72/12,Assumptions!$B$73,Assumptions!$B$68*Assumptions!$B$71),0)</f>
        <v>2300.02575908002</v>
      </c>
      <c r="O45" s="21" t="n">
        <f aca="false">IF(14&gt;=Assumptions!$B$8+Assumptions!$B$58,-PMT(Assumptions!$B$72/12,Assumptions!$B$73,Assumptions!$B$56*Assumptions!$B$71),0)+IF(14&gt;=Assumptions!$B$8+Assumptions!$B$61,-PMT(Assumptions!$B$72/12,Assumptions!$B$73,Assumptions!$B$59*Assumptions!$B$71),0)+IF(14&gt;=Assumptions!$B$8+Assumptions!$B$64,-PMT(Assumptions!$B$72/12,Assumptions!$B$73,Assumptions!$B$62*Assumptions!$B$71),0)+IF(14&gt;=Assumptions!$B$8+Assumptions!$B$67,-PMT(Assumptions!$B$72/12,Assumptions!$B$73,Assumptions!$B$65*Assumptions!$B$71),0)+IF(14&gt;=Assumptions!$B$8+Assumptions!$B$70,-PMT(Assumptions!$B$72/12,Assumptions!$B$73,Assumptions!$B$68*Assumptions!$B$71),0)</f>
        <v>2300.02575908002</v>
      </c>
      <c r="P45" s="21" t="n">
        <f aca="false">IF(15&gt;=Assumptions!$B$8+Assumptions!$B$58,-PMT(Assumptions!$B$72/12,Assumptions!$B$73,Assumptions!$B$56*Assumptions!$B$71),0)+IF(15&gt;=Assumptions!$B$8+Assumptions!$B$61,-PMT(Assumptions!$B$72/12,Assumptions!$B$73,Assumptions!$B$59*Assumptions!$B$71),0)+IF(15&gt;=Assumptions!$B$8+Assumptions!$B$64,-PMT(Assumptions!$B$72/12,Assumptions!$B$73,Assumptions!$B$62*Assumptions!$B$71),0)+IF(15&gt;=Assumptions!$B$8+Assumptions!$B$67,-PMT(Assumptions!$B$72/12,Assumptions!$B$73,Assumptions!$B$65*Assumptions!$B$71),0)+IF(15&gt;=Assumptions!$B$8+Assumptions!$B$70,-PMT(Assumptions!$B$72/12,Assumptions!$B$73,Assumptions!$B$68*Assumptions!$B$71),0)</f>
        <v>2300.02575908002</v>
      </c>
      <c r="Q45" s="21" t="n">
        <f aca="false">IF(16&gt;=Assumptions!$B$8+Assumptions!$B$58,-PMT(Assumptions!$B$72/12,Assumptions!$B$73,Assumptions!$B$56*Assumptions!$B$71),0)+IF(16&gt;=Assumptions!$B$8+Assumptions!$B$61,-PMT(Assumptions!$B$72/12,Assumptions!$B$73,Assumptions!$B$59*Assumptions!$B$71),0)+IF(16&gt;=Assumptions!$B$8+Assumptions!$B$64,-PMT(Assumptions!$B$72/12,Assumptions!$B$73,Assumptions!$B$62*Assumptions!$B$71),0)+IF(16&gt;=Assumptions!$B$8+Assumptions!$B$67,-PMT(Assumptions!$B$72/12,Assumptions!$B$73,Assumptions!$B$65*Assumptions!$B$71),0)+IF(16&gt;=Assumptions!$B$8+Assumptions!$B$70,-PMT(Assumptions!$B$72/12,Assumptions!$B$73,Assumptions!$B$68*Assumptions!$B$71),0)</f>
        <v>2300.02575908002</v>
      </c>
      <c r="R45" s="21" t="n">
        <f aca="false">IF(17&gt;=Assumptions!$B$8+Assumptions!$B$58,-PMT(Assumptions!$B$72/12,Assumptions!$B$73,Assumptions!$B$56*Assumptions!$B$71),0)+IF(17&gt;=Assumptions!$B$8+Assumptions!$B$61,-PMT(Assumptions!$B$72/12,Assumptions!$B$73,Assumptions!$B$59*Assumptions!$B$71),0)+IF(17&gt;=Assumptions!$B$8+Assumptions!$B$64,-PMT(Assumptions!$B$72/12,Assumptions!$B$73,Assumptions!$B$62*Assumptions!$B$71),0)+IF(17&gt;=Assumptions!$B$8+Assumptions!$B$67,-PMT(Assumptions!$B$72/12,Assumptions!$B$73,Assumptions!$B$65*Assumptions!$B$71),0)+IF(17&gt;=Assumptions!$B$8+Assumptions!$B$70,-PMT(Assumptions!$B$72/12,Assumptions!$B$73,Assumptions!$B$68*Assumptions!$B$71),0)</f>
        <v>2300.02575908002</v>
      </c>
      <c r="S45" s="21" t="n">
        <f aca="false">IF(18&gt;=Assumptions!$B$8+Assumptions!$B$58,-PMT(Assumptions!$B$72/12,Assumptions!$B$73,Assumptions!$B$56*Assumptions!$B$71),0)+IF(18&gt;=Assumptions!$B$8+Assumptions!$B$61,-PMT(Assumptions!$B$72/12,Assumptions!$B$73,Assumptions!$B$59*Assumptions!$B$71),0)+IF(18&gt;=Assumptions!$B$8+Assumptions!$B$64,-PMT(Assumptions!$B$72/12,Assumptions!$B$73,Assumptions!$B$62*Assumptions!$B$71),0)+IF(18&gt;=Assumptions!$B$8+Assumptions!$B$67,-PMT(Assumptions!$B$72/12,Assumptions!$B$73,Assumptions!$B$65*Assumptions!$B$71),0)+IF(18&gt;=Assumptions!$B$8+Assumptions!$B$70,-PMT(Assumptions!$B$72/12,Assumptions!$B$73,Assumptions!$B$68*Assumptions!$B$71),0)</f>
        <v>2300.02575908002</v>
      </c>
      <c r="T45" s="21" t="n">
        <f aca="false">IF(19&gt;=Assumptions!$B$8+Assumptions!$B$58,-PMT(Assumptions!$B$72/12,Assumptions!$B$73,Assumptions!$B$56*Assumptions!$B$71),0)+IF(19&gt;=Assumptions!$B$8+Assumptions!$B$61,-PMT(Assumptions!$B$72/12,Assumptions!$B$73,Assumptions!$B$59*Assumptions!$B$71),0)+IF(19&gt;=Assumptions!$B$8+Assumptions!$B$64,-PMT(Assumptions!$B$72/12,Assumptions!$B$73,Assumptions!$B$62*Assumptions!$B$71),0)+IF(19&gt;=Assumptions!$B$8+Assumptions!$B$67,-PMT(Assumptions!$B$72/12,Assumptions!$B$73,Assumptions!$B$65*Assumptions!$B$71),0)+IF(19&gt;=Assumptions!$B$8+Assumptions!$B$70,-PMT(Assumptions!$B$72/12,Assumptions!$B$73,Assumptions!$B$68*Assumptions!$B$71),0)</f>
        <v>2300.02575908002</v>
      </c>
      <c r="U45" s="21" t="n">
        <f aca="false">IF(20&gt;=Assumptions!$B$8+Assumptions!$B$58,-PMT(Assumptions!$B$72/12,Assumptions!$B$73,Assumptions!$B$56*Assumptions!$B$71),0)+IF(20&gt;=Assumptions!$B$8+Assumptions!$B$61,-PMT(Assumptions!$B$72/12,Assumptions!$B$73,Assumptions!$B$59*Assumptions!$B$71),0)+IF(20&gt;=Assumptions!$B$8+Assumptions!$B$64,-PMT(Assumptions!$B$72/12,Assumptions!$B$73,Assumptions!$B$62*Assumptions!$B$71),0)+IF(20&gt;=Assumptions!$B$8+Assumptions!$B$67,-PMT(Assumptions!$B$72/12,Assumptions!$B$73,Assumptions!$B$65*Assumptions!$B$71),0)+IF(20&gt;=Assumptions!$B$8+Assumptions!$B$70,-PMT(Assumptions!$B$72/12,Assumptions!$B$73,Assumptions!$B$68*Assumptions!$B$71),0)</f>
        <v>2300.02575908002</v>
      </c>
      <c r="V45" s="21" t="n">
        <f aca="false">IF(21&gt;=Assumptions!$B$8+Assumptions!$B$58,-PMT(Assumptions!$B$72/12,Assumptions!$B$73,Assumptions!$B$56*Assumptions!$B$71),0)+IF(21&gt;=Assumptions!$B$8+Assumptions!$B$61,-PMT(Assumptions!$B$72/12,Assumptions!$B$73,Assumptions!$B$59*Assumptions!$B$71),0)+IF(21&gt;=Assumptions!$B$8+Assumptions!$B$64,-PMT(Assumptions!$B$72/12,Assumptions!$B$73,Assumptions!$B$62*Assumptions!$B$71),0)+IF(21&gt;=Assumptions!$B$8+Assumptions!$B$67,-PMT(Assumptions!$B$72/12,Assumptions!$B$73,Assumptions!$B$65*Assumptions!$B$71),0)+IF(21&gt;=Assumptions!$B$8+Assumptions!$B$70,-PMT(Assumptions!$B$72/12,Assumptions!$B$73,Assumptions!$B$68*Assumptions!$B$71),0)</f>
        <v>2300.02575908002</v>
      </c>
      <c r="W45" s="21" t="n">
        <f aca="false">IF(22&gt;=Assumptions!$B$8+Assumptions!$B$58,-PMT(Assumptions!$B$72/12,Assumptions!$B$73,Assumptions!$B$56*Assumptions!$B$71),0)+IF(22&gt;=Assumptions!$B$8+Assumptions!$B$61,-PMT(Assumptions!$B$72/12,Assumptions!$B$73,Assumptions!$B$59*Assumptions!$B$71),0)+IF(22&gt;=Assumptions!$B$8+Assumptions!$B$64,-PMT(Assumptions!$B$72/12,Assumptions!$B$73,Assumptions!$B$62*Assumptions!$B$71),0)+IF(22&gt;=Assumptions!$B$8+Assumptions!$B$67,-PMT(Assumptions!$B$72/12,Assumptions!$B$73,Assumptions!$B$65*Assumptions!$B$71),0)+IF(22&gt;=Assumptions!$B$8+Assumptions!$B$70,-PMT(Assumptions!$B$72/12,Assumptions!$B$73,Assumptions!$B$68*Assumptions!$B$71),0)</f>
        <v>2300.02575908002</v>
      </c>
      <c r="X45" s="21" t="n">
        <f aca="false">IF(23&gt;=Assumptions!$B$8+Assumptions!$B$58,-PMT(Assumptions!$B$72/12,Assumptions!$B$73,Assumptions!$B$56*Assumptions!$B$71),0)+IF(23&gt;=Assumptions!$B$8+Assumptions!$B$61,-PMT(Assumptions!$B$72/12,Assumptions!$B$73,Assumptions!$B$59*Assumptions!$B$71),0)+IF(23&gt;=Assumptions!$B$8+Assumptions!$B$64,-PMT(Assumptions!$B$72/12,Assumptions!$B$73,Assumptions!$B$62*Assumptions!$B$71),0)+IF(23&gt;=Assumptions!$B$8+Assumptions!$B$67,-PMT(Assumptions!$B$72/12,Assumptions!$B$73,Assumptions!$B$65*Assumptions!$B$71),0)+IF(23&gt;=Assumptions!$B$8+Assumptions!$B$70,-PMT(Assumptions!$B$72/12,Assumptions!$B$73,Assumptions!$B$68*Assumptions!$B$71),0)</f>
        <v>2300.02575908002</v>
      </c>
      <c r="Y45" s="21" t="n">
        <f aca="false">IF(24&gt;=Assumptions!$B$8+Assumptions!$B$58,-PMT(Assumptions!$B$72/12,Assumptions!$B$73,Assumptions!$B$56*Assumptions!$B$71),0)+IF(24&gt;=Assumptions!$B$8+Assumptions!$B$61,-PMT(Assumptions!$B$72/12,Assumptions!$B$73,Assumptions!$B$59*Assumptions!$B$71),0)+IF(24&gt;=Assumptions!$B$8+Assumptions!$B$64,-PMT(Assumptions!$B$72/12,Assumptions!$B$73,Assumptions!$B$62*Assumptions!$B$71),0)+IF(24&gt;=Assumptions!$B$8+Assumptions!$B$67,-PMT(Assumptions!$B$72/12,Assumptions!$B$73,Assumptions!$B$65*Assumptions!$B$71),0)+IF(24&gt;=Assumptions!$B$8+Assumptions!$B$70,-PMT(Assumptions!$B$72/12,Assumptions!$B$73,Assumptions!$B$68*Assumptions!$B$71),0)</f>
        <v>2300.02575908002</v>
      </c>
      <c r="Z45" s="21" t="n">
        <f aca="false">SUM(B45:M45)</f>
        <v>9415.98993067418</v>
      </c>
      <c r="AA45" s="21" t="n">
        <f aca="false">SUM(N45:Y45)</f>
        <v>27600.3091089603</v>
      </c>
      <c r="AB45" s="21" t="n">
        <f aca="false">SUM(B45:Y45)</f>
        <v>37016.2990396345</v>
      </c>
    </row>
    <row r="46" customFormat="false" ht="15" hidden="false" customHeight="false" outlineLevel="0" collapsed="false">
      <c r="A46" s="15" t="s">
        <v>174</v>
      </c>
      <c r="B46" s="22" t="n">
        <f aca="false">SUM(B34:B45)</f>
        <v>11100</v>
      </c>
      <c r="C46" s="22" t="n">
        <f aca="false">SUM(C34:C45)</f>
        <v>11700</v>
      </c>
      <c r="D46" s="22" t="n">
        <f aca="false">SUM(D34:D45)</f>
        <v>11700</v>
      </c>
      <c r="E46" s="22" t="n">
        <f aca="false">SUM(E34:E45)</f>
        <v>11700</v>
      </c>
      <c r="F46" s="22" t="n">
        <f aca="false">SUM(F34:F45)</f>
        <v>11700</v>
      </c>
      <c r="G46" s="22" t="n">
        <f aca="false">SUM(G34:G45)</f>
        <v>11700</v>
      </c>
      <c r="H46" s="22" t="n">
        <f aca="false">SUM(H34:H45)</f>
        <v>21638.6375511447</v>
      </c>
      <c r="I46" s="22" t="n">
        <f aca="false">SUM(I34:I45)</f>
        <v>17138.6375511447</v>
      </c>
      <c r="J46" s="22" t="n">
        <f aca="false">SUM(J34:J45)</f>
        <v>17138.6375511447</v>
      </c>
      <c r="K46" s="22" t="n">
        <f aca="false">SUM(K34:K45)</f>
        <v>14900.02575908</v>
      </c>
      <c r="L46" s="22" t="n">
        <f aca="false">SUM(L34:L45)</f>
        <v>14900.02575908</v>
      </c>
      <c r="M46" s="22" t="n">
        <f aca="false">SUM(M34:M45)</f>
        <v>14900.02575908</v>
      </c>
      <c r="N46" s="22" t="n">
        <f aca="false">SUM(N34:N45)</f>
        <v>14900.02575908</v>
      </c>
      <c r="O46" s="22" t="n">
        <f aca="false">SUM(O34:O45)</f>
        <v>14900.02575908</v>
      </c>
      <c r="P46" s="22" t="n">
        <f aca="false">SUM(P34:P45)</f>
        <v>14900.02575908</v>
      </c>
      <c r="Q46" s="22" t="n">
        <f aca="false">SUM(Q34:Q45)</f>
        <v>14900.02575908</v>
      </c>
      <c r="R46" s="22" t="n">
        <f aca="false">SUM(R34:R45)</f>
        <v>14900.02575908</v>
      </c>
      <c r="S46" s="22" t="n">
        <f aca="false">SUM(S34:S45)</f>
        <v>14900.02575908</v>
      </c>
      <c r="T46" s="22" t="n">
        <f aca="false">SUM(T34:T45)</f>
        <v>14900.02575908</v>
      </c>
      <c r="U46" s="22" t="n">
        <f aca="false">SUM(U34:U45)</f>
        <v>14900.02575908</v>
      </c>
      <c r="V46" s="22" t="n">
        <f aca="false">SUM(V34:V45)</f>
        <v>14900.02575908</v>
      </c>
      <c r="W46" s="22" t="n">
        <f aca="false">SUM(W34:W45)</f>
        <v>14900.02575908</v>
      </c>
      <c r="X46" s="22" t="n">
        <f aca="false">SUM(X34:X45)</f>
        <v>14900.02575908</v>
      </c>
      <c r="Y46" s="22" t="n">
        <f aca="false">SUM(Y34:Y45)</f>
        <v>14900.02575908</v>
      </c>
      <c r="Z46" s="23" t="n">
        <f aca="false">SUM(B46:M46)</f>
        <v>170215.989930674</v>
      </c>
      <c r="AA46" s="23" t="n">
        <f aca="false">SUM(N46:Y46)</f>
        <v>178800.30910896</v>
      </c>
      <c r="AB46" s="23" t="n">
        <f aca="false">SUM(B46:Y46)</f>
        <v>349016.299039634</v>
      </c>
    </row>
    <row r="47" customFormat="false" ht="15" hidden="false" customHeight="false" outlineLevel="0" collapsed="false">
      <c r="A47" s="15" t="s">
        <v>175</v>
      </c>
      <c r="B47" s="23" t="n">
        <f aca="false">B31-B46</f>
        <v>2004</v>
      </c>
      <c r="C47" s="23" t="n">
        <f aca="false">C31-C46</f>
        <v>2412</v>
      </c>
      <c r="D47" s="23" t="n">
        <f aca="false">D31-D46</f>
        <v>3492.71875</v>
      </c>
      <c r="E47" s="23" t="n">
        <f aca="false">E31-E46</f>
        <v>4575.93604166666</v>
      </c>
      <c r="F47" s="23" t="n">
        <f aca="false">F31-F46</f>
        <v>5661.63521805556</v>
      </c>
      <c r="G47" s="23" t="n">
        <f aca="false">G31-G46</f>
        <v>6749.79973326852</v>
      </c>
      <c r="H47" s="23" t="n">
        <f aca="false">H31-H46</f>
        <v>7000.62560056869</v>
      </c>
      <c r="I47" s="23" t="n">
        <f aca="false">I31-I46</f>
        <v>14305.3148184462</v>
      </c>
      <c r="J47" s="23" t="n">
        <f aca="false">J31-J46</f>
        <v>17117.18166376</v>
      </c>
      <c r="K47" s="23" t="n">
        <f aca="false">K31-K46</f>
        <v>22174.7900777253</v>
      </c>
      <c r="L47" s="23" t="n">
        <f aca="false">L31-L46</f>
        <v>22304.9133888133</v>
      </c>
      <c r="M47" s="23" t="n">
        <f aca="false">M31-M46</f>
        <v>22434.1692111606</v>
      </c>
      <c r="N47" s="23" t="n">
        <f aca="false">N31-N46</f>
        <v>22562.5633280257</v>
      </c>
      <c r="O47" s="23" t="n">
        <f aca="false">O31-O46</f>
        <v>22690.1014841117</v>
      </c>
      <c r="P47" s="23" t="n">
        <f aca="false">P31-P46</f>
        <v>22788.8206358237</v>
      </c>
      <c r="Q47" s="23" t="n">
        <f aca="false">Q31-Q46</f>
        <v>22886.8816598577</v>
      </c>
      <c r="R47" s="23" t="n">
        <f aca="false">R31-R46</f>
        <v>22984.2889437315</v>
      </c>
      <c r="S47" s="23" t="n">
        <f aca="false">S31-S46</f>
        <v>23081.0468457127</v>
      </c>
      <c r="T47" s="23" t="n">
        <f aca="false">T31-T46</f>
        <v>23177.1596950141</v>
      </c>
      <c r="U47" s="23" t="n">
        <f aca="false">U31-U46</f>
        <v>23272.6317919868</v>
      </c>
      <c r="V47" s="23" t="n">
        <f aca="false">V31-V46</f>
        <v>23367.467408313</v>
      </c>
      <c r="W47" s="23" t="n">
        <f aca="false">W31-W46</f>
        <v>23461.6707871971</v>
      </c>
      <c r="X47" s="23" t="n">
        <f aca="false">X31-X46</f>
        <v>23555.2461435552</v>
      </c>
      <c r="Y47" s="23" t="n">
        <f aca="false">Y31-Y46</f>
        <v>23648.1976642043</v>
      </c>
      <c r="Z47" s="23" t="n">
        <f aca="false">SUM(B47:M47)</f>
        <v>130233.084503465</v>
      </c>
      <c r="AA47" s="23" t="n">
        <f aca="false">SUM(N47:Y47)</f>
        <v>277476.076387534</v>
      </c>
      <c r="AB47" s="23" t="n">
        <f aca="false">SUM(B47:Y47)</f>
        <v>407709.160890998</v>
      </c>
    </row>
    <row r="48" customFormat="false" ht="15" hidden="false" customHeight="false" outlineLevel="0" collapsed="false">
      <c r="A48" s="17" t="s">
        <v>176</v>
      </c>
      <c r="B48" s="20" t="n">
        <f aca="false">IF(B25=0,0,B47/B25)</f>
        <v>0.0734065934065934</v>
      </c>
      <c r="C48" s="20" t="n">
        <f aca="false">IF(C25=0,0,C47/C25)</f>
        <v>0.0820408163265306</v>
      </c>
      <c r="D48" s="20" t="n">
        <f aca="false">IF(D25=0,0,D47/D25)</f>
        <v>0.110525030235247</v>
      </c>
      <c r="E48" s="20" t="n">
        <f aca="false">IF(E25=0,0,E47/E25)</f>
        <v>0.135359543305032</v>
      </c>
      <c r="F48" s="20" t="n">
        <f aca="false">IF(F25=0,0,F47/F25)</f>
        <v>0.15720706584</v>
      </c>
      <c r="G48" s="20" t="n">
        <f aca="false">IF(G25=0,0,G47/G25)</f>
        <v>0.17657898063397</v>
      </c>
      <c r="H48" s="20" t="n">
        <f aca="false">IF(H25=0,0,H47/H25)</f>
        <v>0.117899998177618</v>
      </c>
      <c r="I48" s="20" t="n">
        <f aca="false">IF(I25=0,0,I47/I25)</f>
        <v>0.219608835647998</v>
      </c>
      <c r="J48" s="20" t="n">
        <f aca="false">IF(J25=0,0,J47/J25)</f>
        <v>0.241385279079284</v>
      </c>
      <c r="K48" s="20" t="n">
        <f aca="false">IF(K25=0,0,K47/K25)</f>
        <v>0.289131390429114</v>
      </c>
      <c r="L48" s="20" t="n">
        <f aca="false">IF(L25=0,0,L47/L25)</f>
        <v>0.2901432571142</v>
      </c>
      <c r="M48" s="20" t="n">
        <f aca="false">IF(M25=0,0,M47/M25)</f>
        <v>0.291143671532678</v>
      </c>
      <c r="N48" s="20" t="n">
        <f aca="false">IF(N25=0,0,N47/N25)</f>
        <v>0.29213280501119</v>
      </c>
      <c r="O48" s="20" t="n">
        <f aca="false">IF(O25=0,0,O47/O25)</f>
        <v>0.293110825533302</v>
      </c>
      <c r="P48" s="20" t="n">
        <f aca="false">IF(P25=0,0,P47/P25)</f>
        <v>0.29386477639405</v>
      </c>
      <c r="Q48" s="20" t="n">
        <f aca="false">IF(Q25=0,0,Q47/Q25)</f>
        <v>0.294611061984109</v>
      </c>
      <c r="R48" s="20" t="n">
        <f aca="false">IF(R25=0,0,R47/R25)</f>
        <v>0.295349782166614</v>
      </c>
      <c r="S48" s="20" t="n">
        <f aca="false">IF(S25=0,0,S47/S25)</f>
        <v>0.2960810351253</v>
      </c>
      <c r="T48" s="20" t="n">
        <f aca="false">IF(T25=0,0,T47/T25)</f>
        <v>0.296804917399697</v>
      </c>
      <c r="U48" s="20" t="n">
        <f aca="false">IF(U25=0,0,U47/U25)</f>
        <v>0.297521523919436</v>
      </c>
      <c r="V48" s="20" t="n">
        <f aca="false">IF(V25=0,0,V47/V25)</f>
        <v>0.298230948037712</v>
      </c>
      <c r="W48" s="20" t="n">
        <f aca="false">IF(W25=0,0,W47/W25)</f>
        <v>0.298933281563894</v>
      </c>
      <c r="X48" s="20" t="n">
        <f aca="false">IF(X25=0,0,X47/X25)</f>
        <v>0.299628614795349</v>
      </c>
      <c r="Y48" s="20" t="n">
        <f aca="false">IF(Y25=0,0,Y47/Y25)</f>
        <v>0.300317036548465</v>
      </c>
      <c r="Z48" s="2"/>
      <c r="AA48" s="2"/>
      <c r="AB48" s="2"/>
    </row>
    <row r="49" customFormat="false" ht="15" hidden="false" customHeight="false" outlineLevel="0" collapsed="false">
      <c r="A49" s="4" t="s">
        <v>177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 customFormat="false" ht="15" hidden="false" customHeight="false" outlineLevel="0" collapsed="false">
      <c r="A50" s="17" t="s">
        <v>178</v>
      </c>
      <c r="B50" s="21" t="n">
        <f aca="false">B21*Assumptions!$B$29+B21*(1-Assumptions!$B$29)*Assumptions!$B$30+0+B24</f>
        <v>25389</v>
      </c>
      <c r="C50" s="21" t="n">
        <f aca="false">C21*Assumptions!$B$29+C21*(1-Assumptions!$B$29)*Assumptions!$B$30+B21*(1-Assumptions!$B$29)*(1-Assumptions!$B$30)+C24</f>
        <v>29253</v>
      </c>
      <c r="D50" s="21" t="n">
        <f aca="false">D21*Assumptions!$B$29+D21*(1-Assumptions!$B$29)*Assumptions!$B$30+C21*(1-Assumptions!$B$29)*(1-Assumptions!$B$30)+D24</f>
        <v>31454.15625</v>
      </c>
      <c r="E50" s="21" t="n">
        <f aca="false">E21*Assumptions!$B$29+E21*(1-Assumptions!$B$29)*Assumptions!$B$30+D21*(1-Assumptions!$B$29)*(1-Assumptions!$B$30)+E24</f>
        <v>33658.788125</v>
      </c>
      <c r="F50" s="21" t="n">
        <f aca="false">F21*Assumptions!$B$29+F21*(1-Assumptions!$B$29)*Assumptions!$B$30+E21*(1-Assumptions!$B$29)*(1-Assumptions!$B$30)+F24</f>
        <v>35866.8724541667</v>
      </c>
      <c r="G50" s="21" t="n">
        <f aca="false">G21*Assumptions!$B$29+G21*(1-Assumptions!$B$29)*Assumptions!$B$30+F21*(1-Assumptions!$B$29)*(1-Assumptions!$B$30)+G24</f>
        <v>38078.3862211389</v>
      </c>
      <c r="H50" s="21" t="n">
        <f aca="false">H21*Assumptions!$B$29+H21*(1-Assumptions!$B$29)*Assumptions!$B$30+G21*(1-Assumptions!$B$29)*(1-Assumptions!$B$30)+H24</f>
        <v>57907.656562998</v>
      </c>
      <c r="I50" s="21" t="n">
        <f aca="false">I21*Assumptions!$B$29+I21*(1-Assumptions!$B$29)*Assumptions!$B$30+H21*(1-Assumptions!$B$29)*(1-Assumptions!$B$30)+I24</f>
        <v>64747.9784359113</v>
      </c>
      <c r="J50" s="21" t="n">
        <f aca="false">J21*Assumptions!$B$29+J21*(1-Assumptions!$B$29)*Assumptions!$B$30+I21*(1-Assumptions!$B$29)*(1-Assumptions!$B$30)+J24</f>
        <v>70520.2848296719</v>
      </c>
      <c r="K50" s="21" t="n">
        <f aca="false">K21*Assumptions!$B$29+K21*(1-Assumptions!$B$29)*Assumptions!$B$30+J21*(1-Assumptions!$B$29)*(1-Assumptions!$B$30)+K24</f>
        <v>76302.5091808074</v>
      </c>
      <c r="L50" s="21" t="n">
        <f aca="false">L21*Assumptions!$B$29+L21*(1-Assumptions!$B$29)*Assumptions!$B$30+K21*(1-Assumptions!$B$29)*(1-Assumptions!$B$30)+L24</f>
        <v>76875.5187029354</v>
      </c>
      <c r="M50" s="21" t="n">
        <f aca="false">M21*Assumptions!$B$29+M21*(1-Assumptions!$B$29)*Assumptions!$B$30+L21*(1-Assumptions!$B$29)*(1-Assumptions!$B$30)+M24</f>
        <v>77055.3214949158</v>
      </c>
      <c r="N50" s="21" t="n">
        <f aca="false">N21*Assumptions!$B$29+N21*(1-Assumptions!$B$29)*Assumptions!$B$30+M21*(1-Assumptions!$B$29)*(1-Assumptions!$B$30)+N24</f>
        <v>77233.9256016164</v>
      </c>
      <c r="O50" s="21" t="n">
        <f aca="false">O21*Assumptions!$B$29+O21*(1-Assumptions!$B$29)*Assumptions!$B$30+N21*(1-Assumptions!$B$29)*(1-Assumptions!$B$30)+O24</f>
        <v>77411.3390142723</v>
      </c>
      <c r="P50" s="21" t="n">
        <f aca="false">P21*Assumptions!$B$29+P21*(1-Assumptions!$B$29)*Assumptions!$B$30+O21*(1-Assumptions!$B$29)*(1-Assumptions!$B$30)+P24</f>
        <v>77548.6634208438</v>
      </c>
      <c r="Q50" s="21" t="n">
        <f aca="false">Q21*Assumptions!$B$29+Q21*(1-Assumptions!$B$29)*Assumptions!$B$30+P21*(1-Assumptions!$B$29)*(1-Assumptions!$B$30)+Q24</f>
        <v>77685.0723313715</v>
      </c>
      <c r="R50" s="21" t="n">
        <f aca="false">R21*Assumptions!$B$29+R21*(1-Assumptions!$B$29)*Assumptions!$B$30+Q21*(1-Assumptions!$B$29)*(1-Assumptions!$B$30)+R24</f>
        <v>77820.5718491623</v>
      </c>
      <c r="S50" s="21" t="n">
        <f aca="false">S21*Assumptions!$B$29+S21*(1-Assumptions!$B$29)*Assumptions!$B$30+R21*(1-Assumptions!$B$29)*(1-Assumptions!$B$30)+S24</f>
        <v>77955.1680368346</v>
      </c>
      <c r="T50" s="21" t="n">
        <f aca="false">T21*Assumptions!$B$29+T21*(1-Assumptions!$B$29)*Assumptions!$B$30+S21*(1-Assumptions!$B$29)*(1-Assumptions!$B$30)+T24</f>
        <v>78088.866916589</v>
      </c>
      <c r="U50" s="21" t="n">
        <f aca="false">U21*Assumptions!$B$29+U21*(1-Assumptions!$B$29)*Assumptions!$B$30+T21*(1-Assumptions!$B$29)*(1-Assumptions!$B$30)+U24</f>
        <v>78221.6744704784</v>
      </c>
      <c r="V50" s="21" t="n">
        <f aca="false">V21*Assumptions!$B$29+V21*(1-Assumptions!$B$29)*Assumptions!$B$30+U21*(1-Assumptions!$B$29)*(1-Assumptions!$B$30)+V24</f>
        <v>78353.5966406752</v>
      </c>
      <c r="W50" s="21" t="n">
        <f aca="false">W21*Assumptions!$B$29+W21*(1-Assumptions!$B$29)*Assumptions!$B$30+V21*(1-Assumptions!$B$29)*(1-Assumptions!$B$30)+W24</f>
        <v>78484.6393297374</v>
      </c>
      <c r="X50" s="21" t="n">
        <f aca="false">X21*Assumptions!$B$29+X21*(1-Assumptions!$B$29)*Assumptions!$B$30+W21*(1-Assumptions!$B$29)*(1-Assumptions!$B$30)+X24</f>
        <v>78614.8084008725</v>
      </c>
      <c r="Y50" s="21" t="n">
        <f aca="false">Y21*Assumptions!$B$29+Y21*(1-Assumptions!$B$29)*Assumptions!$B$30+X21*(1-Assumptions!$B$29)*(1-Assumptions!$B$30)+Y24</f>
        <v>78744.1096782</v>
      </c>
      <c r="Z50" s="21" t="n">
        <f aca="false">SUM(B50:M50)</f>
        <v>617109.472257545</v>
      </c>
      <c r="AA50" s="21" t="n">
        <f aca="false">SUM(N50:Y50)</f>
        <v>936162.435690653</v>
      </c>
      <c r="AB50" s="21" t="n">
        <f aca="false">SUM(B50:Y50)</f>
        <v>1553271.9079482</v>
      </c>
    </row>
    <row r="51" customFormat="false" ht="15" hidden="false" customHeight="false" outlineLevel="0" collapsed="false">
      <c r="A51" s="17" t="s">
        <v>179</v>
      </c>
      <c r="B51" s="21" t="n">
        <f aca="false">B30+B46</f>
        <v>25296</v>
      </c>
      <c r="C51" s="21" t="n">
        <f aca="false">C30+C46</f>
        <v>26988</v>
      </c>
      <c r="D51" s="21" t="n">
        <f aca="false">D30+D46</f>
        <v>28108.4375</v>
      </c>
      <c r="E51" s="21" t="n">
        <f aca="false">E30+E46</f>
        <v>29229.8520833333</v>
      </c>
      <c r="F51" s="21" t="n">
        <f aca="false">F30+F46</f>
        <v>30352.2372361111</v>
      </c>
      <c r="G51" s="21" t="n">
        <f aca="false">G30+G46</f>
        <v>31475.5864878704</v>
      </c>
      <c r="H51" s="21" t="n">
        <f aca="false">H30+H46</f>
        <v>52377.0309624293</v>
      </c>
      <c r="I51" s="21" t="n">
        <f aca="false">I30+I46</f>
        <v>50834.6636174652</v>
      </c>
      <c r="J51" s="21" t="n">
        <f aca="false">J30+J46</f>
        <v>53795.1031659119</v>
      </c>
      <c r="K51" s="21" t="n">
        <f aca="false">K30+K46</f>
        <v>54519.7191030821</v>
      </c>
      <c r="L51" s="21" t="n">
        <f aca="false">L30+L46</f>
        <v>54570.6053141221</v>
      </c>
      <c r="M51" s="21" t="n">
        <f aca="false">M30+M46</f>
        <v>54621.1522837552</v>
      </c>
      <c r="N51" s="21" t="n">
        <f aca="false">N30+N46</f>
        <v>54671.3622735907</v>
      </c>
      <c r="O51" s="21" t="n">
        <f aca="false">O30+O46</f>
        <v>54721.2375301606</v>
      </c>
      <c r="P51" s="21" t="n">
        <f aca="false">P30+P46</f>
        <v>54759.84278502</v>
      </c>
      <c r="Q51" s="21" t="n">
        <f aca="false">Q30+Q46</f>
        <v>54798.1906715138</v>
      </c>
      <c r="R51" s="21" t="n">
        <f aca="false">R30+R46</f>
        <v>54836.2829054309</v>
      </c>
      <c r="S51" s="21" t="n">
        <f aca="false">S30+S46</f>
        <v>54874.1211911219</v>
      </c>
      <c r="T51" s="21" t="n">
        <f aca="false">T30+T46</f>
        <v>54911.7072215749</v>
      </c>
      <c r="U51" s="21" t="n">
        <f aca="false">U30+U46</f>
        <v>54949.0426784916</v>
      </c>
      <c r="V51" s="21" t="n">
        <f aca="false">V30+V46</f>
        <v>54986.1292323622</v>
      </c>
      <c r="W51" s="21" t="n">
        <f aca="false">W30+W46</f>
        <v>55022.9685425403</v>
      </c>
      <c r="X51" s="21" t="n">
        <f aca="false">X30+X46</f>
        <v>55059.5622573173</v>
      </c>
      <c r="Y51" s="21" t="n">
        <f aca="false">Y30+Y46</f>
        <v>55095.9120139957</v>
      </c>
      <c r="Z51" s="21" t="n">
        <f aca="false">SUM(B51:M51)</f>
        <v>492168.38775408</v>
      </c>
      <c r="AA51" s="21" t="n">
        <f aca="false">SUM(N51:Y51)</f>
        <v>658686.35930312</v>
      </c>
      <c r="AB51" s="21" t="n">
        <f aca="false">SUM(B51:Y51)</f>
        <v>1150854.7470572</v>
      </c>
    </row>
    <row r="52" customFormat="false" ht="15" hidden="false" customHeight="false" outlineLevel="0" collapsed="false">
      <c r="A52" s="17" t="s">
        <v>180</v>
      </c>
      <c r="B52" s="21" t="n">
        <f aca="false">IF(1=Assumptions!$B$8+Assumptions!$B$58,Assumptions!$B$56*(1-Assumptions!$B$71),0)+IF(1=Assumptions!$B$8+Assumptions!$B$61,Assumptions!$B$59*(1-Assumptions!$B$71),0)+IF(1=Assumptions!$B$8+Assumptions!$B$64,Assumptions!$B$62*(1-Assumptions!$B$71),0)+IF(1=Assumptions!$B$8+Assumptions!$B$67,Assumptions!$B$65*(1-Assumptions!$B$71),0)+IF(1=Assumptions!$B$8+Assumptions!$B$70,Assumptions!$B$68*(1-Assumptions!$B$71),0)</f>
        <v>0</v>
      </c>
      <c r="C52" s="21" t="n">
        <f aca="false">IF(2=Assumptions!$B$8+Assumptions!$B$58,Assumptions!$B$56*(1-Assumptions!$B$71),0)+IF(2=Assumptions!$B$8+Assumptions!$B$61,Assumptions!$B$59*(1-Assumptions!$B$71),0)+IF(2=Assumptions!$B$8+Assumptions!$B$64,Assumptions!$B$62*(1-Assumptions!$B$71),0)+IF(2=Assumptions!$B$8+Assumptions!$B$67,Assumptions!$B$65*(1-Assumptions!$B$71),0)+IF(2=Assumptions!$B$8+Assumptions!$B$70,Assumptions!$B$68*(1-Assumptions!$B$71),0)</f>
        <v>0</v>
      </c>
      <c r="D52" s="21" t="n">
        <f aca="false">IF(3=Assumptions!$B$8+Assumptions!$B$58,Assumptions!$B$56*(1-Assumptions!$B$71),0)+IF(3=Assumptions!$B$8+Assumptions!$B$61,Assumptions!$B$59*(1-Assumptions!$B$71),0)+IF(3=Assumptions!$B$8+Assumptions!$B$64,Assumptions!$B$62*(1-Assumptions!$B$71),0)+IF(3=Assumptions!$B$8+Assumptions!$B$67,Assumptions!$B$65*(1-Assumptions!$B$71),0)+IF(3=Assumptions!$B$8+Assumptions!$B$70,Assumptions!$B$68*(1-Assumptions!$B$71),0)</f>
        <v>0</v>
      </c>
      <c r="E52" s="21" t="n">
        <f aca="false">IF(4=Assumptions!$B$8+Assumptions!$B$58,Assumptions!$B$56*(1-Assumptions!$B$71),0)+IF(4=Assumptions!$B$8+Assumptions!$B$61,Assumptions!$B$59*(1-Assumptions!$B$71),0)+IF(4=Assumptions!$B$8+Assumptions!$B$64,Assumptions!$B$62*(1-Assumptions!$B$71),0)+IF(4=Assumptions!$B$8+Assumptions!$B$67,Assumptions!$B$65*(1-Assumptions!$B$71),0)+IF(4=Assumptions!$B$8+Assumptions!$B$70,Assumptions!$B$68*(1-Assumptions!$B$71),0)</f>
        <v>0</v>
      </c>
      <c r="F52" s="21" t="n">
        <f aca="false">IF(5=Assumptions!$B$8+Assumptions!$B$58,Assumptions!$B$56*(1-Assumptions!$B$71),0)+IF(5=Assumptions!$B$8+Assumptions!$B$61,Assumptions!$B$59*(1-Assumptions!$B$71),0)+IF(5=Assumptions!$B$8+Assumptions!$B$64,Assumptions!$B$62*(1-Assumptions!$B$71),0)+IF(5=Assumptions!$B$8+Assumptions!$B$67,Assumptions!$B$65*(1-Assumptions!$B$71),0)+IF(5=Assumptions!$B$8+Assumptions!$B$70,Assumptions!$B$68*(1-Assumptions!$B$71),0)</f>
        <v>0</v>
      </c>
      <c r="G52" s="21" t="n">
        <f aca="false">IF(6=Assumptions!$B$8+Assumptions!$B$58,Assumptions!$B$56*(1-Assumptions!$B$71),0)+IF(6=Assumptions!$B$8+Assumptions!$B$61,Assumptions!$B$59*(1-Assumptions!$B$71),0)+IF(6=Assumptions!$B$8+Assumptions!$B$64,Assumptions!$B$62*(1-Assumptions!$B$71),0)+IF(6=Assumptions!$B$8+Assumptions!$B$67,Assumptions!$B$65*(1-Assumptions!$B$71),0)+IF(6=Assumptions!$B$8+Assumptions!$B$70,Assumptions!$B$68*(1-Assumptions!$B$71),0)</f>
        <v>0</v>
      </c>
      <c r="H52" s="21" t="n">
        <f aca="false">IF(7=Assumptions!$B$8+Assumptions!$B$58,Assumptions!$B$56*(1-Assumptions!$B$71),0)+IF(7=Assumptions!$B$8+Assumptions!$B$61,Assumptions!$B$59*(1-Assumptions!$B$71),0)+IF(7=Assumptions!$B$8+Assumptions!$B$64,Assumptions!$B$62*(1-Assumptions!$B$71),0)+IF(7=Assumptions!$B$8+Assumptions!$B$67,Assumptions!$B$65*(1-Assumptions!$B$71),0)+IF(7=Assumptions!$B$8+Assumptions!$B$70,Assumptions!$B$68*(1-Assumptions!$B$71),0)</f>
        <v>10100</v>
      </c>
      <c r="I52" s="21" t="n">
        <f aca="false">IF(8=Assumptions!$B$8+Assumptions!$B$58,Assumptions!$B$56*(1-Assumptions!$B$71),0)+IF(8=Assumptions!$B$8+Assumptions!$B$61,Assumptions!$B$59*(1-Assumptions!$B$71),0)+IF(8=Assumptions!$B$8+Assumptions!$B$64,Assumptions!$B$62*(1-Assumptions!$B$71),0)+IF(8=Assumptions!$B$8+Assumptions!$B$67,Assumptions!$B$65*(1-Assumptions!$B$71),0)+IF(8=Assumptions!$B$8+Assumptions!$B$70,Assumptions!$B$68*(1-Assumptions!$B$71),0)</f>
        <v>0</v>
      </c>
      <c r="J52" s="21" t="n">
        <f aca="false">IF(9=Assumptions!$B$8+Assumptions!$B$58,Assumptions!$B$56*(1-Assumptions!$B$71),0)+IF(9=Assumptions!$B$8+Assumptions!$B$61,Assumptions!$B$59*(1-Assumptions!$B$71),0)+IF(9=Assumptions!$B$8+Assumptions!$B$64,Assumptions!$B$62*(1-Assumptions!$B$71),0)+IF(9=Assumptions!$B$8+Assumptions!$B$67,Assumptions!$B$65*(1-Assumptions!$B$71),0)+IF(9=Assumptions!$B$8+Assumptions!$B$70,Assumptions!$B$68*(1-Assumptions!$B$71),0)</f>
        <v>0</v>
      </c>
      <c r="K52" s="21" t="n">
        <f aca="false">IF(10=Assumptions!$B$8+Assumptions!$B$58,Assumptions!$B$56*(1-Assumptions!$B$71),0)+IF(10=Assumptions!$B$8+Assumptions!$B$61,Assumptions!$B$59*(1-Assumptions!$B$71),0)+IF(10=Assumptions!$B$8+Assumptions!$B$64,Assumptions!$B$62*(1-Assumptions!$B$71),0)+IF(10=Assumptions!$B$8+Assumptions!$B$67,Assumptions!$B$65*(1-Assumptions!$B$71),0)+IF(10=Assumptions!$B$8+Assumptions!$B$70,Assumptions!$B$68*(1-Assumptions!$B$71),0)</f>
        <v>17600</v>
      </c>
      <c r="L52" s="21" t="n">
        <f aca="false">IF(11=Assumptions!$B$8+Assumptions!$B$58,Assumptions!$B$56*(1-Assumptions!$B$71),0)+IF(11=Assumptions!$B$8+Assumptions!$B$61,Assumptions!$B$59*(1-Assumptions!$B$71),0)+IF(11=Assumptions!$B$8+Assumptions!$B$64,Assumptions!$B$62*(1-Assumptions!$B$71),0)+IF(11=Assumptions!$B$8+Assumptions!$B$67,Assumptions!$B$65*(1-Assumptions!$B$71),0)+IF(11=Assumptions!$B$8+Assumptions!$B$70,Assumptions!$B$68*(1-Assumptions!$B$71),0)</f>
        <v>0</v>
      </c>
      <c r="M52" s="21" t="n">
        <f aca="false">IF(12=Assumptions!$B$8+Assumptions!$B$58,Assumptions!$B$56*(1-Assumptions!$B$71),0)+IF(12=Assumptions!$B$8+Assumptions!$B$61,Assumptions!$B$59*(1-Assumptions!$B$71),0)+IF(12=Assumptions!$B$8+Assumptions!$B$64,Assumptions!$B$62*(1-Assumptions!$B$71),0)+IF(12=Assumptions!$B$8+Assumptions!$B$67,Assumptions!$B$65*(1-Assumptions!$B$71),0)+IF(12=Assumptions!$B$8+Assumptions!$B$70,Assumptions!$B$68*(1-Assumptions!$B$71),0)</f>
        <v>0</v>
      </c>
      <c r="N52" s="21" t="n">
        <f aca="false">IF(13=Assumptions!$B$8+Assumptions!$B$58,Assumptions!$B$56*(1-Assumptions!$B$71),0)+IF(13=Assumptions!$B$8+Assumptions!$B$61,Assumptions!$B$59*(1-Assumptions!$B$71),0)+IF(13=Assumptions!$B$8+Assumptions!$B$64,Assumptions!$B$62*(1-Assumptions!$B$71),0)+IF(13=Assumptions!$B$8+Assumptions!$B$67,Assumptions!$B$65*(1-Assumptions!$B$71),0)+IF(13=Assumptions!$B$8+Assumptions!$B$70,Assumptions!$B$68*(1-Assumptions!$B$71),0)</f>
        <v>0</v>
      </c>
      <c r="O52" s="21" t="n">
        <f aca="false">IF(14=Assumptions!$B$8+Assumptions!$B$58,Assumptions!$B$56*(1-Assumptions!$B$71),0)+IF(14=Assumptions!$B$8+Assumptions!$B$61,Assumptions!$B$59*(1-Assumptions!$B$71),0)+IF(14=Assumptions!$B$8+Assumptions!$B$64,Assumptions!$B$62*(1-Assumptions!$B$71),0)+IF(14=Assumptions!$B$8+Assumptions!$B$67,Assumptions!$B$65*(1-Assumptions!$B$71),0)+IF(14=Assumptions!$B$8+Assumptions!$B$70,Assumptions!$B$68*(1-Assumptions!$B$71),0)</f>
        <v>0</v>
      </c>
      <c r="P52" s="21" t="n">
        <f aca="false">IF(15=Assumptions!$B$8+Assumptions!$B$58,Assumptions!$B$56*(1-Assumptions!$B$71),0)+IF(15=Assumptions!$B$8+Assumptions!$B$61,Assumptions!$B$59*(1-Assumptions!$B$71),0)+IF(15=Assumptions!$B$8+Assumptions!$B$64,Assumptions!$B$62*(1-Assumptions!$B$71),0)+IF(15=Assumptions!$B$8+Assumptions!$B$67,Assumptions!$B$65*(1-Assumptions!$B$71),0)+IF(15=Assumptions!$B$8+Assumptions!$B$70,Assumptions!$B$68*(1-Assumptions!$B$71),0)</f>
        <v>0</v>
      </c>
      <c r="Q52" s="21" t="n">
        <f aca="false">IF(16=Assumptions!$B$8+Assumptions!$B$58,Assumptions!$B$56*(1-Assumptions!$B$71),0)+IF(16=Assumptions!$B$8+Assumptions!$B$61,Assumptions!$B$59*(1-Assumptions!$B$71),0)+IF(16=Assumptions!$B$8+Assumptions!$B$64,Assumptions!$B$62*(1-Assumptions!$B$71),0)+IF(16=Assumptions!$B$8+Assumptions!$B$67,Assumptions!$B$65*(1-Assumptions!$B$71),0)+IF(16=Assumptions!$B$8+Assumptions!$B$70,Assumptions!$B$68*(1-Assumptions!$B$71),0)</f>
        <v>0</v>
      </c>
      <c r="R52" s="21" t="n">
        <f aca="false">IF(17=Assumptions!$B$8+Assumptions!$B$58,Assumptions!$B$56*(1-Assumptions!$B$71),0)+IF(17=Assumptions!$B$8+Assumptions!$B$61,Assumptions!$B$59*(1-Assumptions!$B$71),0)+IF(17=Assumptions!$B$8+Assumptions!$B$64,Assumptions!$B$62*(1-Assumptions!$B$71),0)+IF(17=Assumptions!$B$8+Assumptions!$B$67,Assumptions!$B$65*(1-Assumptions!$B$71),0)+IF(17=Assumptions!$B$8+Assumptions!$B$70,Assumptions!$B$68*(1-Assumptions!$B$71),0)</f>
        <v>0</v>
      </c>
      <c r="S52" s="21" t="n">
        <f aca="false">IF(18=Assumptions!$B$8+Assumptions!$B$58,Assumptions!$B$56*(1-Assumptions!$B$71),0)+IF(18=Assumptions!$B$8+Assumptions!$B$61,Assumptions!$B$59*(1-Assumptions!$B$71),0)+IF(18=Assumptions!$B$8+Assumptions!$B$64,Assumptions!$B$62*(1-Assumptions!$B$71),0)+IF(18=Assumptions!$B$8+Assumptions!$B$67,Assumptions!$B$65*(1-Assumptions!$B$71),0)+IF(18=Assumptions!$B$8+Assumptions!$B$70,Assumptions!$B$68*(1-Assumptions!$B$71),0)</f>
        <v>0</v>
      </c>
      <c r="T52" s="21" t="n">
        <f aca="false">IF(19=Assumptions!$B$8+Assumptions!$B$58,Assumptions!$B$56*(1-Assumptions!$B$71),0)+IF(19=Assumptions!$B$8+Assumptions!$B$61,Assumptions!$B$59*(1-Assumptions!$B$71),0)+IF(19=Assumptions!$B$8+Assumptions!$B$64,Assumptions!$B$62*(1-Assumptions!$B$71),0)+IF(19=Assumptions!$B$8+Assumptions!$B$67,Assumptions!$B$65*(1-Assumptions!$B$71),0)+IF(19=Assumptions!$B$8+Assumptions!$B$70,Assumptions!$B$68*(1-Assumptions!$B$71),0)</f>
        <v>0</v>
      </c>
      <c r="U52" s="21" t="n">
        <f aca="false">IF(20=Assumptions!$B$8+Assumptions!$B$58,Assumptions!$B$56*(1-Assumptions!$B$71),0)+IF(20=Assumptions!$B$8+Assumptions!$B$61,Assumptions!$B$59*(1-Assumptions!$B$71),0)+IF(20=Assumptions!$B$8+Assumptions!$B$64,Assumptions!$B$62*(1-Assumptions!$B$71),0)+IF(20=Assumptions!$B$8+Assumptions!$B$67,Assumptions!$B$65*(1-Assumptions!$B$71),0)+IF(20=Assumptions!$B$8+Assumptions!$B$70,Assumptions!$B$68*(1-Assumptions!$B$71),0)</f>
        <v>0</v>
      </c>
      <c r="V52" s="21" t="n">
        <f aca="false">IF(21=Assumptions!$B$8+Assumptions!$B$58,Assumptions!$B$56*(1-Assumptions!$B$71),0)+IF(21=Assumptions!$B$8+Assumptions!$B$61,Assumptions!$B$59*(1-Assumptions!$B$71),0)+IF(21=Assumptions!$B$8+Assumptions!$B$64,Assumptions!$B$62*(1-Assumptions!$B$71),0)+IF(21=Assumptions!$B$8+Assumptions!$B$67,Assumptions!$B$65*(1-Assumptions!$B$71),0)+IF(21=Assumptions!$B$8+Assumptions!$B$70,Assumptions!$B$68*(1-Assumptions!$B$71),0)</f>
        <v>0</v>
      </c>
      <c r="W52" s="21" t="n">
        <f aca="false">IF(22=Assumptions!$B$8+Assumptions!$B$58,Assumptions!$B$56*(1-Assumptions!$B$71),0)+IF(22=Assumptions!$B$8+Assumptions!$B$61,Assumptions!$B$59*(1-Assumptions!$B$71),0)+IF(22=Assumptions!$B$8+Assumptions!$B$64,Assumptions!$B$62*(1-Assumptions!$B$71),0)+IF(22=Assumptions!$B$8+Assumptions!$B$67,Assumptions!$B$65*(1-Assumptions!$B$71),0)+IF(22=Assumptions!$B$8+Assumptions!$B$70,Assumptions!$B$68*(1-Assumptions!$B$71),0)</f>
        <v>0</v>
      </c>
      <c r="X52" s="21" t="n">
        <f aca="false">IF(23=Assumptions!$B$8+Assumptions!$B$58,Assumptions!$B$56*(1-Assumptions!$B$71),0)+IF(23=Assumptions!$B$8+Assumptions!$B$61,Assumptions!$B$59*(1-Assumptions!$B$71),0)+IF(23=Assumptions!$B$8+Assumptions!$B$64,Assumptions!$B$62*(1-Assumptions!$B$71),0)+IF(23=Assumptions!$B$8+Assumptions!$B$67,Assumptions!$B$65*(1-Assumptions!$B$71),0)+IF(23=Assumptions!$B$8+Assumptions!$B$70,Assumptions!$B$68*(1-Assumptions!$B$71),0)</f>
        <v>0</v>
      </c>
      <c r="Y52" s="21" t="n">
        <f aca="false">IF(24=Assumptions!$B$8+Assumptions!$B$58,Assumptions!$B$56*(1-Assumptions!$B$71),0)+IF(24=Assumptions!$B$8+Assumptions!$B$61,Assumptions!$B$59*(1-Assumptions!$B$71),0)+IF(24=Assumptions!$B$8+Assumptions!$B$64,Assumptions!$B$62*(1-Assumptions!$B$71),0)+IF(24=Assumptions!$B$8+Assumptions!$B$67,Assumptions!$B$65*(1-Assumptions!$B$71),0)+IF(24=Assumptions!$B$8+Assumptions!$B$70,Assumptions!$B$68*(1-Assumptions!$B$71),0)</f>
        <v>0</v>
      </c>
      <c r="Z52" s="21" t="n">
        <f aca="false">SUM(B52:M52)</f>
        <v>27700</v>
      </c>
      <c r="AA52" s="21" t="n">
        <f aca="false">SUM(N52:Y52)</f>
        <v>0</v>
      </c>
      <c r="AB52" s="21" t="n">
        <f aca="false">SUM(B52:Y52)</f>
        <v>27700</v>
      </c>
    </row>
    <row r="53" customFormat="false" ht="15" hidden="false" customHeight="false" outlineLevel="0" collapsed="false">
      <c r="A53" s="15" t="s">
        <v>181</v>
      </c>
      <c r="B53" s="22" t="n">
        <f aca="false">B50-B51-B52</f>
        <v>93</v>
      </c>
      <c r="C53" s="22" t="n">
        <f aca="false">C50-C51-C52</f>
        <v>2265</v>
      </c>
      <c r="D53" s="22" t="n">
        <f aca="false">D50-D51-D52</f>
        <v>3345.71875</v>
      </c>
      <c r="E53" s="22" t="n">
        <f aca="false">E50-E51-E52</f>
        <v>4428.93604166666</v>
      </c>
      <c r="F53" s="22" t="n">
        <f aca="false">F50-F51-F52</f>
        <v>5514.63521805556</v>
      </c>
      <c r="G53" s="22" t="n">
        <f aca="false">G50-G51-G52</f>
        <v>6602.79973326852</v>
      </c>
      <c r="H53" s="22" t="n">
        <f aca="false">H50-H51-H52</f>
        <v>-4569.37439943131</v>
      </c>
      <c r="I53" s="22" t="n">
        <f aca="false">I50-I51-I52</f>
        <v>13913.3148184462</v>
      </c>
      <c r="J53" s="22" t="n">
        <f aca="false">J50-J51-J52</f>
        <v>16725.18166376</v>
      </c>
      <c r="K53" s="22" t="n">
        <f aca="false">K50-K51-K52</f>
        <v>4182.79007772531</v>
      </c>
      <c r="L53" s="22" t="n">
        <f aca="false">L50-L51-L52</f>
        <v>22304.9133888133</v>
      </c>
      <c r="M53" s="22" t="n">
        <f aca="false">M50-M51-M52</f>
        <v>22434.1692111606</v>
      </c>
      <c r="N53" s="22" t="n">
        <f aca="false">N50-N51-N52</f>
        <v>22562.5633280257</v>
      </c>
      <c r="O53" s="22" t="n">
        <f aca="false">O50-O51-O52</f>
        <v>22690.1014841117</v>
      </c>
      <c r="P53" s="22" t="n">
        <f aca="false">P50-P51-P52</f>
        <v>22788.8206358237</v>
      </c>
      <c r="Q53" s="22" t="n">
        <f aca="false">Q50-Q51-Q52</f>
        <v>22886.8816598577</v>
      </c>
      <c r="R53" s="22" t="n">
        <f aca="false">R50-R51-R52</f>
        <v>22984.2889437315</v>
      </c>
      <c r="S53" s="22" t="n">
        <f aca="false">S50-S51-S52</f>
        <v>23081.0468457127</v>
      </c>
      <c r="T53" s="22" t="n">
        <f aca="false">T50-T51-T52</f>
        <v>23177.1596950141</v>
      </c>
      <c r="U53" s="22" t="n">
        <f aca="false">U50-U51-U52</f>
        <v>23272.6317919868</v>
      </c>
      <c r="V53" s="22" t="n">
        <f aca="false">V50-V51-V52</f>
        <v>23367.467408313</v>
      </c>
      <c r="W53" s="22" t="n">
        <f aca="false">W50-W51-W52</f>
        <v>23461.6707871971</v>
      </c>
      <c r="X53" s="22" t="n">
        <f aca="false">X50-X51-X52</f>
        <v>23555.2461435552</v>
      </c>
      <c r="Y53" s="22" t="n">
        <f aca="false">Y50-Y51-Y52</f>
        <v>23648.1976642043</v>
      </c>
      <c r="Z53" s="23" t="n">
        <f aca="false">SUM(B53:M53)</f>
        <v>97241.0845034648</v>
      </c>
      <c r="AA53" s="23" t="n">
        <f aca="false">SUM(N53:Y53)</f>
        <v>277476.076387534</v>
      </c>
      <c r="AB53" s="23" t="n">
        <f aca="false">SUM(B53:Y53)</f>
        <v>374717.160890998</v>
      </c>
    </row>
    <row r="54" customFormat="false" ht="15" hidden="false" customHeight="false" outlineLevel="0" collapsed="false">
      <c r="A54" s="15" t="s">
        <v>182</v>
      </c>
      <c r="B54" s="23" t="n">
        <f aca="false">Assumptions!$B$32+B53</f>
        <v>25093</v>
      </c>
      <c r="C54" s="23" t="n">
        <f aca="false">B54+C53</f>
        <v>27358</v>
      </c>
      <c r="D54" s="23" t="n">
        <f aca="false">C54+D53</f>
        <v>30703.71875</v>
      </c>
      <c r="E54" s="23" t="n">
        <f aca="false">D54+E53</f>
        <v>35132.6547916667</v>
      </c>
      <c r="F54" s="23" t="n">
        <f aca="false">E54+F53</f>
        <v>40647.2900097222</v>
      </c>
      <c r="G54" s="23" t="n">
        <f aca="false">F54+G53</f>
        <v>47250.0897429907</v>
      </c>
      <c r="H54" s="23" t="n">
        <f aca="false">G54+H53</f>
        <v>42680.7153435594</v>
      </c>
      <c r="I54" s="23" t="n">
        <f aca="false">H54+I53</f>
        <v>56594.0301620056</v>
      </c>
      <c r="J54" s="23" t="n">
        <f aca="false">I54+J53</f>
        <v>73319.2118257656</v>
      </c>
      <c r="K54" s="23" t="n">
        <f aca="false">J54+K53</f>
        <v>77502.0019034909</v>
      </c>
      <c r="L54" s="23" t="n">
        <f aca="false">K54+L53</f>
        <v>99806.9152923042</v>
      </c>
      <c r="M54" s="23" t="n">
        <f aca="false">L54+M53</f>
        <v>122241.084503465</v>
      </c>
      <c r="N54" s="23" t="n">
        <f aca="false">M54+N53</f>
        <v>144803.647831491</v>
      </c>
      <c r="O54" s="23" t="n">
        <f aca="false">N54+O53</f>
        <v>167493.749315602</v>
      </c>
      <c r="P54" s="23" t="n">
        <f aca="false">O54+P53</f>
        <v>190282.569951426</v>
      </c>
      <c r="Q54" s="23" t="n">
        <f aca="false">P54+Q53</f>
        <v>213169.451611284</v>
      </c>
      <c r="R54" s="23" t="n">
        <f aca="false">Q54+R53</f>
        <v>236153.740555015</v>
      </c>
      <c r="S54" s="23" t="n">
        <f aca="false">R54+S53</f>
        <v>259234.787400728</v>
      </c>
      <c r="T54" s="23" t="n">
        <f aca="false">S54+T53</f>
        <v>282411.947095742</v>
      </c>
      <c r="U54" s="23" t="n">
        <f aca="false">T54+U53</f>
        <v>305684.578887729</v>
      </c>
      <c r="V54" s="23" t="n">
        <f aca="false">U54+V53</f>
        <v>329052.046296042</v>
      </c>
      <c r="W54" s="23" t="n">
        <f aca="false">V54+W53</f>
        <v>352513.717083239</v>
      </c>
      <c r="X54" s="23" t="n">
        <f aca="false">W54+X53</f>
        <v>376068.963226794</v>
      </c>
      <c r="Y54" s="23" t="n">
        <f aca="false">X54+Y53</f>
        <v>399717.160890998</v>
      </c>
      <c r="Z54" s="2"/>
      <c r="AA54" s="2"/>
      <c r="AB54" s="2"/>
    </row>
    <row r="55" customFormat="false" ht="15" hidden="false" customHeight="false" outlineLevel="0" collapsed="false">
      <c r="A55" s="4" t="s">
        <v>183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 customFormat="false" ht="15" hidden="false" customHeight="false" outlineLevel="0" collapsed="false">
      <c r="A56" s="17" t="s">
        <v>184</v>
      </c>
      <c r="B56" s="21" t="n">
        <f aca="false">IF(B8=0,0,B21/IF(B7&gt;0,2,1))</f>
        <v>27300</v>
      </c>
      <c r="C56" s="21" t="n">
        <f aca="false">IF(C8=0,0,C21/IF(C7&gt;0,2,1))</f>
        <v>29400</v>
      </c>
      <c r="D56" s="21" t="n">
        <f aca="false">IF(D8=0,0,D21/IF(D7&gt;0,2,1))</f>
        <v>31500</v>
      </c>
      <c r="E56" s="21" t="n">
        <f aca="false">IF(E8=0,0,E21/IF(E7&gt;0,2,1))</f>
        <v>33600</v>
      </c>
      <c r="F56" s="21" t="n">
        <f aca="false">IF(F8=0,0,F21/IF(F7&gt;0,2,1))</f>
        <v>35700</v>
      </c>
      <c r="G56" s="21" t="n">
        <f aca="false">IF(G8=0,0,G21/IF(G7&gt;0,2,1))</f>
        <v>37800</v>
      </c>
      <c r="H56" s="21" t="n">
        <f aca="false">IF(H8=0,0,H21/IF(H7&gt;0,2,1))</f>
        <v>29400</v>
      </c>
      <c r="I56" s="21" t="n">
        <f aca="false">IF(I8=0,0,I21/IF(I7&gt;0,2,1))</f>
        <v>32200</v>
      </c>
      <c r="J56" s="21" t="n">
        <f aca="false">IF(J8=0,0,J21/IF(J7&gt;0,2,1))</f>
        <v>35000</v>
      </c>
      <c r="K56" s="21" t="n">
        <f aca="false">IF(K8=0,0,K21/IF(K7&gt;0,2,1))</f>
        <v>37800</v>
      </c>
      <c r="L56" s="21" t="n">
        <f aca="false">IF(L8=0,0,L21/IF(L7&gt;0,2,1))</f>
        <v>37800</v>
      </c>
      <c r="M56" s="21" t="n">
        <f aca="false">IF(M8=0,0,M21/IF(M7&gt;0,2,1))</f>
        <v>37800</v>
      </c>
      <c r="N56" s="21" t="n">
        <f aca="false">IF(N8=0,0,N21/IF(N7&gt;0,2,1))</f>
        <v>37800</v>
      </c>
      <c r="O56" s="21" t="n">
        <f aca="false">IF(O8=0,0,O21/IF(O7&gt;0,2,1))</f>
        <v>37800</v>
      </c>
      <c r="P56" s="21" t="n">
        <f aca="false">IF(P8=0,0,P21/IF(P7&gt;0,2,1))</f>
        <v>37800</v>
      </c>
      <c r="Q56" s="21" t="n">
        <f aca="false">IF(Q8=0,0,Q21/IF(Q7&gt;0,2,1))</f>
        <v>37800</v>
      </c>
      <c r="R56" s="21" t="n">
        <f aca="false">IF(R8=0,0,R21/IF(R7&gt;0,2,1))</f>
        <v>37800</v>
      </c>
      <c r="S56" s="21" t="n">
        <f aca="false">IF(S8=0,0,S21/IF(S7&gt;0,2,1))</f>
        <v>37800</v>
      </c>
      <c r="T56" s="21" t="n">
        <f aca="false">IF(T8=0,0,T21/IF(T7&gt;0,2,1))</f>
        <v>37800</v>
      </c>
      <c r="U56" s="21" t="n">
        <f aca="false">IF(U8=0,0,U21/IF(U7&gt;0,2,1))</f>
        <v>37800</v>
      </c>
      <c r="V56" s="21" t="n">
        <f aca="false">IF(V8=0,0,V21/IF(V7&gt;0,2,1))</f>
        <v>37800</v>
      </c>
      <c r="W56" s="21" t="n">
        <f aca="false">IF(W8=0,0,W21/IF(W7&gt;0,2,1))</f>
        <v>37800</v>
      </c>
      <c r="X56" s="21" t="n">
        <f aca="false">IF(X8=0,0,X21/IF(X7&gt;0,2,1))</f>
        <v>37800</v>
      </c>
      <c r="Y56" s="21" t="n">
        <f aca="false">IF(Y8=0,0,Y21/IF(Y7&gt;0,2,1))</f>
        <v>37800</v>
      </c>
      <c r="Z56" s="2"/>
      <c r="AA56" s="2"/>
      <c r="AB56" s="2"/>
    </row>
    <row r="57" customFormat="false" ht="15" hidden="false" customHeight="false" outlineLevel="0" collapsed="false">
      <c r="A57" s="17" t="s">
        <v>185</v>
      </c>
      <c r="B57" s="21" t="n">
        <f aca="false">IF(B13=0,0,(B41+B42+B43)/B13)</f>
        <v>56.4593301435407</v>
      </c>
      <c r="C57" s="21" t="n">
        <f aca="false">IF(C13=0,0,(C41+C42+C43)/C13)</f>
        <v>55.344889338647</v>
      </c>
      <c r="D57" s="21" t="n">
        <f aca="false">IF(D13=0,0,(D41+D42+D43)/D13)</f>
        <v>54.7030520538172</v>
      </c>
      <c r="E57" s="21" t="n">
        <f aca="false">IF(E13=0,0,(E41+E42+E43)/E13)</f>
        <v>54.0387606024687</v>
      </c>
      <c r="F57" s="21" t="n">
        <f aca="false">IF(F13=0,0,(F41+F42+F43)/F13)</f>
        <v>53.3520026498769</v>
      </c>
      <c r="G57" s="21" t="n">
        <f aca="false">IF(G13=0,0,(G41+G42+G43)/G13)</f>
        <v>52.64284380353</v>
      </c>
      <c r="H57" s="21" t="n">
        <f aca="false">IF(H13=0,0,(H41+H42+H43)/H13)</f>
        <v>53.6007390411201</v>
      </c>
      <c r="I57" s="21" t="n">
        <f aca="false">IF(I13=0,0,(I41+I42+I43)/I13)</f>
        <v>53.0627977874208</v>
      </c>
      <c r="J57" s="21" t="n">
        <f aca="false">IF(J13=0,0,(J41+J42+J43)/J13)</f>
        <v>52.5042448312122</v>
      </c>
      <c r="K57" s="21" t="n">
        <f aca="false">IF(K13=0,0,(K41+K42+K43)/K13)</f>
        <v>51.9248754514001</v>
      </c>
      <c r="L57" s="21" t="n">
        <f aca="false">IF(L13=0,0,(L41+L42+L43)/L13)</f>
        <v>51.3245426468748</v>
      </c>
      <c r="M57" s="21" t="n">
        <f aca="false">IF(M13=0,0,(M41+M42+M43)/M13)</f>
        <v>50.7031622847844</v>
      </c>
      <c r="N57" s="21" t="n">
        <f aca="false">IF(N13=0,0,(N41+N42+N43)/N13)</f>
        <v>50.0607181383268</v>
      </c>
      <c r="O57" s="21" t="n">
        <f aca="false">IF(O13=0,0,(O41+O42+O43)/O13)</f>
        <v>49.3972667391676</v>
      </c>
      <c r="P57" s="21" t="n">
        <f aca="false">IF(P13=0,0,(P41+P42+P43)/P13)</f>
        <v>48.712941964224</v>
      </c>
      <c r="Q57" s="21" t="n">
        <f aca="false">IF(Q13=0,0,(Q41+Q42+Q43)/Q13)</f>
        <v>48.0079592722895</v>
      </c>
      <c r="R57" s="21" t="n">
        <f aca="false">IF(R13=0,0,(R41+R42+R43)/R13)</f>
        <v>47.2826195030823</v>
      </c>
      <c r="S57" s="21" t="n">
        <f aca="false">IF(S13=0,0,(S41+S42+S43)/S13)</f>
        <v>46.5373121500501</v>
      </c>
      <c r="T57" s="21" t="n">
        <f aca="false">IF(T13=0,0,(T41+T42+T43)/T13)</f>
        <v>45.7725180189062</v>
      </c>
      <c r="U57" s="21" t="n">
        <f aca="false">IF(U13=0,0,(U41+U42+U43)/U13)</f>
        <v>44.9888111866158</v>
      </c>
      <c r="V57" s="21" t="n">
        <f aca="false">IF(V13=0,0,(V41+V42+V43)/V13)</f>
        <v>44.186860180576</v>
      </c>
      <c r="W57" s="21" t="n">
        <f aca="false">IF(W13=0,0,(W41+W42+W43)/W13)</f>
        <v>43.3674283051422</v>
      </c>
      <c r="X57" s="21" t="n">
        <f aca="false">IF(X13=0,0,(X41+X42+X43)/X13)</f>
        <v>42.5313730524876</v>
      </c>
      <c r="Y57" s="21" t="n">
        <f aca="false">IF(Y13=0,0,(Y41+Y42+Y43)/Y13)</f>
        <v>41.6796445469942</v>
      </c>
      <c r="Z57" s="2"/>
      <c r="AA57" s="2"/>
      <c r="AB57" s="2"/>
    </row>
    <row r="58" customFormat="false" ht="15" hidden="false" customHeight="false" outlineLevel="0" collapsed="false">
      <c r="A58" s="17" t="s">
        <v>186</v>
      </c>
      <c r="B58" s="21" t="n">
        <f aca="false">IF(B15=0,0,(B41+B42+B43)/B15)</f>
        <v>148.717625559266</v>
      </c>
      <c r="C58" s="21" t="n">
        <f aca="false">IF(C15=0,0,(C41+C42+C43)/C15)</f>
        <v>171.042631782989</v>
      </c>
      <c r="D58" s="21" t="n">
        <f aca="false">IF(D15=0,0,(D41+D42+D43)/D15)</f>
        <v>168.266442075878</v>
      </c>
      <c r="E58" s="21" t="n">
        <f aca="false">IF(E15=0,0,(E41+E42+E43)/E15)</f>
        <v>165.420410404825</v>
      </c>
      <c r="F58" s="21" t="n">
        <f aca="false">IF(F15=0,0,(F41+F42+F43)/F15)</f>
        <v>162.506878156393</v>
      </c>
      <c r="G58" s="21" t="n">
        <f aca="false">IF(G15=0,0,(G41+G42+G43)/G15)</f>
        <v>159.528533362776</v>
      </c>
      <c r="H58" s="21" t="n">
        <f aca="false">IF(H15=0,0,(H41+H42+H43)/H15)</f>
        <v>167.906431756057</v>
      </c>
      <c r="I58" s="21" t="n">
        <f aca="false">IF(I15=0,0,(I41+I42+I43)/I15)</f>
        <v>165.514826168126</v>
      </c>
      <c r="J58" s="21" t="n">
        <f aca="false">IF(J15=0,0,(J41+J42+J43)/J15)</f>
        <v>163.053002778718</v>
      </c>
      <c r="K58" s="21" t="n">
        <f aca="false">IF(K15=0,0,(K41+K42+K43)/K15)</f>
        <v>160.522184756031</v>
      </c>
      <c r="L58" s="21" t="n">
        <f aca="false">IF(L15=0,0,(L41+L42+L43)/L15)</f>
        <v>157.923905310094</v>
      </c>
      <c r="M58" s="21" t="n">
        <f aca="false">IF(M15=0,0,(M41+M42+M43)/M15)</f>
        <v>155.260015321119</v>
      </c>
      <c r="N58" s="21" t="n">
        <f aca="false">IF(N15=0,0,(N41+N42+N43)/N15)</f>
        <v>152.532688392057</v>
      </c>
      <c r="O58" s="21" t="n">
        <f aca="false">IF(O15=0,0,(O41+O42+O43)/O15)</f>
        <v>149.744423065292</v>
      </c>
      <c r="P58" s="21" t="n">
        <f aca="false">IF(P15=0,0,(P41+P42+P43)/P15)</f>
        <v>146.898041974108</v>
      </c>
      <c r="Q58" s="21" t="n">
        <f aca="false">IF(Q15=0,0,(Q41+Q42+Q43)/Q15)</f>
        <v>143.99668773848</v>
      </c>
      <c r="R58" s="21" t="n">
        <f aca="false">IF(R15=0,0,(R41+R42+R43)/R15)</f>
        <v>141.043815461538</v>
      </c>
      <c r="S58" s="21" t="n">
        <f aca="false">IF(S15=0,0,(S41+S42+S43)/S15)</f>
        <v>138.043181737105</v>
      </c>
      <c r="T58" s="21" t="n">
        <f aca="false">IF(T15=0,0,(T41+T42+T43)/T15)</f>
        <v>134.998830138866</v>
      </c>
      <c r="U58" s="21" t="n">
        <f aca="false">IF(U15=0,0,(U41+U42+U43)/U15)</f>
        <v>131.915073226764</v>
      </c>
      <c r="V58" s="21" t="n">
        <f aca="false">IF(V15=0,0,(V41+V42+V43)/V15)</f>
        <v>128.796471174437</v>
      </c>
      <c r="W58" s="21" t="n">
        <f aca="false">IF(W15=0,0,(W41+W42+W43)/W15)</f>
        <v>125.647807191021</v>
      </c>
      <c r="X58" s="21" t="n">
        <f aca="false">IF(X15=0,0,(X41+X42+X43)/X15)</f>
        <v>122.474059979422</v>
      </c>
      <c r="Y58" s="21" t="n">
        <f aca="false">IF(Y15=0,0,(Y41+Y42+Y43)/Y15)</f>
        <v>119.280373539014</v>
      </c>
      <c r="Z58" s="2"/>
      <c r="AA58" s="2"/>
      <c r="AB58" s="2"/>
    </row>
    <row r="59" customFormat="false" ht="15" hidden="false" customHeight="false" outlineLevel="0" collapsed="false">
      <c r="A59" s="17" t="s">
        <v>187</v>
      </c>
      <c r="B59" s="20" t="n">
        <f aca="false">Assumptions!$B$44</f>
        <v>0.7</v>
      </c>
      <c r="C59" s="20" t="n">
        <f aca="false">Assumptions!$B$44</f>
        <v>0.7</v>
      </c>
      <c r="D59" s="20" t="n">
        <f aca="false">Assumptions!$B$44</f>
        <v>0.7</v>
      </c>
      <c r="E59" s="20" t="n">
        <f aca="false">Assumptions!$B$44</f>
        <v>0.7</v>
      </c>
      <c r="F59" s="20" t="n">
        <f aca="false">Assumptions!$B$44</f>
        <v>0.7</v>
      </c>
      <c r="G59" s="20" t="n">
        <f aca="false">Assumptions!$B$44</f>
        <v>0.7</v>
      </c>
      <c r="H59" s="20" t="n">
        <f aca="false">Assumptions!$B$44</f>
        <v>0.7</v>
      </c>
      <c r="I59" s="20" t="n">
        <f aca="false">Assumptions!$B$44</f>
        <v>0.7</v>
      </c>
      <c r="J59" s="20" t="n">
        <f aca="false">Assumptions!$B$44</f>
        <v>0.7</v>
      </c>
      <c r="K59" s="20" t="n">
        <f aca="false">Assumptions!$B$44</f>
        <v>0.7</v>
      </c>
      <c r="L59" s="20" t="n">
        <f aca="false">Assumptions!$B$44</f>
        <v>0.7</v>
      </c>
      <c r="M59" s="20" t="n">
        <f aca="false">Assumptions!$B$44</f>
        <v>0.7</v>
      </c>
      <c r="N59" s="20" t="n">
        <f aca="false">Assumptions!$B$44</f>
        <v>0.7</v>
      </c>
      <c r="O59" s="20" t="n">
        <f aca="false">Assumptions!$B$44</f>
        <v>0.7</v>
      </c>
      <c r="P59" s="20" t="n">
        <f aca="false">Assumptions!$B$44</f>
        <v>0.7</v>
      </c>
      <c r="Q59" s="20" t="n">
        <f aca="false">Assumptions!$B$44</f>
        <v>0.7</v>
      </c>
      <c r="R59" s="20" t="n">
        <f aca="false">Assumptions!$B$44</f>
        <v>0.7</v>
      </c>
      <c r="S59" s="20" t="n">
        <f aca="false">Assumptions!$B$44</f>
        <v>0.7</v>
      </c>
      <c r="T59" s="20" t="n">
        <f aca="false">Assumptions!$B$44</f>
        <v>0.7</v>
      </c>
      <c r="U59" s="20" t="n">
        <f aca="false">Assumptions!$B$44</f>
        <v>0.7</v>
      </c>
      <c r="V59" s="20" t="n">
        <f aca="false">Assumptions!$B$44</f>
        <v>0.7</v>
      </c>
      <c r="W59" s="20" t="n">
        <f aca="false">Assumptions!$B$44</f>
        <v>0.7</v>
      </c>
      <c r="X59" s="20" t="n">
        <f aca="false">Assumptions!$B$44</f>
        <v>0.7</v>
      </c>
      <c r="Y59" s="20" t="n">
        <f aca="false">Assumptions!$B$44</f>
        <v>0.7</v>
      </c>
      <c r="Z59" s="2"/>
      <c r="AA59" s="2"/>
      <c r="AB59" s="2"/>
    </row>
    <row r="60" customFormat="false" ht="15" hidden="false" customHeight="false" outlineLevel="0" collapsed="false">
      <c r="A60" s="17" t="s">
        <v>188</v>
      </c>
      <c r="B60" s="20" t="n">
        <f aca="false">IF(B25=0,0,B24/B25)</f>
        <v>0</v>
      </c>
      <c r="C60" s="20" t="n">
        <f aca="false">IF(C25=0,0,C24/C25)</f>
        <v>0</v>
      </c>
      <c r="D60" s="20" t="n">
        <f aca="false">IF(D25=0,0,D24/D25)</f>
        <v>0.00320103002560231</v>
      </c>
      <c r="E60" s="20" t="n">
        <f aca="false">IF(E25=0,0,E24/E25)</f>
        <v>0.00608736362658015</v>
      </c>
      <c r="F60" s="20" t="n">
        <f aca="false">IF(F25=0,0,F24/F25)</f>
        <v>0.00871532086881573</v>
      </c>
      <c r="G60" s="20" t="n">
        <f aca="false">IF(G25=0,0,G24/G25)</f>
        <v>0.0111283694735738</v>
      </c>
      <c r="H60" s="20" t="n">
        <f aca="false">IF(H25=0,0,H24/H25)</f>
        <v>0.00972851736553608</v>
      </c>
      <c r="I60" s="20" t="n">
        <f aca="false">IF(I25=0,0,I24/I25)</f>
        <v>0.011359820093268</v>
      </c>
      <c r="J60" s="20" t="n">
        <f aca="false">IF(J25=0,0,J24/J25)</f>
        <v>0.0128649758199608</v>
      </c>
      <c r="K60" s="20" t="n">
        <f aca="false">IF(K25=0,0,K24/K25)</f>
        <v>0.014271023995044</v>
      </c>
      <c r="L60" s="20" t="n">
        <f aca="false">IF(L25=0,0,L24/L25)</f>
        <v>0.0165920012567885</v>
      </c>
      <c r="M60" s="20" t="n">
        <f aca="false">IF(M25=0,0,M24/M25)</f>
        <v>0.0188867097908589</v>
      </c>
      <c r="N60" s="20" t="n">
        <f aca="false">IF(N25=0,0,N24/N25)</f>
        <v>0.0211555425791042</v>
      </c>
      <c r="O60" s="20" t="n">
        <f aca="false">IF(O25=0,0,O24/O25)</f>
        <v>0.0233988849351682</v>
      </c>
      <c r="P60" s="20" t="n">
        <f aca="false">IF(P25=0,0,P24/P25)</f>
        <v>0.0251282657222433</v>
      </c>
      <c r="Q60" s="20" t="n">
        <f aca="false">IF(Q25=0,0,Q24/Q25)</f>
        <v>0.0268400642336722</v>
      </c>
      <c r="R60" s="20" t="n">
        <f aca="false">IF(R25=0,0,R24/R25)</f>
        <v>0.0285345095313154</v>
      </c>
      <c r="S60" s="20" t="n">
        <f aca="false">IF(S25=0,0,S24/S25)</f>
        <v>0.030211826824897</v>
      </c>
      <c r="T60" s="20" t="n">
        <f aca="false">IF(T25=0,0,T24/T25)</f>
        <v>0.0318722375527298</v>
      </c>
      <c r="U60" s="20" t="n">
        <f aca="false">IF(U25=0,0,U24/U25)</f>
        <v>0.0335159594604163</v>
      </c>
      <c r="V60" s="20" t="n">
        <f aca="false">IF(V25=0,0,V24/V25)</f>
        <v>0.0351432066775832</v>
      </c>
      <c r="W60" s="20" t="n">
        <f aca="false">IF(W25=0,0,W24/W25)</f>
        <v>0.0367541897927081</v>
      </c>
      <c r="X60" s="20" t="n">
        <f aca="false">IF(X25=0,0,X24/X25)</f>
        <v>0.038349115926091</v>
      </c>
      <c r="Y60" s="20" t="n">
        <f aca="false">IF(Y25=0,0,Y24/Y25)</f>
        <v>0.0399281888010278</v>
      </c>
      <c r="Z60" s="2"/>
      <c r="AA60" s="2"/>
      <c r="AB60" s="2"/>
    </row>
    <row r="61" customFormat="false" ht="15" hidden="false" customHeight="false" outlineLevel="0" collapsed="false">
      <c r="A61" s="17" t="s">
        <v>189</v>
      </c>
      <c r="B61" s="18" t="n">
        <f aca="false">B46/(Assumptions!$B$5*(1-Assumptions!$B$14-Assumptions!$B$15))</f>
        <v>550.595238095238</v>
      </c>
      <c r="C61" s="18" t="n">
        <f aca="false">C46/(Assumptions!$B$5*(1-Assumptions!$B$14-Assumptions!$B$15))</f>
        <v>580.357142857143</v>
      </c>
      <c r="D61" s="18" t="n">
        <f aca="false">D46/(Assumptions!$B$5*(1-Assumptions!$B$14-Assumptions!$B$15))</f>
        <v>580.357142857143</v>
      </c>
      <c r="E61" s="18" t="n">
        <f aca="false">E46/(Assumptions!$B$5*(1-Assumptions!$B$14-Assumptions!$B$15))</f>
        <v>580.357142857143</v>
      </c>
      <c r="F61" s="18" t="n">
        <f aca="false">F46/(Assumptions!$B$5*(1-Assumptions!$B$14-Assumptions!$B$15))</f>
        <v>580.357142857143</v>
      </c>
      <c r="G61" s="18" t="n">
        <f aca="false">G46/(Assumptions!$B$5*(1-Assumptions!$B$14-Assumptions!$B$15))</f>
        <v>580.357142857143</v>
      </c>
      <c r="H61" s="18" t="n">
        <f aca="false">H46/(Assumptions!$B$5*(1-Assumptions!$B$14-Assumptions!$B$15))</f>
        <v>1073.34511662424</v>
      </c>
      <c r="I61" s="18" t="n">
        <f aca="false">I46/(Assumptions!$B$5*(1-Assumptions!$B$14-Assumptions!$B$15))</f>
        <v>850.130830909956</v>
      </c>
      <c r="J61" s="18" t="n">
        <f aca="false">J46/(Assumptions!$B$5*(1-Assumptions!$B$14-Assumptions!$B$15))</f>
        <v>850.130830909956</v>
      </c>
      <c r="K61" s="18" t="n">
        <f aca="false">K46/(Assumptions!$B$5*(1-Assumptions!$B$14-Assumptions!$B$15))</f>
        <v>739.088579319446</v>
      </c>
      <c r="L61" s="18" t="n">
        <f aca="false">L46/(Assumptions!$B$5*(1-Assumptions!$B$14-Assumptions!$B$15))</f>
        <v>739.088579319446</v>
      </c>
      <c r="M61" s="18" t="n">
        <f aca="false">M46/(Assumptions!$B$5*(1-Assumptions!$B$14-Assumptions!$B$15))</f>
        <v>739.088579319446</v>
      </c>
      <c r="N61" s="18" t="n">
        <f aca="false">N46/(Assumptions!$B$5*(1-Assumptions!$B$14-Assumptions!$B$15))</f>
        <v>739.088579319446</v>
      </c>
      <c r="O61" s="18" t="n">
        <f aca="false">O46/(Assumptions!$B$5*(1-Assumptions!$B$14-Assumptions!$B$15))</f>
        <v>739.088579319446</v>
      </c>
      <c r="P61" s="18" t="n">
        <f aca="false">P46/(Assumptions!$B$5*(1-Assumptions!$B$14-Assumptions!$B$15))</f>
        <v>739.088579319446</v>
      </c>
      <c r="Q61" s="18" t="n">
        <f aca="false">Q46/(Assumptions!$B$5*(1-Assumptions!$B$14-Assumptions!$B$15))</f>
        <v>739.088579319446</v>
      </c>
      <c r="R61" s="18" t="n">
        <f aca="false">R46/(Assumptions!$B$5*(1-Assumptions!$B$14-Assumptions!$B$15))</f>
        <v>739.088579319446</v>
      </c>
      <c r="S61" s="18" t="n">
        <f aca="false">S46/(Assumptions!$B$5*(1-Assumptions!$B$14-Assumptions!$B$15))</f>
        <v>739.088579319446</v>
      </c>
      <c r="T61" s="18" t="n">
        <f aca="false">T46/(Assumptions!$B$5*(1-Assumptions!$B$14-Assumptions!$B$15))</f>
        <v>739.088579319446</v>
      </c>
      <c r="U61" s="18" t="n">
        <f aca="false">U46/(Assumptions!$B$5*(1-Assumptions!$B$14-Assumptions!$B$15))</f>
        <v>739.088579319446</v>
      </c>
      <c r="V61" s="18" t="n">
        <f aca="false">V46/(Assumptions!$B$5*(1-Assumptions!$B$14-Assumptions!$B$15))</f>
        <v>739.088579319446</v>
      </c>
      <c r="W61" s="18" t="n">
        <f aca="false">W46/(Assumptions!$B$5*(1-Assumptions!$B$14-Assumptions!$B$15))</f>
        <v>739.088579319446</v>
      </c>
      <c r="X61" s="18" t="n">
        <f aca="false">X46/(Assumptions!$B$5*(1-Assumptions!$B$14-Assumptions!$B$15))</f>
        <v>739.088579319446</v>
      </c>
      <c r="Y61" s="18" t="n">
        <f aca="false">Y46/(Assumptions!$B$5*(1-Assumptions!$B$14-Assumptions!$B$15))</f>
        <v>739.088579319446</v>
      </c>
      <c r="Z61" s="2"/>
      <c r="AA61" s="2"/>
      <c r="AB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190</v>
      </c>
      <c r="B1" s="2"/>
      <c r="C1" s="2"/>
    </row>
    <row r="2" customFormat="false" ht="15" hidden="false" customHeight="false" outlineLevel="0" collapsed="false">
      <c r="A2" s="4" t="s">
        <v>191</v>
      </c>
      <c r="B2" s="5"/>
      <c r="C2" s="2"/>
    </row>
    <row r="3" customFormat="false" ht="15" hidden="false" customHeight="false" outlineLevel="0" collapsed="false">
      <c r="A3" s="2" t="s">
        <v>192</v>
      </c>
      <c r="B3" s="24" t="n">
        <f aca="false">Assumptions!$B$11</f>
        <v>100</v>
      </c>
      <c r="C3" s="2"/>
    </row>
    <row r="4" customFormat="false" ht="15" hidden="false" customHeight="false" outlineLevel="0" collapsed="false">
      <c r="A4" s="2" t="s">
        <v>193</v>
      </c>
      <c r="B4" s="25" t="n">
        <f aca="false">B3*Assumptions!$B$5</f>
        <v>4200</v>
      </c>
      <c r="C4" s="2"/>
    </row>
    <row r="5" customFormat="false" ht="15" hidden="false" customHeight="false" outlineLevel="0" collapsed="false">
      <c r="A5" s="2" t="s">
        <v>194</v>
      </c>
      <c r="B5" s="25" t="n">
        <f aca="false">B4*Assumptions!$B$14</f>
        <v>1344</v>
      </c>
      <c r="C5" s="2"/>
    </row>
    <row r="6" customFormat="false" ht="15" hidden="false" customHeight="false" outlineLevel="0" collapsed="false">
      <c r="A6" s="2" t="s">
        <v>195</v>
      </c>
      <c r="B6" s="25" t="n">
        <f aca="false">B4*Assumptions!$B$15</f>
        <v>840</v>
      </c>
      <c r="C6" s="2"/>
    </row>
    <row r="7" customFormat="false" ht="15" hidden="false" customHeight="false" outlineLevel="0" collapsed="false">
      <c r="A7" s="2" t="s">
        <v>196</v>
      </c>
      <c r="B7" s="21" t="n">
        <f aca="false">B4-B5-B6</f>
        <v>2016</v>
      </c>
      <c r="C7" s="2"/>
    </row>
    <row r="8" customFormat="false" ht="15" hidden="false" customHeight="false" outlineLevel="0" collapsed="false">
      <c r="A8" s="2" t="s">
        <v>197</v>
      </c>
      <c r="B8" s="20" t="n">
        <f aca="false">B7/B4</f>
        <v>0.48</v>
      </c>
      <c r="C8" s="2"/>
    </row>
    <row r="9" customFormat="false" ht="15" hidden="false" customHeight="false" outlineLevel="0" collapsed="false">
      <c r="A9" s="2" t="s">
        <v>198</v>
      </c>
      <c r="B9" s="26" t="n">
        <f aca="false">B3/(Assumptions!$B$7/21)</f>
        <v>2.33333333333333</v>
      </c>
      <c r="C9" s="2"/>
    </row>
    <row r="10" customFormat="false" ht="15" hidden="false" customHeight="false" outlineLevel="0" collapsed="false">
      <c r="A10" s="4" t="s">
        <v>199</v>
      </c>
      <c r="B10" s="5"/>
      <c r="C10" s="2"/>
    </row>
    <row r="11" customFormat="false" ht="15" hidden="false" customHeight="false" outlineLevel="0" collapsed="false">
      <c r="A11" s="2" t="s">
        <v>200</v>
      </c>
      <c r="B11" s="24" t="n">
        <f aca="false">Assumptions!$B$7</f>
        <v>900</v>
      </c>
      <c r="C11" s="2"/>
    </row>
    <row r="12" customFormat="false" ht="15" hidden="false" customHeight="false" outlineLevel="0" collapsed="false">
      <c r="A12" s="2" t="s">
        <v>184</v>
      </c>
      <c r="B12" s="25" t="n">
        <f aca="false">B11*Assumptions!$B$5</f>
        <v>37800</v>
      </c>
      <c r="C12" s="2"/>
    </row>
    <row r="13" customFormat="false" ht="15" hidden="false" customHeight="false" outlineLevel="0" collapsed="false">
      <c r="A13" s="2" t="s">
        <v>201</v>
      </c>
      <c r="B13" s="25" t="n">
        <f aca="false">Assumptions!$B$18*Assumptions!$B$19*Assumptions!$B$16</f>
        <v>11677.5</v>
      </c>
      <c r="C13" s="2"/>
    </row>
    <row r="14" customFormat="false" ht="15" hidden="false" customHeight="false" outlineLevel="0" collapsed="false">
      <c r="A14" s="2" t="s">
        <v>202</v>
      </c>
      <c r="B14" s="25" t="n">
        <f aca="false">B13*(1+Assumptions!$B$17)</f>
        <v>13312.35</v>
      </c>
      <c r="C14" s="2"/>
    </row>
    <row r="15" customFormat="false" ht="15" hidden="false" customHeight="false" outlineLevel="0" collapsed="false">
      <c r="A15" s="2" t="s">
        <v>203</v>
      </c>
      <c r="B15" s="20" t="n">
        <f aca="false">B14/B12</f>
        <v>0.352178571428572</v>
      </c>
      <c r="C15" s="7" t="s">
        <v>204</v>
      </c>
    </row>
    <row r="16" customFormat="false" ht="15" hidden="false" customHeight="false" outlineLevel="0" collapsed="false">
      <c r="A16" s="2" t="s">
        <v>205</v>
      </c>
      <c r="B16" s="25" t="n">
        <f aca="false">B12*(1-Assumptions!$B$14-Assumptions!$B$15)</f>
        <v>18144</v>
      </c>
      <c r="C16" s="2"/>
    </row>
    <row r="17" customFormat="false" ht="15" hidden="false" customHeight="false" outlineLevel="0" collapsed="false">
      <c r="A17" s="4" t="s">
        <v>206</v>
      </c>
      <c r="B17" s="5"/>
      <c r="C17" s="2"/>
    </row>
    <row r="18" customFormat="false" ht="15" hidden="false" customHeight="false" outlineLevel="0" collapsed="false">
      <c r="A18" s="2" t="s">
        <v>207</v>
      </c>
      <c r="B18" s="25" t="n">
        <f aca="false">Assumptions!$B$21</f>
        <v>249</v>
      </c>
      <c r="C18" s="2"/>
    </row>
    <row r="19" customFormat="false" ht="15" hidden="false" customHeight="false" outlineLevel="0" collapsed="false">
      <c r="A19" s="2" t="s">
        <v>208</v>
      </c>
      <c r="B19" s="25" t="n">
        <f aca="false">Assumptions!$B$27</f>
        <v>70</v>
      </c>
      <c r="C19" s="2"/>
    </row>
    <row r="20" customFormat="false" ht="15" hidden="false" customHeight="false" outlineLevel="0" collapsed="false">
      <c r="A20" s="2" t="s">
        <v>209</v>
      </c>
      <c r="B20" s="21" t="n">
        <f aca="false">B18-B19</f>
        <v>179</v>
      </c>
      <c r="C20" s="2"/>
    </row>
    <row r="21" customFormat="false" ht="15" hidden="false" customHeight="false" outlineLevel="0" collapsed="false">
      <c r="A21" s="2" t="s">
        <v>210</v>
      </c>
      <c r="B21" s="20" t="n">
        <f aca="false">B20/B18</f>
        <v>0.718875502008032</v>
      </c>
      <c r="C21" s="2"/>
    </row>
    <row r="22" customFormat="false" ht="15" hidden="false" customHeight="false" outlineLevel="0" collapsed="false">
      <c r="A22" s="2" t="s">
        <v>211</v>
      </c>
      <c r="B22" s="24" t="n">
        <f aca="false">5/Assumptions!$B$22</f>
        <v>5</v>
      </c>
      <c r="C22" s="2"/>
    </row>
    <row r="23" customFormat="false" ht="15" hidden="false" customHeight="false" outlineLevel="0" collapsed="false">
      <c r="A23" s="2" t="s">
        <v>212</v>
      </c>
      <c r="B23" s="21" t="n">
        <f aca="false">B20*B22</f>
        <v>895</v>
      </c>
      <c r="C23" s="2"/>
    </row>
    <row r="24" customFormat="false" ht="15" hidden="false" customHeight="false" outlineLevel="0" collapsed="false">
      <c r="A24" s="2" t="s">
        <v>213</v>
      </c>
      <c r="B24" s="21" t="n">
        <f aca="false">0.25*B4*(1-0.52)</f>
        <v>504</v>
      </c>
      <c r="C24" s="7" t="s">
        <v>214</v>
      </c>
    </row>
    <row r="25" customFormat="false" ht="15" hidden="false" customHeight="false" outlineLevel="0" collapsed="false">
      <c r="A25" s="4" t="s">
        <v>215</v>
      </c>
      <c r="B25" s="5"/>
      <c r="C25" s="2"/>
    </row>
    <row r="26" customFormat="false" ht="15" hidden="false" customHeight="false" outlineLevel="0" collapsed="false">
      <c r="A26" s="2" t="s">
        <v>216</v>
      </c>
      <c r="B26" s="25" t="n">
        <f aca="false">'Proforma 24 mo'!D46</f>
        <v>11700</v>
      </c>
      <c r="C26" s="2"/>
    </row>
    <row r="27" customFormat="false" ht="15" hidden="false" customHeight="false" outlineLevel="0" collapsed="false">
      <c r="A27" s="2" t="s">
        <v>217</v>
      </c>
      <c r="B27" s="24" t="n">
        <f aca="false">B26/(Assumptions!$B$5*(1-Assumptions!$B$14-Assumptions!$B$15))</f>
        <v>580.357142857143</v>
      </c>
      <c r="C27" s="2"/>
    </row>
    <row r="28" customFormat="false" ht="15" hidden="false" customHeight="false" outlineLevel="0" collapsed="false">
      <c r="A28" s="2" t="s">
        <v>218</v>
      </c>
      <c r="B28" s="27" t="n">
        <f aca="false">B27/Assumptions!$B$7</f>
        <v>0.64484126984127</v>
      </c>
      <c r="C2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8"/>
  </cols>
  <sheetData>
    <row r="1" customFormat="false" ht="17.35" hidden="false" customHeight="false" outlineLevel="0" collapsed="false">
      <c r="A1" s="1" t="s">
        <v>219</v>
      </c>
      <c r="B1" s="2"/>
      <c r="C1" s="2"/>
      <c r="D1" s="2"/>
    </row>
    <row r="2" customFormat="false" ht="15" hidden="false" customHeight="false" outlineLevel="0" collapsed="false">
      <c r="A2" s="3" t="s">
        <v>220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28"/>
      <c r="B4" s="28" t="s">
        <v>221</v>
      </c>
      <c r="C4" s="28" t="s">
        <v>222</v>
      </c>
      <c r="D4" s="28" t="s">
        <v>223</v>
      </c>
    </row>
    <row r="5" customFormat="false" ht="15" hidden="false" customHeight="false" outlineLevel="0" collapsed="false">
      <c r="A5" s="2" t="s">
        <v>224</v>
      </c>
      <c r="B5" s="8" t="n">
        <v>700</v>
      </c>
      <c r="C5" s="8" t="n">
        <v>900</v>
      </c>
      <c r="D5" s="8" t="n">
        <v>1000</v>
      </c>
    </row>
    <row r="6" customFormat="false" ht="15" hidden="false" customHeight="false" outlineLevel="0" collapsed="false">
      <c r="A6" s="2" t="s">
        <v>225</v>
      </c>
      <c r="B6" s="8" t="n">
        <v>1</v>
      </c>
      <c r="C6" s="8" t="n">
        <v>2</v>
      </c>
      <c r="D6" s="8" t="n">
        <v>2</v>
      </c>
    </row>
    <row r="7" customFormat="false" ht="15" hidden="false" customHeight="false" outlineLevel="0" collapsed="false">
      <c r="A7" s="2" t="s">
        <v>226</v>
      </c>
      <c r="B7" s="14" t="n">
        <v>38</v>
      </c>
      <c r="C7" s="14" t="n">
        <v>42</v>
      </c>
      <c r="D7" s="14" t="n">
        <v>46</v>
      </c>
    </row>
    <row r="8" customFormat="false" ht="15" hidden="false" customHeight="false" outlineLevel="0" collapsed="false">
      <c r="A8" s="2" t="s">
        <v>227</v>
      </c>
      <c r="B8" s="8" t="n">
        <v>40</v>
      </c>
      <c r="C8" s="8" t="n">
        <v>90</v>
      </c>
      <c r="D8" s="8" t="n">
        <v>140</v>
      </c>
    </row>
    <row r="9" customFormat="false" ht="15" hidden="false" customHeight="false" outlineLevel="0" collapsed="false">
      <c r="A9" s="2" t="s">
        <v>228</v>
      </c>
      <c r="B9" s="21" t="n">
        <f aca="false">B5*B6*B7</f>
        <v>26600</v>
      </c>
      <c r="C9" s="21" t="n">
        <f aca="false">C5*C6*C7</f>
        <v>75600</v>
      </c>
      <c r="D9" s="21" t="n">
        <f aca="false">D5*D6*D7</f>
        <v>92000</v>
      </c>
    </row>
    <row r="10" customFormat="false" ht="15" hidden="false" customHeight="false" outlineLevel="0" collapsed="false">
      <c r="A10" s="2" t="s">
        <v>229</v>
      </c>
      <c r="B10" s="21" t="n">
        <f aca="false">B8/12/Assumptions!$B$22*Assumptions!$B$21</f>
        <v>830</v>
      </c>
      <c r="C10" s="21" t="n">
        <f aca="false">C8/12/Assumptions!$B$22*Assumptions!$B$21</f>
        <v>1867.5</v>
      </c>
      <c r="D10" s="21" t="n">
        <f aca="false">D8/12/Assumptions!$B$22*Assumptions!$B$21</f>
        <v>2905</v>
      </c>
    </row>
    <row r="11" customFormat="false" ht="15" hidden="false" customHeight="false" outlineLevel="0" collapsed="false">
      <c r="A11" s="2" t="s">
        <v>230</v>
      </c>
      <c r="B11" s="21" t="n">
        <f aca="false">B9+B10</f>
        <v>27430</v>
      </c>
      <c r="C11" s="21" t="n">
        <f aca="false">C9+C10</f>
        <v>77467.5</v>
      </c>
      <c r="D11" s="21" t="n">
        <f aca="false">D9+D10</f>
        <v>94905</v>
      </c>
    </row>
    <row r="12" customFormat="false" ht="15" hidden="false" customHeight="false" outlineLevel="0" collapsed="false">
      <c r="A12" s="2" t="s">
        <v>231</v>
      </c>
      <c r="B12" s="23" t="n">
        <f aca="false">B9*(1-Assumptions!$B$14-Assumptions!$B$15)+B10*(1-Assumptions!$B$27/Assumptions!$B$21)</f>
        <v>13364.6666666667</v>
      </c>
      <c r="C12" s="23" t="n">
        <f aca="false">C9*(1-Assumptions!$B$14-Assumptions!$B$15)+C10*(1-Assumptions!$B$27/Assumptions!$B$21)</f>
        <v>37630.5</v>
      </c>
      <c r="D12" s="23" t="n">
        <f aca="false">D9*(1-Assumptions!$B$14-Assumptions!$B$15)+D10*(1-Assumptions!$B$27/Assumptions!$B$21)</f>
        <v>46248.3333333333</v>
      </c>
    </row>
    <row r="13" customFormat="false" ht="15" hidden="false" customHeight="false" outlineLevel="0" collapsed="false">
      <c r="A13" s="2" t="s">
        <v>232</v>
      </c>
      <c r="B13" s="21" t="n">
        <f aca="false">IF(B6=1,'Proforma 24 mo'!D46,'Proforma 24 mo'!Y46)</f>
        <v>11700</v>
      </c>
      <c r="C13" s="21" t="n">
        <f aca="false">IF(C6=1,'Proforma 24 mo'!D46,'Proforma 24 mo'!Y46)</f>
        <v>14900.02575908</v>
      </c>
      <c r="D13" s="21" t="n">
        <f aca="false">IF(D6=1,'Proforma 24 mo'!D46,'Proforma 24 mo'!Y46)</f>
        <v>14900.02575908</v>
      </c>
    </row>
    <row r="14" customFormat="false" ht="15" hidden="false" customHeight="false" outlineLevel="0" collapsed="false">
      <c r="A14" s="2" t="s">
        <v>233</v>
      </c>
      <c r="B14" s="23" t="n">
        <f aca="false">B12-B13</f>
        <v>1664.66666666666</v>
      </c>
      <c r="C14" s="23" t="n">
        <f aca="false">C12-C13</f>
        <v>22730.47424092</v>
      </c>
      <c r="D14" s="23" t="n">
        <f aca="false">D12-D13</f>
        <v>31348.3075742533</v>
      </c>
    </row>
    <row r="15" customFormat="false" ht="15" hidden="false" customHeight="false" outlineLevel="0" collapsed="false">
      <c r="A15" s="2" t="s">
        <v>234</v>
      </c>
      <c r="B15" s="23" t="n">
        <f aca="false">B14*12</f>
        <v>19976</v>
      </c>
      <c r="C15" s="23" t="n">
        <f aca="false">C14*12</f>
        <v>272765.69089104</v>
      </c>
      <c r="D15" s="23" t="n">
        <f aca="false">D14*12</f>
        <v>376179.69089104</v>
      </c>
    </row>
    <row r="16" customFormat="false" ht="15" hidden="false" customHeight="false" outlineLevel="0" collapsed="false">
      <c r="A16" s="2" t="s">
        <v>235</v>
      </c>
      <c r="B16" s="20" t="n">
        <f aca="false">IF(B11=0,0,B14/B11)</f>
        <v>0.0606878113987118</v>
      </c>
      <c r="C16" s="20" t="n">
        <f aca="false">IF(C11=0,0,C14/C11)</f>
        <v>0.293419488700681</v>
      </c>
      <c r="D16" s="20" t="n">
        <f aca="false">IF(D11=0,0,D14/D11)</f>
        <v>0.33031249748963</v>
      </c>
    </row>
    <row r="17" customFormat="false" ht="15" hidden="false" customHeight="false" outlineLevel="0" collapsed="false">
      <c r="A17" s="2" t="s">
        <v>236</v>
      </c>
      <c r="B17" s="18" t="n">
        <f aca="false">B5*B6/Assumptions!$B$11/Assumptions!$B$44</f>
        <v>10</v>
      </c>
      <c r="C17" s="18" t="n">
        <f aca="false">C5*C6/Assumptions!$B$11/Assumptions!$B$44</f>
        <v>25.7142857142857</v>
      </c>
      <c r="D17" s="18" t="n">
        <f aca="false">D5*D6/Assumptions!$B$11/Assumptions!$B$44</f>
        <v>28.5714285714286</v>
      </c>
    </row>
    <row r="18" customFormat="false" ht="15" hidden="false" customHeight="false" outlineLevel="0" collapsed="false">
      <c r="A18" s="2" t="s">
        <v>237</v>
      </c>
      <c r="B18" s="18" t="n">
        <f aca="false">B17/0.45</f>
        <v>22.2222222222222</v>
      </c>
      <c r="C18" s="18" t="n">
        <f aca="false">C17/0.45</f>
        <v>57.1428571428571</v>
      </c>
      <c r="D18" s="18" t="n">
        <f aca="false">D17/0.45</f>
        <v>63.4920634920635</v>
      </c>
    </row>
    <row r="19" customFormat="false" ht="15" hidden="false" customHeight="false" outlineLevel="0" collapsed="false">
      <c r="A19" s="29" t="s">
        <v>238</v>
      </c>
      <c r="B19" s="2"/>
      <c r="C19" s="2"/>
      <c r="D19" s="2"/>
    </row>
    <row r="20" customFormat="false" ht="15" hidden="false" customHeight="false" outlineLevel="0" collapsed="false">
      <c r="A20" s="7" t="s">
        <v>239</v>
      </c>
      <c r="B20" s="2"/>
      <c r="C20" s="2"/>
      <c r="D20" s="2"/>
    </row>
    <row r="21" customFormat="false" ht="15" hidden="false" customHeight="false" outlineLevel="0" collapsed="false">
      <c r="A21" s="7" t="s">
        <v>240</v>
      </c>
      <c r="B21" s="2"/>
      <c r="C21" s="2"/>
      <c r="D21" s="2"/>
    </row>
    <row r="22" customFormat="false" ht="15" hidden="false" customHeight="false" outlineLevel="0" collapsed="false">
      <c r="A22" s="7" t="s">
        <v>241</v>
      </c>
      <c r="B22" s="2"/>
      <c r="C22" s="2"/>
      <c r="D22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242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243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35.05" hidden="false" customHeight="false" outlineLevel="0" collapsed="false">
      <c r="A4" s="30" t="s">
        <v>244</v>
      </c>
      <c r="B4" s="30" t="s">
        <v>245</v>
      </c>
      <c r="C4" s="30" t="s">
        <v>246</v>
      </c>
      <c r="D4" s="30" t="s">
        <v>247</v>
      </c>
      <c r="E4" s="30" t="s">
        <v>248</v>
      </c>
      <c r="F4" s="30" t="s">
        <v>249</v>
      </c>
      <c r="G4" s="30" t="s">
        <v>250</v>
      </c>
      <c r="H4" s="30" t="s">
        <v>251</v>
      </c>
      <c r="I4" s="30" t="s">
        <v>252</v>
      </c>
      <c r="J4" s="30" t="s">
        <v>253</v>
      </c>
    </row>
    <row r="5" customFormat="false" ht="15" hidden="false" customHeight="false" outlineLevel="0" collapsed="false">
      <c r="A5" s="2" t="s">
        <v>254</v>
      </c>
      <c r="B5" s="25" t="n">
        <f aca="false">Assumptions!$B$56</f>
        <v>50000</v>
      </c>
      <c r="C5" s="25" t="n">
        <f aca="false">Assumptions!$B$57</f>
        <v>2000</v>
      </c>
      <c r="D5" s="24" t="n">
        <f aca="false">Assumptions!$B$58</f>
        <v>3</v>
      </c>
      <c r="E5" s="21" t="n">
        <f aca="false">C5*D5</f>
        <v>6000</v>
      </c>
      <c r="F5" s="18" t="n">
        <f aca="false">Assumptions!$B$8+D5</f>
        <v>10</v>
      </c>
      <c r="G5" s="21" t="n">
        <f aca="false">B5*(1-Assumptions!$B$71)</f>
        <v>10000</v>
      </c>
      <c r="H5" s="21" t="n">
        <f aca="false">-PMT(Assumptions!$B$72/12,Assumptions!$B$73,B5*Assumptions!$B$71)</f>
        <v>830.33420905416</v>
      </c>
      <c r="I5" s="18" t="n">
        <f aca="false">F5+Assumptions!$B$73</f>
        <v>70</v>
      </c>
      <c r="J5" s="18" t="n">
        <f aca="false">IF(C5=0,"n/a",B5/C5)</f>
        <v>25</v>
      </c>
    </row>
    <row r="6" customFormat="false" ht="15" hidden="false" customHeight="false" outlineLevel="0" collapsed="false">
      <c r="A6" s="2" t="s">
        <v>255</v>
      </c>
      <c r="B6" s="25" t="n">
        <f aca="false">Assumptions!$B$59</f>
        <v>38000</v>
      </c>
      <c r="C6" s="25" t="n">
        <f aca="false">Assumptions!$B$60</f>
        <v>1700</v>
      </c>
      <c r="D6" s="24" t="n">
        <f aca="false">Assumptions!$B$61</f>
        <v>3</v>
      </c>
      <c r="E6" s="21" t="n">
        <f aca="false">C6*D6</f>
        <v>5100</v>
      </c>
      <c r="F6" s="18" t="n">
        <f aca="false">Assumptions!$B$8+D6</f>
        <v>10</v>
      </c>
      <c r="G6" s="21" t="n">
        <f aca="false">B6*(1-Assumptions!$B$71)</f>
        <v>7600</v>
      </c>
      <c r="H6" s="21" t="n">
        <f aca="false">-PMT(Assumptions!$B$72/12,Assumptions!$B$73,B6*Assumptions!$B$71)</f>
        <v>631.053998881162</v>
      </c>
      <c r="I6" s="18" t="n">
        <f aca="false">F6+Assumptions!$B$73</f>
        <v>70</v>
      </c>
      <c r="J6" s="18" t="n">
        <f aca="false">IF(C6=0,"n/a",B6/C6)</f>
        <v>22.3529411764706</v>
      </c>
    </row>
    <row r="7" customFormat="false" ht="15" hidden="false" customHeight="false" outlineLevel="0" collapsed="false">
      <c r="A7" s="2" t="s">
        <v>256</v>
      </c>
      <c r="B7" s="25" t="n">
        <f aca="false">Assumptions!$B$62</f>
        <v>9500</v>
      </c>
      <c r="C7" s="25" t="n">
        <f aca="false">Assumptions!$B$63</f>
        <v>600</v>
      </c>
      <c r="D7" s="24" t="n">
        <f aca="false">Assumptions!$B$64</f>
        <v>0</v>
      </c>
      <c r="E7" s="21" t="n">
        <f aca="false">C7*D7</f>
        <v>0</v>
      </c>
      <c r="F7" s="18" t="n">
        <f aca="false">Assumptions!$B$8+D7</f>
        <v>7</v>
      </c>
      <c r="G7" s="21" t="n">
        <f aca="false">B7*(1-Assumptions!$B$71)</f>
        <v>1900</v>
      </c>
      <c r="H7" s="21" t="n">
        <f aca="false">-PMT(Assumptions!$B$72/12,Assumptions!$B$73,B7*Assumptions!$B$71)</f>
        <v>157.76349972029</v>
      </c>
      <c r="I7" s="18" t="n">
        <f aca="false">F7+Assumptions!$B$73</f>
        <v>67</v>
      </c>
      <c r="J7" s="18" t="n">
        <f aca="false">IF(C7=0,"n/a",B7/C7)</f>
        <v>15.8333333333333</v>
      </c>
    </row>
    <row r="8" customFormat="false" ht="15" hidden="false" customHeight="false" outlineLevel="0" collapsed="false">
      <c r="A8" s="2" t="s">
        <v>257</v>
      </c>
      <c r="B8" s="25" t="n">
        <f aca="false">Assumptions!$B$65</f>
        <v>35000</v>
      </c>
      <c r="C8" s="25" t="n">
        <f aca="false">Assumptions!$B$66</f>
        <v>0</v>
      </c>
      <c r="D8" s="24" t="n">
        <f aca="false">Assumptions!$B$67</f>
        <v>0</v>
      </c>
      <c r="E8" s="21" t="n">
        <f aca="false">C8*D8</f>
        <v>0</v>
      </c>
      <c r="F8" s="18" t="n">
        <f aca="false">Assumptions!$B$8+D8</f>
        <v>7</v>
      </c>
      <c r="G8" s="21" t="n">
        <f aca="false">B8*(1-Assumptions!$B$71)</f>
        <v>7000</v>
      </c>
      <c r="H8" s="21" t="n">
        <f aca="false">-PMT(Assumptions!$B$72/12,Assumptions!$B$73,B8*Assumptions!$B$71)</f>
        <v>581.233946337912</v>
      </c>
      <c r="I8" s="18" t="n">
        <f aca="false">F8+Assumptions!$B$73</f>
        <v>67</v>
      </c>
      <c r="J8" s="18" t="str">
        <f aca="false">IF(C8=0,"n/a",B8/C8)</f>
        <v>n/a</v>
      </c>
    </row>
    <row r="9" customFormat="false" ht="15" hidden="false" customHeight="false" outlineLevel="0" collapsed="false">
      <c r="A9" s="2" t="s">
        <v>258</v>
      </c>
      <c r="B9" s="25" t="n">
        <f aca="false">Assumptions!$B$68</f>
        <v>6000</v>
      </c>
      <c r="C9" s="25" t="n">
        <f aca="false">Assumptions!$B$69</f>
        <v>0</v>
      </c>
      <c r="D9" s="24" t="n">
        <f aca="false">Assumptions!$B$70</f>
        <v>0</v>
      </c>
      <c r="E9" s="21" t="n">
        <f aca="false">C9*D9</f>
        <v>0</v>
      </c>
      <c r="F9" s="18" t="n">
        <f aca="false">Assumptions!$B$8+D9</f>
        <v>7</v>
      </c>
      <c r="G9" s="21" t="n">
        <f aca="false">B9*(1-Assumptions!$B$71)</f>
        <v>1200</v>
      </c>
      <c r="H9" s="21" t="n">
        <f aca="false">-PMT(Assumptions!$B$72/12,Assumptions!$B$73,B9*Assumptions!$B$71)</f>
        <v>99.6401050864993</v>
      </c>
      <c r="I9" s="18" t="n">
        <f aca="false">F9+Assumptions!$B$73</f>
        <v>67</v>
      </c>
      <c r="J9" s="18" t="str">
        <f aca="false">IF(C9=0,"n/a",B9/C9)</f>
        <v>n/a</v>
      </c>
    </row>
    <row r="10" customFormat="false" ht="15" hidden="false" customHeight="false" outlineLevel="0" collapsed="false">
      <c r="A10" s="15" t="s">
        <v>259</v>
      </c>
      <c r="B10" s="23" t="n">
        <f aca="false">SUM(B5:B9)</f>
        <v>138500</v>
      </c>
      <c r="C10" s="2"/>
      <c r="D10" s="2"/>
      <c r="E10" s="23" t="n">
        <f aca="false">SUM(E5:E9)</f>
        <v>11100</v>
      </c>
      <c r="F10" s="2"/>
      <c r="G10" s="23" t="n">
        <f aca="false">SUM(G5:G9)</f>
        <v>27700</v>
      </c>
      <c r="H10" s="23" t="n">
        <f aca="false">SUM(H5:H9)</f>
        <v>2300.02575908002</v>
      </c>
      <c r="I10" s="2"/>
      <c r="J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29" t="s">
        <v>260</v>
      </c>
      <c r="B12" s="2"/>
      <c r="C12" s="2"/>
      <c r="D12" s="2"/>
      <c r="E12" s="2"/>
      <c r="F12" s="2"/>
      <c r="G12" s="2"/>
      <c r="H12" s="2"/>
      <c r="I12" s="2"/>
      <c r="J12" s="2"/>
    </row>
    <row r="13" customFormat="false" ht="30" hidden="false" customHeight="true" outlineLevel="0" collapsed="false">
      <c r="A13" s="31" t="s">
        <v>261</v>
      </c>
      <c r="B13" s="31"/>
      <c r="C13" s="31"/>
      <c r="D13" s="31"/>
      <c r="E13" s="31"/>
      <c r="F13" s="31"/>
      <c r="G13" s="31"/>
      <c r="H13" s="31"/>
      <c r="I13" s="31"/>
      <c r="J13" s="31"/>
    </row>
    <row r="14" customFormat="false" ht="30" hidden="false" customHeight="true" outlineLevel="0" collapsed="false">
      <c r="A14" s="31" t="s">
        <v>262</v>
      </c>
      <c r="B14" s="31"/>
      <c r="C14" s="31"/>
      <c r="D14" s="31"/>
      <c r="E14" s="31"/>
      <c r="F14" s="31"/>
      <c r="G14" s="31"/>
      <c r="H14" s="31"/>
      <c r="I14" s="31"/>
      <c r="J14" s="31"/>
    </row>
    <row r="15" customFormat="false" ht="30" hidden="false" customHeight="true" outlineLevel="0" collapsed="false">
      <c r="A15" s="31" t="s">
        <v>263</v>
      </c>
      <c r="B15" s="31"/>
      <c r="C15" s="31"/>
      <c r="D15" s="31"/>
      <c r="E15" s="31"/>
      <c r="F15" s="31"/>
      <c r="G15" s="31"/>
      <c r="H15" s="31"/>
      <c r="I15" s="31"/>
      <c r="J15" s="31"/>
    </row>
    <row r="16" customFormat="false" ht="30" hidden="false" customHeight="true" outlineLevel="0" collapsed="false">
      <c r="A16" s="31" t="s">
        <v>264</v>
      </c>
      <c r="B16" s="31"/>
      <c r="C16" s="31"/>
      <c r="D16" s="31"/>
      <c r="E16" s="31"/>
      <c r="F16" s="31"/>
      <c r="G16" s="31"/>
      <c r="H16" s="31"/>
      <c r="I16" s="31"/>
      <c r="J16" s="31"/>
    </row>
    <row r="17" customFormat="false" ht="30" hidden="false" customHeight="true" outlineLevel="0" collapsed="false">
      <c r="A17" s="31" t="s">
        <v>265</v>
      </c>
      <c r="B17" s="31"/>
      <c r="C17" s="31"/>
      <c r="D17" s="31"/>
      <c r="E17" s="31"/>
      <c r="F17" s="31"/>
      <c r="G17" s="31"/>
      <c r="H17" s="31"/>
      <c r="I17" s="31"/>
      <c r="J17" s="31"/>
    </row>
  </sheetData>
  <mergeCells count="5">
    <mergeCell ref="A13:J13"/>
    <mergeCell ref="A14:J14"/>
    <mergeCell ref="A15:J15"/>
    <mergeCell ref="A16:J16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90"/>
  </cols>
  <sheetData>
    <row r="1" customFormat="false" ht="17.35" hidden="false" customHeight="false" outlineLevel="0" collapsed="false">
      <c r="A1" s="1" t="s">
        <v>266</v>
      </c>
      <c r="B1" s="2"/>
    </row>
    <row r="2" customFormat="false" ht="15" hidden="false" customHeight="false" outlineLevel="0" collapsed="false">
      <c r="A2" s="2"/>
      <c r="B2" s="2"/>
    </row>
    <row r="3" customFormat="false" ht="52.2" hidden="false" customHeight="false" outlineLevel="0" collapsed="false">
      <c r="A3" s="32" t="s">
        <v>267</v>
      </c>
      <c r="B3" s="33" t="s">
        <v>268</v>
      </c>
    </row>
    <row r="4" customFormat="false" ht="26.85" hidden="false" customHeight="false" outlineLevel="0" collapsed="false">
      <c r="A4" s="32" t="s">
        <v>269</v>
      </c>
      <c r="B4" s="33" t="s">
        <v>270</v>
      </c>
    </row>
    <row r="5" customFormat="false" ht="15" hidden="false" customHeight="false" outlineLevel="0" collapsed="false">
      <c r="A5" s="32" t="s">
        <v>271</v>
      </c>
      <c r="B5" s="33" t="s">
        <v>272</v>
      </c>
    </row>
    <row r="6" customFormat="false" ht="26.85" hidden="false" customHeight="false" outlineLevel="0" collapsed="false">
      <c r="A6" s="32" t="s">
        <v>273</v>
      </c>
      <c r="B6" s="33" t="s">
        <v>274</v>
      </c>
    </row>
    <row r="7" customFormat="false" ht="39.55" hidden="false" customHeight="false" outlineLevel="0" collapsed="false">
      <c r="A7" s="32" t="s">
        <v>275</v>
      </c>
      <c r="B7" s="33" t="s">
        <v>276</v>
      </c>
    </row>
    <row r="8" customFormat="false" ht="39.55" hidden="false" customHeight="false" outlineLevel="0" collapsed="false">
      <c r="A8" s="32" t="s">
        <v>277</v>
      </c>
      <c r="B8" s="33" t="s">
        <v>278</v>
      </c>
    </row>
    <row r="9" customFormat="false" ht="39.55" hidden="false" customHeight="false" outlineLevel="0" collapsed="false">
      <c r="A9" s="32" t="s">
        <v>279</v>
      </c>
      <c r="B9" s="33" t="s">
        <v>280</v>
      </c>
    </row>
    <row r="10" customFormat="false" ht="26.85" hidden="false" customHeight="false" outlineLevel="0" collapsed="false">
      <c r="A10" s="32" t="s">
        <v>281</v>
      </c>
      <c r="B10" s="33" t="s">
        <v>282</v>
      </c>
    </row>
    <row r="11" customFormat="false" ht="26.85" hidden="false" customHeight="false" outlineLevel="0" collapsed="false">
      <c r="A11" s="32" t="s">
        <v>283</v>
      </c>
      <c r="B11" s="33" t="s">
        <v>284</v>
      </c>
    </row>
    <row r="12" customFormat="false" ht="26.85" hidden="false" customHeight="false" outlineLevel="0" collapsed="false">
      <c r="A12" s="32" t="s">
        <v>285</v>
      </c>
      <c r="B12" s="33" t="s">
        <v>286</v>
      </c>
    </row>
    <row r="13" customFormat="false" ht="26.85" hidden="false" customHeight="false" outlineLevel="0" collapsed="false">
      <c r="A13" s="32" t="s">
        <v>287</v>
      </c>
      <c r="B13" s="33" t="s">
        <v>288</v>
      </c>
    </row>
    <row r="14" customFormat="false" ht="64.9" hidden="false" customHeight="false" outlineLevel="0" collapsed="false">
      <c r="A14" s="32" t="s">
        <v>289</v>
      </c>
      <c r="B14" s="3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2026-09-16T23:18:12Z</dcterms:created>
  <dc:creator>openpyxl</dc:creator>
  <dc:description/>
  <dc:language>en-US</dc:language>
  <cp:lastModifiedBy/>
  <dcterms:modified xsi:type="dcterms:W3CDTF">2026-09-16T23:18:12Z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