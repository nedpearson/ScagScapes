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Sources &amp; not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<sst xmlns="http://schemas.openxmlformats.org/spreadsheetml/2006/main" count="248" uniqueCount="245">
  <si>
    <t xml:space="preserve">Scag Scapes LLC - Growth Proforma - Assumptions</t>
  </si>
  <si>
    <t xml:space="preserve">Blue = input you can change. Yellow = key lever. Black = formula. Every number is either from Charlie (marked) or a cited source (Sources tab).</t>
  </si>
  <si>
    <t xml:space="preserve">OPERATIONS</t>
  </si>
  <si>
    <t xml:space="preserve">Average price per linear foot ($/LF)</t>
  </si>
  <si>
    <t xml:space="preserve">Charlie publishes $25-60/LF; $42 blended is the model default (Angi 2026 yard drains $20-30/LF; Charlie sells engineering + warranty). Move it.</t>
  </si>
  <si>
    <t xml:space="preserve">Crew 1 - LF installed per month, month 1</t>
  </si>
  <si>
    <t xml:space="preserve">Charlie: a 3-man crew should do 800-1,000 LF/month. Model ramps from 650 to the target.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</si>
  <si>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</si>
  <si>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</si>
  <si>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</si>
  <si>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</si>
  <si>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</si>
  <si>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</si>
  <si>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</si>
  <si>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</si>
  <si>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</si>
  <si>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$42/LF = $4,200.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</si>
  <si>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</si>
  <si>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</si>
  <si>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</si>
  <si>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Direct labor % of revenue</t>
  </si>
  <si>
    <t xml:space="preserve">Charlie: labor is roughly 32% of project cost. 3 crew at $20-25/hr.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</si>
  <si>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</si>
  <si>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</si>
  <si>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</si>
  <si>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</t>
  </si>
  <si>
    <t xml:space="preserve">Payroll burden % (taxes, WC, insurance)</t>
  </si>
  <si>
    <t xml:space="preserve">Louisiana small-contractor burden estimate; adjust to actual WC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</si>
  <si>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</si>
  <si>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</si>
  <si>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</si>
  <si>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</si>
  <si>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</si>
  <si>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</si>
  <si>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</si>
  <si>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</si>
  <si>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</si>
  <si>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</si>
  <si>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</si>
  <si>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</si>
  <si>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</si>
  <si>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</si>
  <si>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</si>
  <si>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</si>
  <si>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</si>
  <si>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</si>
  <si>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</si>
  <si>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</si>
  <si>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</si>
  <si>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</si>
  <si>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</si>
  <si>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</si>
  <si>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</si>
  <si>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</si>
  <si>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</si>
  <si>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</si>
  <si>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</si>
  <si>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</si>
  <si>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</si>
  <si>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</si>
  <si>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</si>
  <si>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lead-to-job close rate</t>
  </si>
  <si>
    <t xml:space="preserve">Book rate 39.5% x quote-to-sale; conservative 35% of leads become jobs.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</si>
  <si>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</si>
  <si>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</si>
  <si>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</si>
  <si>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</si>
  <si>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lead-to-job close rate</t>
  </si>
  <si>
    <t xml:space="preserve">Lower intent than search; 60-second text-back is what makes these convert.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</si>
  <si>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</si>
  <si>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</si>
  <si>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</si>
  <si>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</si>
  <si>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close rate</t>
  </si>
  <si>
    <t xml:space="preserve">Warm leads.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</si>
  <si>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</si>
  <si>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</si>
  <si>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</si>
  <si>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</si>
  <si>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</si>
  <si>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</si>
  <si>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</si>
  <si>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</si>
  <si>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</si>
  <si>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</si>
  <si>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</si>
  <si>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</si>
  <si>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</si>
  <si>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</si>
  <si>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</si>
  <si>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Growth &amp; operations lead - Ned (monthly, TBD)</t>
  </si>
  <si>
    <t xml:space="preserve">Left at $0 on purpose - terms to be agreed. Enter a number to see the effect.</t>
  </si>
  <si>
    <t xml:space="preserve">CREW 2 STARTUP</t>
  </si>
  <si>
    <t xml:space="preserve">Equipment purchase - mini excavator, trailer, tools ($)</t>
  </si>
  <si>
    <t xml:space="preserve">Used 3.5-4 ton mini-ex ~$45-55K + dump trailer + hand tools. Alternative: rent at ~$2,000/mo (Home Depot live rate in the app) for the first 90 days.</t>
  </si>
  <si>
    <t xml:space="preserve">Truck for Crew 2 ($)</t>
  </si>
  <si>
    <t xml:space="preserve">Used 3/4-ton.</t>
  </si>
  <si>
    <t xml:space="preserve">% financed</t>
  </si>
  <si>
    <t xml:space="preserve">20% down.</t>
  </si>
  <si>
    <t xml:space="preserve">Loan rate (APR)</t>
  </si>
  <si>
    <t xml:space="preserve">Equipment finance 2026 estimate.</t>
  </si>
  <si>
    <t xml:space="preserve">Loan term (months)</t>
  </si>
  <si>
    <t xml:space="preserve">Rent instead of buy for first 3 months? (1 = yes)</t>
  </si>
  <si>
    <t xml:space="preserve">Safer: rent the mini-ex for months 7-9, buy when Crew 2 has hit target twice.</t>
  </si>
  <si>
    <t xml:space="preserve">Rental cost per month while renting ($)</t>
  </si>
  <si>
    <t xml:space="preserve">Home Depot 3.5-4 ton ~$439/day, ~$1,700-2,000 4-week; app shows live.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</si>
  <si>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</si>
  <si>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</si>
  <si>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</si>
  <si>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</si>
  <si>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</si>
  <si>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</si>
  <si>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</si>
  <si>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</si>
  <si>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</si>
  <si>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</si>
  <si>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</si>
  <si>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</si>
  <si>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</si>
  <si>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</si>
  <si>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</si>
  <si>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</si>
  <si>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</si>
  <si>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Jobs sold (leads x close rate by channel)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</si>
  <si>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</si>
  <si>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</si>
  <si>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</si>
  <si>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</si>
  <si>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</si>
  <si>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Install revenue (LF installed x $/LF)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</si>
  <si>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</si>
  <si>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</si>
  <si>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</si>
  <si>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</si>
  <si>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</si>
  <si>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 labor (32% of install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</si>
  <si>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</si>
  <si>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</si>
  <si>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</si>
  <si>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</si>
  <si>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</si>
  <si>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</si>
  <si>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</si>
  <si>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</si>
  <si>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</si>
  <si>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</si>
  <si>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</si>
  <si>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</si>
  <si>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</si>
  <si>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</si>
  <si>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</si>
  <si>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</si>
  <si>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rental (months before purchase) + hiring</t>
  </si>
  <si>
    <t xml:space="preserve">Crew 2 - equipment + truck loan payment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</si>
  <si>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</si>
  <si>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</si>
  <si>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</si>
  <si>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</si>
  <si>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</si>
  <si>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</si>
  <si>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 (equipment + truck)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</si>
  <si>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</si>
  <si>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</si>
  <si>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</si>
  <si>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</si>
  <si>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</si>
  <si>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</si>
  <si>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Maintenance share of revenue</t>
  </si>
  <si>
    <t xml:space="preserve">Break-even LF/month at this overhead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</si>
  <si>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</si>
  <si>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</si>
  <si>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</si>
  <si>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</si>
  <si>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(32%)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</si>
  <si>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</si>
  <si>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</si>
  <si>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</si>
  <si>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LF/month, 21 working days)</t>
  </si>
  <si>
    <t xml:space="preserve">ONE CREW-MONTH (at target)</t>
  </si>
  <si>
    <t xml:space="preserve">LF per month</t>
  </si>
  <si>
    <t xml:space="preserve">Crew wages before burden (3 x 173 h x $/hr)</t>
  </si>
  <si>
    <t xml:space="preserve">Crew wages with burden</t>
  </si>
  <si>
    <t xml:space="preserve">Labor as % of revenue at target (check vs Charlie's 32%)</t>
  </si>
  <si>
    <t xml:space="preserve">If this is above 32%, the crew is under-producing for its wage - the readiness gate and breakdown flow are what pull it back.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</si>
  <si>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</si>
  <si>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</si>
  <si>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</si>
  <si>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</si>
  <si>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</si>
  <si>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</si>
  <si>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</si>
  <si>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</si>
  <si>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$4,000 job</t>
  </si>
  <si>
    <t xml:space="preserve">Not in the proforma - upside only.</t>
  </si>
  <si>
    <t xml:space="preserve">BREAK-EVEN</t>
  </si>
  <si>
    <t xml:space="preserve">Monthly overhead, one crew, no Crew 2 costs (from Proforma month 3)</t>
  </si>
  <si>
    <t xml:space="preserve">Break-even LF per month, one crew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</si>
  <si>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</si>
  <si>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</si>
  <si>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</si>
  <si>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</si>
  <si>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</si>
  <si>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</si>
  <si>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</si>
  <si>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</si>
  <si>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</si>
  <si>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</si>
  <si>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</si>
  <si>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</si>
  <si>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</si>
  <si>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(48% installs;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</si>
  <si>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</si>
  <si>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</si>
  <si>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</si>
  <si>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</si>
  <si>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Leads needed per month (at 30% blended close, avg job LF)</t>
  </si>
  <si>
    <t xml:space="preserve">What has to be true</t>
  </si>
  <si>
    <t xml:space="preserve">Conservative: one crew at 700 LF and $38/LF still clears overhead - the plan fails safe.</t>
  </si>
  <si>
    <t xml:space="preserve">Base: two crews at 900 LF, $42/LF, 90 plan customers - Charlie's stated goal, reached in month 10-12 of the proforma.</t>
  </si>
  <si>
    <t xml:space="preserve">Stretch: pricing power from reviews + Moasure proposals lifts $/LF to $46; 140 plan customers = the sellable recurring book.</t>
  </si>
  <si>
    <t xml:space="preserve">Sources and notes</t>
  </si>
  <si>
    <t xml:space="preserve">From Charlie (Sept 2026)</t>
  </si>
  <si>
    <t xml:space="preserve">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</si>
  <si>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</si>
  <si>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</si>
  <si>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</si>
  <si>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</si>
  <si>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</si>
  <si>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</si>
  <si>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</si>
  <si>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</si>
  <si>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</si>
  <si>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</si>
  <si>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</si>
  <si>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</si>
  <si>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</si>
  <si>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</si>
  <si>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</si>
  <si>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</si>
  <si>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</si>
  <si>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</si>
  <si>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</si>
  <si>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</si>
  <si>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</si>
  <si>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rent 3 months then buy, 80% financed at 9% over 60 months.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</si>
</sst>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"/>
    <numFmt numFmtId="167" formatCode="\$#,##0;&quot;($&quot;#,##0\);\-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42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650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900</v>
      </c>
      <c r="C7" s="7" t="s">
        <v>8</v>
      </c>
    </row>
    <row r="8" customFormat="false" ht="15" hidden="false" customHeight="false" outlineLevel="0" collapsed="false">
      <c r="A8" s="2" t="s">
        <v>9</v>
      </c>
      <c r="B8" s="6" t="n">
        <v>7</v>
      </c>
      <c r="C8" s="7" t="s">
        <v>10</v>
      </c>
    </row>
    <row r="9" customFormat="false" ht="15" hidden="false" customHeight="false" outlineLevel="0" collapsed="false">
      <c r="A9" s="2" t="s">
        <v>11</v>
      </c>
      <c r="B9" s="8" t="n">
        <v>500</v>
      </c>
      <c r="C9" s="7" t="s">
        <v>12</v>
      </c>
    </row>
    <row r="10" customFormat="false" ht="15" hidden="false" customHeight="false" outlineLevel="0" collapsed="false">
      <c r="A10" s="2" t="s">
        <v>13</v>
      </c>
      <c r="B10" s="8" t="n">
        <v>900</v>
      </c>
      <c r="C10" s="7" t="s">
        <v>14</v>
      </c>
    </row>
    <row r="11" customFormat="false" ht="15" hidden="false" customHeight="false" outlineLevel="0" collapsed="false">
      <c r="A11" s="2" t="s">
        <v>15</v>
      </c>
      <c r="B11" s="8" t="n">
        <v>100</v>
      </c>
      <c r="C11" s="7" t="s">
        <v>16</v>
      </c>
    </row>
    <row r="12" customFormat="false" ht="15" hidden="false" customHeight="false" outlineLevel="0" collapsed="false">
      <c r="A12" s="2" t="s">
        <v>17</v>
      </c>
      <c r="B12" s="10" t="n">
        <v>1</v>
      </c>
      <c r="C12" s="7" t="s">
        <v>18</v>
      </c>
    </row>
    <row r="13" customFormat="false" ht="15" hidden="false" customHeight="false" outlineLevel="0" collapsed="false">
      <c r="A13" s="4" t="s">
        <v>19</v>
      </c>
      <c r="B13" s="5"/>
      <c r="C13" s="5"/>
    </row>
    <row r="14" customFormat="false" ht="15" hidden="false" customHeight="false" outlineLevel="0" collapsed="false">
      <c r="A14" s="2" t="s">
        <v>20</v>
      </c>
      <c r="B14" s="11" t="n">
        <v>0.32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1" t="n">
        <v>0.2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22.5</v>
      </c>
      <c r="C16" s="7" t="s">
        <v>25</v>
      </c>
    </row>
    <row r="17" customFormat="false" ht="15" hidden="false" customHeight="false" outlineLevel="0" collapsed="false">
      <c r="A17" s="2" t="s">
        <v>26</v>
      </c>
      <c r="B17" s="12" t="n">
        <v>0.14</v>
      </c>
      <c r="C17" s="7" t="s">
        <v>27</v>
      </c>
    </row>
    <row r="18" customFormat="false" ht="15" hidden="false" customHeight="false" outlineLevel="0" collapsed="false">
      <c r="A18" s="2" t="s">
        <v>28</v>
      </c>
      <c r="B18" s="10" t="n">
        <v>3</v>
      </c>
      <c r="C18" s="7" t="s">
        <v>29</v>
      </c>
    </row>
    <row r="19" customFormat="false" ht="15" hidden="false" customHeight="false" outlineLevel="0" collapsed="false">
      <c r="A19" s="2" t="s">
        <v>30</v>
      </c>
      <c r="B19" s="8" t="n">
        <v>173</v>
      </c>
      <c r="C19" s="7" t="s">
        <v>31</v>
      </c>
    </row>
    <row r="20" customFormat="false" ht="15" hidden="false" customHeight="false" outlineLevel="0" collapsed="false">
      <c r="A20" s="4" t="s">
        <v>32</v>
      </c>
      <c r="B20" s="5"/>
      <c r="C20" s="5"/>
    </row>
    <row r="21" customFormat="false" ht="15" hidden="false" customHeight="false" outlineLevel="0" collapsed="false">
      <c r="A21" s="2" t="s">
        <v>33</v>
      </c>
      <c r="B21" s="13" t="n">
        <v>249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1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1" t="n">
        <v>0.4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8" t="n">
        <v>150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0.15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3</v>
      </c>
      <c r="C26" s="7" t="s">
        <v>44</v>
      </c>
    </row>
    <row r="27" customFormat="false" ht="15" hidden="false" customHeight="false" outlineLevel="0" collapsed="false">
      <c r="A27" s="2" t="s">
        <v>45</v>
      </c>
      <c r="B27" s="10" t="n">
        <v>70</v>
      </c>
      <c r="C27" s="7" t="s">
        <v>46</v>
      </c>
    </row>
    <row r="28" customFormat="false" ht="15" hidden="false" customHeight="false" outlineLevel="0" collapsed="false">
      <c r="A28" s="4" t="s">
        <v>47</v>
      </c>
      <c r="B28" s="5"/>
      <c r="C28" s="5"/>
    </row>
    <row r="29" customFormat="false" ht="15" hidden="false" customHeight="false" outlineLevel="0" collapsed="false">
      <c r="A29" s="2" t="s">
        <v>48</v>
      </c>
      <c r="B29" s="12" t="n">
        <v>0.3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2" t="n">
        <v>0.9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0" t="n">
        <v>1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25000</v>
      </c>
      <c r="C32" s="7" t="s">
        <v>55</v>
      </c>
    </row>
    <row r="33" customFormat="false" ht="15" hidden="false" customHeight="false" outlineLevel="0" collapsed="false">
      <c r="A33" s="4" t="s">
        <v>56</v>
      </c>
      <c r="B33" s="5"/>
      <c r="C33" s="5"/>
    </row>
    <row r="34" customFormat="false" ht="15" hidden="false" customHeight="false" outlineLevel="0" collapsed="false">
      <c r="A34" s="2" t="s">
        <v>57</v>
      </c>
      <c r="B34" s="13" t="n">
        <v>900</v>
      </c>
      <c r="C34" s="7" t="s">
        <v>58</v>
      </c>
    </row>
    <row r="35" customFormat="false" ht="15" hidden="false" customHeight="false" outlineLevel="0" collapsed="false">
      <c r="A35" s="2" t="s">
        <v>59</v>
      </c>
      <c r="B35" s="10" t="n">
        <v>59</v>
      </c>
      <c r="C35" s="7" t="s">
        <v>60</v>
      </c>
    </row>
    <row r="36" customFormat="false" ht="15" hidden="false" customHeight="false" outlineLevel="0" collapsed="false">
      <c r="A36" s="2" t="s">
        <v>61</v>
      </c>
      <c r="B36" s="12" t="n">
        <v>0.35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600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55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2" t="n">
        <v>0.18</v>
      </c>
      <c r="C39" s="7" t="s">
        <v>68</v>
      </c>
    </row>
    <row r="40" customFormat="false" ht="15" hidden="false" customHeight="false" outlineLevel="0" collapsed="false">
      <c r="A40" s="2" t="s">
        <v>69</v>
      </c>
      <c r="B40" s="10" t="n">
        <v>6</v>
      </c>
      <c r="C40" s="7" t="s">
        <v>70</v>
      </c>
    </row>
    <row r="41" customFormat="false" ht="15" hidden="false" customHeight="false" outlineLevel="0" collapsed="false">
      <c r="A41" s="2" t="s">
        <v>71</v>
      </c>
      <c r="B41" s="12" t="n">
        <v>0.06</v>
      </c>
      <c r="C41" s="7" t="s">
        <v>72</v>
      </c>
    </row>
    <row r="42" customFormat="false" ht="15" hidden="false" customHeight="false" outlineLevel="0" collapsed="false">
      <c r="A42" s="2" t="s">
        <v>73</v>
      </c>
      <c r="B42" s="12" t="n">
        <v>0.45</v>
      </c>
      <c r="C42" s="7" t="s">
        <v>74</v>
      </c>
    </row>
    <row r="43" customFormat="false" ht="15" hidden="false" customHeight="false" outlineLevel="0" collapsed="false">
      <c r="A43" s="2" t="s">
        <v>75</v>
      </c>
      <c r="B43" s="6" t="n">
        <v>1.6</v>
      </c>
      <c r="C43" s="7" t="s">
        <v>76</v>
      </c>
    </row>
    <row r="44" customFormat="false" ht="15" hidden="false" customHeight="false" outlineLevel="0" collapsed="false">
      <c r="A44" s="2" t="s">
        <v>77</v>
      </c>
      <c r="B44" s="14" t="n">
        <v>300</v>
      </c>
      <c r="C44" s="7" t="s">
        <v>78</v>
      </c>
    </row>
    <row r="45" customFormat="false" ht="15" hidden="false" customHeight="false" outlineLevel="0" collapsed="false">
      <c r="A45" s="4" t="s">
        <v>79</v>
      </c>
      <c r="B45" s="5"/>
      <c r="C45" s="5"/>
    </row>
    <row r="46" customFormat="false" ht="15" hidden="false" customHeight="false" outlineLevel="0" collapsed="false">
      <c r="A46" s="2" t="s">
        <v>80</v>
      </c>
      <c r="B46" s="13" t="n">
        <v>6000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4" t="n">
        <v>900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4" t="n">
        <v>1800</v>
      </c>
      <c r="C48" s="7" t="s">
        <v>55</v>
      </c>
    </row>
    <row r="49" customFormat="false" ht="15" hidden="false" customHeight="false" outlineLevel="0" collapsed="false">
      <c r="A49" s="2" t="s">
        <v>85</v>
      </c>
      <c r="B49" s="14" t="n">
        <v>350</v>
      </c>
      <c r="C49" s="7" t="s">
        <v>86</v>
      </c>
    </row>
    <row r="50" customFormat="false" ht="15" hidden="false" customHeight="false" outlineLevel="0" collapsed="false">
      <c r="A50" s="2" t="s">
        <v>87</v>
      </c>
      <c r="B50" s="14" t="n">
        <v>250</v>
      </c>
      <c r="C50" s="7" t="s">
        <v>88</v>
      </c>
    </row>
    <row r="51" customFormat="false" ht="15" hidden="false" customHeight="false" outlineLevel="0" collapsed="false">
      <c r="A51" s="2" t="s">
        <v>89</v>
      </c>
      <c r="B51" s="14" t="n">
        <v>600</v>
      </c>
      <c r="C51" s="7" t="s">
        <v>88</v>
      </c>
    </row>
    <row r="52" customFormat="false" ht="15" hidden="false" customHeight="false" outlineLevel="0" collapsed="false">
      <c r="A52" s="2" t="s">
        <v>90</v>
      </c>
      <c r="B52" s="6" t="n">
        <v>0</v>
      </c>
      <c r="C52" s="7" t="s">
        <v>91</v>
      </c>
    </row>
    <row r="53" customFormat="false" ht="15" hidden="false" customHeight="false" outlineLevel="0" collapsed="false">
      <c r="A53" s="4" t="s">
        <v>92</v>
      </c>
      <c r="B53" s="5"/>
      <c r="C53" s="5"/>
    </row>
    <row r="54" customFormat="false" ht="15" hidden="false" customHeight="false" outlineLevel="0" collapsed="false">
      <c r="A54" s="2" t="s">
        <v>93</v>
      </c>
      <c r="B54" s="13" t="n">
        <v>65000</v>
      </c>
      <c r="C54" s="7" t="s">
        <v>94</v>
      </c>
    </row>
    <row r="55" customFormat="false" ht="15" hidden="false" customHeight="false" outlineLevel="0" collapsed="false">
      <c r="A55" s="2" t="s">
        <v>95</v>
      </c>
      <c r="B55" s="14" t="n">
        <v>35000</v>
      </c>
      <c r="C55" s="7" t="s">
        <v>96</v>
      </c>
    </row>
    <row r="56" customFormat="false" ht="15" hidden="false" customHeight="false" outlineLevel="0" collapsed="false">
      <c r="A56" s="2" t="s">
        <v>97</v>
      </c>
      <c r="B56" s="12" t="n">
        <v>0.8</v>
      </c>
      <c r="C56" s="7" t="s">
        <v>98</v>
      </c>
    </row>
    <row r="57" customFormat="false" ht="15" hidden="false" customHeight="false" outlineLevel="0" collapsed="false">
      <c r="A57" s="2" t="s">
        <v>99</v>
      </c>
      <c r="B57" s="12" t="n">
        <v>0.09</v>
      </c>
      <c r="C57" s="7" t="s">
        <v>100</v>
      </c>
    </row>
    <row r="58" customFormat="false" ht="15" hidden="false" customHeight="false" outlineLevel="0" collapsed="false">
      <c r="A58" s="2" t="s">
        <v>101</v>
      </c>
      <c r="B58" s="10" t="n">
        <v>60</v>
      </c>
      <c r="C58" s="7"/>
    </row>
    <row r="59" customFormat="false" ht="15" hidden="false" customHeight="false" outlineLevel="0" collapsed="false">
      <c r="A59" s="2" t="s">
        <v>102</v>
      </c>
      <c r="B59" s="6" t="n">
        <v>1</v>
      </c>
      <c r="C59" s="7" t="s">
        <v>103</v>
      </c>
    </row>
    <row r="60" customFormat="false" ht="15" hidden="false" customHeight="false" outlineLevel="0" collapsed="false">
      <c r="A60" s="2" t="s">
        <v>104</v>
      </c>
      <c r="B60" s="14" t="n">
        <v>2000</v>
      </c>
      <c r="C60" s="7" t="s">
        <v>105</v>
      </c>
    </row>
    <row r="61" customFormat="false" ht="15" hidden="false" customHeight="false" outlineLevel="0" collapsed="false">
      <c r="A61" s="2" t="s">
        <v>106</v>
      </c>
      <c r="B61" s="14" t="n">
        <v>4500</v>
      </c>
      <c r="C61" s="7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5" t="s">
        <v>110</v>
      </c>
      <c r="B4" s="16" t="n">
        <v>1</v>
      </c>
      <c r="C4" s="16" t="n">
        <v>2</v>
      </c>
      <c r="D4" s="16" t="n">
        <v>3</v>
      </c>
      <c r="E4" s="16" t="n">
        <v>4</v>
      </c>
      <c r="F4" s="16" t="n">
        <v>5</v>
      </c>
      <c r="G4" s="16" t="n">
        <v>6</v>
      </c>
      <c r="H4" s="16" t="n">
        <v>7</v>
      </c>
      <c r="I4" s="16" t="n">
        <v>8</v>
      </c>
      <c r="J4" s="16" t="n">
        <v>9</v>
      </c>
      <c r="K4" s="16" t="n">
        <v>10</v>
      </c>
      <c r="L4" s="16" t="n">
        <v>11</v>
      </c>
      <c r="M4" s="16" t="n">
        <v>12</v>
      </c>
      <c r="N4" s="16" t="n">
        <v>13</v>
      </c>
      <c r="O4" s="16" t="n">
        <v>14</v>
      </c>
      <c r="P4" s="16" t="n">
        <v>15</v>
      </c>
      <c r="Q4" s="16" t="n">
        <v>16</v>
      </c>
      <c r="R4" s="16" t="n">
        <v>17</v>
      </c>
      <c r="S4" s="16" t="n">
        <v>18</v>
      </c>
      <c r="T4" s="16" t="n">
        <v>19</v>
      </c>
      <c r="U4" s="16" t="n">
        <v>20</v>
      </c>
      <c r="V4" s="16" t="n">
        <v>21</v>
      </c>
      <c r="W4" s="16" t="n">
        <v>22</v>
      </c>
      <c r="X4" s="16" t="n">
        <v>23</v>
      </c>
      <c r="Y4" s="16" t="n">
        <v>24</v>
      </c>
      <c r="Z4" s="15" t="s">
        <v>111</v>
      </c>
      <c r="AA4" s="15" t="s">
        <v>112</v>
      </c>
      <c r="AB4" s="15" t="s">
        <v>113</v>
      </c>
    </row>
    <row r="5" customFormat="false" ht="15" hidden="false" customHeight="false" outlineLevel="0" collapsed="false">
      <c r="A5" s="4" t="s">
        <v>114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7" t="s">
        <v>115</v>
      </c>
      <c r="B6" s="18" t="n">
        <f aca="false">MIN(Assumptions!$B$7,Assumptions!$B$6+(Assumptions!$B$7-Assumptions!$B$6)*(1-1)/5)</f>
        <v>650</v>
      </c>
      <c r="C6" s="18" t="n">
        <f aca="false">MIN(Assumptions!$B$7,Assumptions!$B$6+(Assumptions!$B$7-Assumptions!$B$6)*(2-1)/5)</f>
        <v>700</v>
      </c>
      <c r="D6" s="18" t="n">
        <f aca="false">MIN(Assumptions!$B$7,Assumptions!$B$6+(Assumptions!$B$7-Assumptions!$B$6)*(3-1)/5)</f>
        <v>750</v>
      </c>
      <c r="E6" s="18" t="n">
        <f aca="false">MIN(Assumptions!$B$7,Assumptions!$B$6+(Assumptions!$B$7-Assumptions!$B$6)*(4-1)/5)</f>
        <v>800</v>
      </c>
      <c r="F6" s="18" t="n">
        <f aca="false">MIN(Assumptions!$B$7,Assumptions!$B$6+(Assumptions!$B$7-Assumptions!$B$6)*(5-1)/5)</f>
        <v>850</v>
      </c>
      <c r="G6" s="18" t="n">
        <f aca="false">MIN(Assumptions!$B$7,Assumptions!$B$6+(Assumptions!$B$7-Assumptions!$B$6)*(6-1)/5)</f>
        <v>900</v>
      </c>
      <c r="H6" s="18" t="n">
        <f aca="false">MIN(Assumptions!$B$7,Assumptions!$B$6+(Assumptions!$B$7-Assumptions!$B$6)*(7-1)/5)</f>
        <v>900</v>
      </c>
      <c r="I6" s="18" t="n">
        <f aca="false">MIN(Assumptions!$B$7,Assumptions!$B$6+(Assumptions!$B$7-Assumptions!$B$6)*(8-1)/5)</f>
        <v>900</v>
      </c>
      <c r="J6" s="18" t="n">
        <f aca="false">MIN(Assumptions!$B$7,Assumptions!$B$6+(Assumptions!$B$7-Assumptions!$B$6)*(9-1)/5)</f>
        <v>900</v>
      </c>
      <c r="K6" s="18" t="n">
        <f aca="false">MIN(Assumptions!$B$7,Assumptions!$B$6+(Assumptions!$B$7-Assumptions!$B$6)*(10-1)/5)</f>
        <v>900</v>
      </c>
      <c r="L6" s="18" t="n">
        <f aca="false">MIN(Assumptions!$B$7,Assumptions!$B$6+(Assumptions!$B$7-Assumptions!$B$6)*(11-1)/5)</f>
        <v>900</v>
      </c>
      <c r="M6" s="18" t="n">
        <f aca="false">MIN(Assumptions!$B$7,Assumptions!$B$6+(Assumptions!$B$7-Assumptions!$B$6)*(12-1)/5)</f>
        <v>900</v>
      </c>
      <c r="N6" s="18" t="n">
        <f aca="false">MIN(Assumptions!$B$7,Assumptions!$B$6+(Assumptions!$B$7-Assumptions!$B$6)*(13-1)/5)</f>
        <v>900</v>
      </c>
      <c r="O6" s="18" t="n">
        <f aca="false">MIN(Assumptions!$B$7,Assumptions!$B$6+(Assumptions!$B$7-Assumptions!$B$6)*(14-1)/5)</f>
        <v>900</v>
      </c>
      <c r="P6" s="18" t="n">
        <f aca="false">MIN(Assumptions!$B$7,Assumptions!$B$6+(Assumptions!$B$7-Assumptions!$B$6)*(15-1)/5)</f>
        <v>900</v>
      </c>
      <c r="Q6" s="18" t="n">
        <f aca="false">MIN(Assumptions!$B$7,Assumptions!$B$6+(Assumptions!$B$7-Assumptions!$B$6)*(16-1)/5)</f>
        <v>900</v>
      </c>
      <c r="R6" s="18" t="n">
        <f aca="false">MIN(Assumptions!$B$7,Assumptions!$B$6+(Assumptions!$B$7-Assumptions!$B$6)*(17-1)/5)</f>
        <v>900</v>
      </c>
      <c r="S6" s="18" t="n">
        <f aca="false">MIN(Assumptions!$B$7,Assumptions!$B$6+(Assumptions!$B$7-Assumptions!$B$6)*(18-1)/5)</f>
        <v>900</v>
      </c>
      <c r="T6" s="18" t="n">
        <f aca="false">MIN(Assumptions!$B$7,Assumptions!$B$6+(Assumptions!$B$7-Assumptions!$B$6)*(19-1)/5)</f>
        <v>900</v>
      </c>
      <c r="U6" s="18" t="n">
        <f aca="false">MIN(Assumptions!$B$7,Assumptions!$B$6+(Assumptions!$B$7-Assumptions!$B$6)*(20-1)/5)</f>
        <v>900</v>
      </c>
      <c r="V6" s="18" t="n">
        <f aca="false">MIN(Assumptions!$B$7,Assumptions!$B$6+(Assumptions!$B$7-Assumptions!$B$6)*(21-1)/5)</f>
        <v>900</v>
      </c>
      <c r="W6" s="18" t="n">
        <f aca="false">MIN(Assumptions!$B$7,Assumptions!$B$6+(Assumptions!$B$7-Assumptions!$B$6)*(22-1)/5)</f>
        <v>900</v>
      </c>
      <c r="X6" s="18" t="n">
        <f aca="false">MIN(Assumptions!$B$7,Assumptions!$B$6+(Assumptions!$B$7-Assumptions!$B$6)*(23-1)/5)</f>
        <v>900</v>
      </c>
      <c r="Y6" s="18" t="n">
        <f aca="false">MIN(Assumptions!$B$7,Assumptions!$B$6+(Assumptions!$B$7-Assumptions!$B$6)*(24-1)/5)</f>
        <v>900</v>
      </c>
      <c r="Z6" s="18" t="n">
        <f aca="false">SUM(B6:M6)</f>
        <v>10050</v>
      </c>
      <c r="AA6" s="18" t="n">
        <f aca="false">SUM(N6:Y6)</f>
        <v>10800</v>
      </c>
      <c r="AB6" s="18" t="n">
        <f aca="false">SUM(B6:Y6)</f>
        <v>20850</v>
      </c>
    </row>
    <row r="7" customFormat="false" ht="15" hidden="false" customHeight="false" outlineLevel="0" collapsed="false">
      <c r="A7" s="17" t="s">
        <v>116</v>
      </c>
      <c r="B7" s="18" t="n">
        <f aca="false">IF(1&lt;Assumptions!$B$8,0,MIN(Assumptions!$B$10,Assumptions!$B$9+(Assumptions!$B$10-Assumptions!$B$9)*(1-Assumptions!$B$8)/3))</f>
        <v>0</v>
      </c>
      <c r="C7" s="18" t="n">
        <f aca="false">IF(2&lt;Assumptions!$B$8,0,MIN(Assumptions!$B$10,Assumptions!$B$9+(Assumptions!$B$10-Assumptions!$B$9)*(2-Assumptions!$B$8)/3))</f>
        <v>0</v>
      </c>
      <c r="D7" s="18" t="n">
        <f aca="false">IF(3&lt;Assumptions!$B$8,0,MIN(Assumptions!$B$10,Assumptions!$B$9+(Assumptions!$B$10-Assumptions!$B$9)*(3-Assumptions!$B$8)/3))</f>
        <v>0</v>
      </c>
      <c r="E7" s="18" t="n">
        <f aca="false">IF(4&lt;Assumptions!$B$8,0,MIN(Assumptions!$B$10,Assumptions!$B$9+(Assumptions!$B$10-Assumptions!$B$9)*(4-Assumptions!$B$8)/3))</f>
        <v>0</v>
      </c>
      <c r="F7" s="18" t="n">
        <f aca="false">IF(5&lt;Assumptions!$B$8,0,MIN(Assumptions!$B$10,Assumptions!$B$9+(Assumptions!$B$10-Assumptions!$B$9)*(5-Assumptions!$B$8)/3))</f>
        <v>0</v>
      </c>
      <c r="G7" s="18" t="n">
        <f aca="false">IF(6&lt;Assumptions!$B$8,0,MIN(Assumptions!$B$10,Assumptions!$B$9+(Assumptions!$B$10-Assumptions!$B$9)*(6-Assumptions!$B$8)/3))</f>
        <v>0</v>
      </c>
      <c r="H7" s="18" t="n">
        <f aca="false">IF(7&lt;Assumptions!$B$8,0,MIN(Assumptions!$B$10,Assumptions!$B$9+(Assumptions!$B$10-Assumptions!$B$9)*(7-Assumptions!$B$8)/3))</f>
        <v>500</v>
      </c>
      <c r="I7" s="18" t="n">
        <f aca="false">IF(8&lt;Assumptions!$B$8,0,MIN(Assumptions!$B$10,Assumptions!$B$9+(Assumptions!$B$10-Assumptions!$B$9)*(8-Assumptions!$B$8)/3))</f>
        <v>633.333333333333</v>
      </c>
      <c r="J7" s="18" t="n">
        <f aca="false">IF(9&lt;Assumptions!$B$8,0,MIN(Assumptions!$B$10,Assumptions!$B$9+(Assumptions!$B$10-Assumptions!$B$9)*(9-Assumptions!$B$8)/3))</f>
        <v>766.666666666667</v>
      </c>
      <c r="K7" s="18" t="n">
        <f aca="false">IF(10&lt;Assumptions!$B$8,0,MIN(Assumptions!$B$10,Assumptions!$B$9+(Assumptions!$B$10-Assumptions!$B$9)*(10-Assumptions!$B$8)/3))</f>
        <v>900</v>
      </c>
      <c r="L7" s="18" t="n">
        <f aca="false">IF(11&lt;Assumptions!$B$8,0,MIN(Assumptions!$B$10,Assumptions!$B$9+(Assumptions!$B$10-Assumptions!$B$9)*(11-Assumptions!$B$8)/3))</f>
        <v>900</v>
      </c>
      <c r="M7" s="18" t="n">
        <f aca="false">IF(12&lt;Assumptions!$B$8,0,MIN(Assumptions!$B$10,Assumptions!$B$9+(Assumptions!$B$10-Assumptions!$B$9)*(12-Assumptions!$B$8)/3))</f>
        <v>900</v>
      </c>
      <c r="N7" s="18" t="n">
        <f aca="false">IF(13&lt;Assumptions!$B$8,0,MIN(Assumptions!$B$10,Assumptions!$B$9+(Assumptions!$B$10-Assumptions!$B$9)*(13-Assumptions!$B$8)/3))</f>
        <v>900</v>
      </c>
      <c r="O7" s="18" t="n">
        <f aca="false">IF(14&lt;Assumptions!$B$8,0,MIN(Assumptions!$B$10,Assumptions!$B$9+(Assumptions!$B$10-Assumptions!$B$9)*(14-Assumptions!$B$8)/3))</f>
        <v>900</v>
      </c>
      <c r="P7" s="18" t="n">
        <f aca="false">IF(15&lt;Assumptions!$B$8,0,MIN(Assumptions!$B$10,Assumptions!$B$9+(Assumptions!$B$10-Assumptions!$B$9)*(15-Assumptions!$B$8)/3))</f>
        <v>900</v>
      </c>
      <c r="Q7" s="18" t="n">
        <f aca="false">IF(16&lt;Assumptions!$B$8,0,MIN(Assumptions!$B$10,Assumptions!$B$9+(Assumptions!$B$10-Assumptions!$B$9)*(16-Assumptions!$B$8)/3))</f>
        <v>900</v>
      </c>
      <c r="R7" s="18" t="n">
        <f aca="false">IF(17&lt;Assumptions!$B$8,0,MIN(Assumptions!$B$10,Assumptions!$B$9+(Assumptions!$B$10-Assumptions!$B$9)*(17-Assumptions!$B$8)/3))</f>
        <v>900</v>
      </c>
      <c r="S7" s="18" t="n">
        <f aca="false">IF(18&lt;Assumptions!$B$8,0,MIN(Assumptions!$B$10,Assumptions!$B$9+(Assumptions!$B$10-Assumptions!$B$9)*(18-Assumptions!$B$8)/3))</f>
        <v>900</v>
      </c>
      <c r="T7" s="18" t="n">
        <f aca="false">IF(19&lt;Assumptions!$B$8,0,MIN(Assumptions!$B$10,Assumptions!$B$9+(Assumptions!$B$10-Assumptions!$B$9)*(19-Assumptions!$B$8)/3))</f>
        <v>900</v>
      </c>
      <c r="U7" s="18" t="n">
        <f aca="false">IF(20&lt;Assumptions!$B$8,0,MIN(Assumptions!$B$10,Assumptions!$B$9+(Assumptions!$B$10-Assumptions!$B$9)*(20-Assumptions!$B$8)/3))</f>
        <v>900</v>
      </c>
      <c r="V7" s="18" t="n">
        <f aca="false">IF(21&lt;Assumptions!$B$8,0,MIN(Assumptions!$B$10,Assumptions!$B$9+(Assumptions!$B$10-Assumptions!$B$9)*(21-Assumptions!$B$8)/3))</f>
        <v>900</v>
      </c>
      <c r="W7" s="18" t="n">
        <f aca="false">IF(22&lt;Assumptions!$B$8,0,MIN(Assumptions!$B$10,Assumptions!$B$9+(Assumptions!$B$10-Assumptions!$B$9)*(22-Assumptions!$B$8)/3))</f>
        <v>900</v>
      </c>
      <c r="X7" s="18" t="n">
        <f aca="false">IF(23&lt;Assumptions!$B$8,0,MIN(Assumptions!$B$10,Assumptions!$B$9+(Assumptions!$B$10-Assumptions!$B$9)*(23-Assumptions!$B$8)/3))</f>
        <v>900</v>
      </c>
      <c r="Y7" s="18" t="n">
        <f aca="false">IF(24&lt;Assumptions!$B$8,0,MIN(Assumptions!$B$10,Assumptions!$B$9+(Assumptions!$B$10-Assumptions!$B$9)*(24-Assumptions!$B$8)/3))</f>
        <v>900</v>
      </c>
      <c r="Z7" s="18" t="n">
        <f aca="false">SUM(B7:M7)</f>
        <v>4600</v>
      </c>
      <c r="AA7" s="18" t="n">
        <f aca="false">SUM(N7:Y7)</f>
        <v>10800</v>
      </c>
      <c r="AB7" s="18" t="n">
        <f aca="false">SUM(B7:Y7)</f>
        <v>15400</v>
      </c>
    </row>
    <row r="8" customFormat="false" ht="15" hidden="false" customHeight="false" outlineLevel="0" collapsed="false">
      <c r="A8" s="15" t="s">
        <v>117</v>
      </c>
      <c r="B8" s="19" t="n">
        <f aca="false">B6+B7</f>
        <v>650</v>
      </c>
      <c r="C8" s="19" t="n">
        <f aca="false">C6+C7</f>
        <v>700</v>
      </c>
      <c r="D8" s="19" t="n">
        <f aca="false">D6+D7</f>
        <v>750</v>
      </c>
      <c r="E8" s="19" t="n">
        <f aca="false">E6+E7</f>
        <v>800</v>
      </c>
      <c r="F8" s="19" t="n">
        <f aca="false">F6+F7</f>
        <v>850</v>
      </c>
      <c r="G8" s="19" t="n">
        <f aca="false">G6+G7</f>
        <v>900</v>
      </c>
      <c r="H8" s="19" t="n">
        <f aca="false">H6+H7</f>
        <v>1400</v>
      </c>
      <c r="I8" s="19" t="n">
        <f aca="false">I6+I7</f>
        <v>1533.33333333333</v>
      </c>
      <c r="J8" s="19" t="n">
        <f aca="false">J6+J7</f>
        <v>1666.66666666667</v>
      </c>
      <c r="K8" s="19" t="n">
        <f aca="false">K6+K7</f>
        <v>1800</v>
      </c>
      <c r="L8" s="19" t="n">
        <f aca="false">L6+L7</f>
        <v>1800</v>
      </c>
      <c r="M8" s="19" t="n">
        <f aca="false">M6+M7</f>
        <v>1800</v>
      </c>
      <c r="N8" s="19" t="n">
        <f aca="false">N6+N7</f>
        <v>1800</v>
      </c>
      <c r="O8" s="19" t="n">
        <f aca="false">O6+O7</f>
        <v>1800</v>
      </c>
      <c r="P8" s="19" t="n">
        <f aca="false">P6+P7</f>
        <v>1800</v>
      </c>
      <c r="Q8" s="19" t="n">
        <f aca="false">Q6+Q7</f>
        <v>1800</v>
      </c>
      <c r="R8" s="19" t="n">
        <f aca="false">R6+R7</f>
        <v>1800</v>
      </c>
      <c r="S8" s="19" t="n">
        <f aca="false">S6+S7</f>
        <v>1800</v>
      </c>
      <c r="T8" s="19" t="n">
        <f aca="false">T6+T7</f>
        <v>1800</v>
      </c>
      <c r="U8" s="19" t="n">
        <f aca="false">U6+U7</f>
        <v>1800</v>
      </c>
      <c r="V8" s="19" t="n">
        <f aca="false">V6+V7</f>
        <v>1800</v>
      </c>
      <c r="W8" s="19" t="n">
        <f aca="false">W6+W7</f>
        <v>1800</v>
      </c>
      <c r="X8" s="19" t="n">
        <f aca="false">X6+X7</f>
        <v>1800</v>
      </c>
      <c r="Y8" s="19" t="n">
        <f aca="false">Y6+Y7</f>
        <v>1800</v>
      </c>
      <c r="Z8" s="19" t="n">
        <f aca="false">SUM(B8:M8)</f>
        <v>14650</v>
      </c>
      <c r="AA8" s="19" t="n">
        <f aca="false">SUM(N8:Y8)</f>
        <v>21600</v>
      </c>
      <c r="AB8" s="19" t="n">
        <f aca="false">SUM(B8:Y8)</f>
        <v>36250</v>
      </c>
    </row>
    <row r="9" customFormat="false" ht="15" hidden="false" customHeight="false" outlineLevel="0" collapsed="false">
      <c r="A9" s="4" t="s">
        <v>118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7" t="s">
        <v>119</v>
      </c>
      <c r="B10" s="18" t="n">
        <f aca="false">Assumptions!$B$34*IF(1&gt;=Assumptions!$B$8,Assumptions!$B$43,1)/Assumptions!$B$35</f>
        <v>15.2542372881356</v>
      </c>
      <c r="C10" s="18" t="n">
        <f aca="false">Assumptions!$B$34*IF(2&gt;=Assumptions!$B$8,Assumptions!$B$43,1)/Assumptions!$B$35</f>
        <v>15.2542372881356</v>
      </c>
      <c r="D10" s="18" t="n">
        <f aca="false">Assumptions!$B$34*IF(3&gt;=Assumptions!$B$8,Assumptions!$B$43,1)/Assumptions!$B$35</f>
        <v>15.2542372881356</v>
      </c>
      <c r="E10" s="18" t="n">
        <f aca="false">Assumptions!$B$34*IF(4&gt;=Assumptions!$B$8,Assumptions!$B$43,1)/Assumptions!$B$35</f>
        <v>15.2542372881356</v>
      </c>
      <c r="F10" s="18" t="n">
        <f aca="false">Assumptions!$B$34*IF(5&gt;=Assumptions!$B$8,Assumptions!$B$43,1)/Assumptions!$B$35</f>
        <v>15.2542372881356</v>
      </c>
      <c r="G10" s="18" t="n">
        <f aca="false">Assumptions!$B$34*IF(6&gt;=Assumptions!$B$8,Assumptions!$B$43,1)/Assumptions!$B$35</f>
        <v>15.2542372881356</v>
      </c>
      <c r="H10" s="18" t="n">
        <f aca="false">Assumptions!$B$34*IF(7&gt;=Assumptions!$B$8,Assumptions!$B$43,1)/Assumptions!$B$35</f>
        <v>24.4067796610169</v>
      </c>
      <c r="I10" s="18" t="n">
        <f aca="false">Assumptions!$B$34*IF(8&gt;=Assumptions!$B$8,Assumptions!$B$43,1)/Assumptions!$B$35</f>
        <v>24.4067796610169</v>
      </c>
      <c r="J10" s="18" t="n">
        <f aca="false">Assumptions!$B$34*IF(9&gt;=Assumptions!$B$8,Assumptions!$B$43,1)/Assumptions!$B$35</f>
        <v>24.4067796610169</v>
      </c>
      <c r="K10" s="18" t="n">
        <f aca="false">Assumptions!$B$34*IF(10&gt;=Assumptions!$B$8,Assumptions!$B$43,1)/Assumptions!$B$35</f>
        <v>24.4067796610169</v>
      </c>
      <c r="L10" s="18" t="n">
        <f aca="false">Assumptions!$B$34*IF(11&gt;=Assumptions!$B$8,Assumptions!$B$43,1)/Assumptions!$B$35</f>
        <v>24.4067796610169</v>
      </c>
      <c r="M10" s="18" t="n">
        <f aca="false">Assumptions!$B$34*IF(12&gt;=Assumptions!$B$8,Assumptions!$B$43,1)/Assumptions!$B$35</f>
        <v>24.4067796610169</v>
      </c>
      <c r="N10" s="18" t="n">
        <f aca="false">Assumptions!$B$34*IF(13&gt;=Assumptions!$B$8,Assumptions!$B$43,1)/Assumptions!$B$35</f>
        <v>24.4067796610169</v>
      </c>
      <c r="O10" s="18" t="n">
        <f aca="false">Assumptions!$B$34*IF(14&gt;=Assumptions!$B$8,Assumptions!$B$43,1)/Assumptions!$B$35</f>
        <v>24.4067796610169</v>
      </c>
      <c r="P10" s="18" t="n">
        <f aca="false">Assumptions!$B$34*IF(15&gt;=Assumptions!$B$8,Assumptions!$B$43,1)/Assumptions!$B$35</f>
        <v>24.4067796610169</v>
      </c>
      <c r="Q10" s="18" t="n">
        <f aca="false">Assumptions!$B$34*IF(16&gt;=Assumptions!$B$8,Assumptions!$B$43,1)/Assumptions!$B$35</f>
        <v>24.4067796610169</v>
      </c>
      <c r="R10" s="18" t="n">
        <f aca="false">Assumptions!$B$34*IF(17&gt;=Assumptions!$B$8,Assumptions!$B$43,1)/Assumptions!$B$35</f>
        <v>24.4067796610169</v>
      </c>
      <c r="S10" s="18" t="n">
        <f aca="false">Assumptions!$B$34*IF(18&gt;=Assumptions!$B$8,Assumptions!$B$43,1)/Assumptions!$B$35</f>
        <v>24.4067796610169</v>
      </c>
      <c r="T10" s="18" t="n">
        <f aca="false">Assumptions!$B$34*IF(19&gt;=Assumptions!$B$8,Assumptions!$B$43,1)/Assumptions!$B$35</f>
        <v>24.4067796610169</v>
      </c>
      <c r="U10" s="18" t="n">
        <f aca="false">Assumptions!$B$34*IF(20&gt;=Assumptions!$B$8,Assumptions!$B$43,1)/Assumptions!$B$35</f>
        <v>24.4067796610169</v>
      </c>
      <c r="V10" s="18" t="n">
        <f aca="false">Assumptions!$B$34*IF(21&gt;=Assumptions!$B$8,Assumptions!$B$43,1)/Assumptions!$B$35</f>
        <v>24.4067796610169</v>
      </c>
      <c r="W10" s="18" t="n">
        <f aca="false">Assumptions!$B$34*IF(22&gt;=Assumptions!$B$8,Assumptions!$B$43,1)/Assumptions!$B$35</f>
        <v>24.4067796610169</v>
      </c>
      <c r="X10" s="18" t="n">
        <f aca="false">Assumptions!$B$34*IF(23&gt;=Assumptions!$B$8,Assumptions!$B$43,1)/Assumptions!$B$35</f>
        <v>24.4067796610169</v>
      </c>
      <c r="Y10" s="18" t="n">
        <f aca="false">Assumptions!$B$34*IF(24&gt;=Assumptions!$B$8,Assumptions!$B$43,1)/Assumptions!$B$35</f>
        <v>24.4067796610169</v>
      </c>
      <c r="Z10" s="18" t="n">
        <f aca="false">SUM(B10:M10)</f>
        <v>237.966101694915</v>
      </c>
      <c r="AA10" s="18" t="n">
        <f aca="false">SUM(N10:Y10)</f>
        <v>292.881355932203</v>
      </c>
      <c r="AB10" s="18" t="n">
        <f aca="false">SUM(B10:Y10)</f>
        <v>530.847457627119</v>
      </c>
    </row>
    <row r="11" customFormat="false" ht="15" hidden="false" customHeight="false" outlineLevel="0" collapsed="false">
      <c r="A11" s="17" t="s">
        <v>120</v>
      </c>
      <c r="B11" s="18" t="n">
        <f aca="false">IF(1&gt;=2,Assumptions!$B$37*IF(1&gt;=Assumptions!$B$8,Assumptions!$B$43,1)/Assumptions!$B$38,0)</f>
        <v>0</v>
      </c>
      <c r="C11" s="18" t="n">
        <f aca="false">IF(2&gt;=2,Assumptions!$B$37*IF(2&gt;=Assumptions!$B$8,Assumptions!$B$43,1)/Assumptions!$B$38,0)</f>
        <v>10.9090909090909</v>
      </c>
      <c r="D11" s="18" t="n">
        <f aca="false">IF(3&gt;=2,Assumptions!$B$37*IF(3&gt;=Assumptions!$B$8,Assumptions!$B$43,1)/Assumptions!$B$38,0)</f>
        <v>10.9090909090909</v>
      </c>
      <c r="E11" s="18" t="n">
        <f aca="false">IF(4&gt;=2,Assumptions!$B$37*IF(4&gt;=Assumptions!$B$8,Assumptions!$B$43,1)/Assumptions!$B$38,0)</f>
        <v>10.9090909090909</v>
      </c>
      <c r="F11" s="18" t="n">
        <f aca="false">IF(5&gt;=2,Assumptions!$B$37*IF(5&gt;=Assumptions!$B$8,Assumptions!$B$43,1)/Assumptions!$B$38,0)</f>
        <v>10.9090909090909</v>
      </c>
      <c r="G11" s="18" t="n">
        <f aca="false">IF(6&gt;=2,Assumptions!$B$37*IF(6&gt;=Assumptions!$B$8,Assumptions!$B$43,1)/Assumptions!$B$38,0)</f>
        <v>10.9090909090909</v>
      </c>
      <c r="H11" s="18" t="n">
        <f aca="false">IF(7&gt;=2,Assumptions!$B$37*IF(7&gt;=Assumptions!$B$8,Assumptions!$B$43,1)/Assumptions!$B$38,0)</f>
        <v>17.4545454545455</v>
      </c>
      <c r="I11" s="18" t="n">
        <f aca="false">IF(8&gt;=2,Assumptions!$B$37*IF(8&gt;=Assumptions!$B$8,Assumptions!$B$43,1)/Assumptions!$B$38,0)</f>
        <v>17.4545454545455</v>
      </c>
      <c r="J11" s="18" t="n">
        <f aca="false">IF(9&gt;=2,Assumptions!$B$37*IF(9&gt;=Assumptions!$B$8,Assumptions!$B$43,1)/Assumptions!$B$38,0)</f>
        <v>17.4545454545455</v>
      </c>
      <c r="K11" s="18" t="n">
        <f aca="false">IF(10&gt;=2,Assumptions!$B$37*IF(10&gt;=Assumptions!$B$8,Assumptions!$B$43,1)/Assumptions!$B$38,0)</f>
        <v>17.4545454545455</v>
      </c>
      <c r="L11" s="18" t="n">
        <f aca="false">IF(11&gt;=2,Assumptions!$B$37*IF(11&gt;=Assumptions!$B$8,Assumptions!$B$43,1)/Assumptions!$B$38,0)</f>
        <v>17.4545454545455</v>
      </c>
      <c r="M11" s="18" t="n">
        <f aca="false">IF(12&gt;=2,Assumptions!$B$37*IF(12&gt;=Assumptions!$B$8,Assumptions!$B$43,1)/Assumptions!$B$38,0)</f>
        <v>17.4545454545455</v>
      </c>
      <c r="N11" s="18" t="n">
        <f aca="false">IF(13&gt;=2,Assumptions!$B$37*IF(13&gt;=Assumptions!$B$8,Assumptions!$B$43,1)/Assumptions!$B$38,0)</f>
        <v>17.4545454545455</v>
      </c>
      <c r="O11" s="18" t="n">
        <f aca="false">IF(14&gt;=2,Assumptions!$B$37*IF(14&gt;=Assumptions!$B$8,Assumptions!$B$43,1)/Assumptions!$B$38,0)</f>
        <v>17.4545454545455</v>
      </c>
      <c r="P11" s="18" t="n">
        <f aca="false">IF(15&gt;=2,Assumptions!$B$37*IF(15&gt;=Assumptions!$B$8,Assumptions!$B$43,1)/Assumptions!$B$38,0)</f>
        <v>17.4545454545455</v>
      </c>
      <c r="Q11" s="18" t="n">
        <f aca="false">IF(16&gt;=2,Assumptions!$B$37*IF(16&gt;=Assumptions!$B$8,Assumptions!$B$43,1)/Assumptions!$B$38,0)</f>
        <v>17.4545454545455</v>
      </c>
      <c r="R11" s="18" t="n">
        <f aca="false">IF(17&gt;=2,Assumptions!$B$37*IF(17&gt;=Assumptions!$B$8,Assumptions!$B$43,1)/Assumptions!$B$38,0)</f>
        <v>17.4545454545455</v>
      </c>
      <c r="S11" s="18" t="n">
        <f aca="false">IF(18&gt;=2,Assumptions!$B$37*IF(18&gt;=Assumptions!$B$8,Assumptions!$B$43,1)/Assumptions!$B$38,0)</f>
        <v>17.4545454545455</v>
      </c>
      <c r="T11" s="18" t="n">
        <f aca="false">IF(19&gt;=2,Assumptions!$B$37*IF(19&gt;=Assumptions!$B$8,Assumptions!$B$43,1)/Assumptions!$B$38,0)</f>
        <v>17.4545454545455</v>
      </c>
      <c r="U11" s="18" t="n">
        <f aca="false">IF(20&gt;=2,Assumptions!$B$37*IF(20&gt;=Assumptions!$B$8,Assumptions!$B$43,1)/Assumptions!$B$38,0)</f>
        <v>17.4545454545455</v>
      </c>
      <c r="V11" s="18" t="n">
        <f aca="false">IF(21&gt;=2,Assumptions!$B$37*IF(21&gt;=Assumptions!$B$8,Assumptions!$B$43,1)/Assumptions!$B$38,0)</f>
        <v>17.4545454545455</v>
      </c>
      <c r="W11" s="18" t="n">
        <f aca="false">IF(22&gt;=2,Assumptions!$B$37*IF(22&gt;=Assumptions!$B$8,Assumptions!$B$43,1)/Assumptions!$B$38,0)</f>
        <v>17.4545454545455</v>
      </c>
      <c r="X11" s="18" t="n">
        <f aca="false">IF(23&gt;=2,Assumptions!$B$37*IF(23&gt;=Assumptions!$B$8,Assumptions!$B$43,1)/Assumptions!$B$38,0)</f>
        <v>17.4545454545455</v>
      </c>
      <c r="Y11" s="18" t="n">
        <f aca="false">IF(24&gt;=2,Assumptions!$B$37*IF(24&gt;=Assumptions!$B$8,Assumptions!$B$43,1)/Assumptions!$B$38,0)</f>
        <v>17.4545454545455</v>
      </c>
      <c r="Z11" s="18" t="n">
        <f aca="false">SUM(B11:M11)</f>
        <v>159.272727272727</v>
      </c>
      <c r="AA11" s="18" t="n">
        <f aca="false">SUM(N11:Y11)</f>
        <v>209.454545454545</v>
      </c>
      <c r="AB11" s="18" t="n">
        <f aca="false">SUM(B11:Y11)</f>
        <v>368.727272727273</v>
      </c>
    </row>
    <row r="12" customFormat="false" ht="15" hidden="false" customHeight="false" outlineLevel="0" collapsed="false">
      <c r="A12" s="17" t="s">
        <v>121</v>
      </c>
      <c r="B12" s="18" t="n">
        <f aca="false">Assumptions!$B$40*(1+Assumptions!$B$41)^(1-1)</f>
        <v>6</v>
      </c>
      <c r="C12" s="18" t="n">
        <f aca="false">Assumptions!$B$40*(1+Assumptions!$B$41)^(2-1)</f>
        <v>6.36</v>
      </c>
      <c r="D12" s="18" t="n">
        <f aca="false">Assumptions!$B$40*(1+Assumptions!$B$41)^(3-1)</f>
        <v>6.7416</v>
      </c>
      <c r="E12" s="18" t="n">
        <f aca="false">Assumptions!$B$40*(1+Assumptions!$B$41)^(4-1)</f>
        <v>7.146096</v>
      </c>
      <c r="F12" s="18" t="n">
        <f aca="false">Assumptions!$B$40*(1+Assumptions!$B$41)^(5-1)</f>
        <v>7.57486176</v>
      </c>
      <c r="G12" s="18" t="n">
        <f aca="false">Assumptions!$B$40*(1+Assumptions!$B$41)^(6-1)</f>
        <v>8.0293534656</v>
      </c>
      <c r="H12" s="18" t="n">
        <f aca="false">Assumptions!$B$40*(1+Assumptions!$B$41)^(7-1)</f>
        <v>8.511114673536</v>
      </c>
      <c r="I12" s="18" t="n">
        <f aca="false">Assumptions!$B$40*(1+Assumptions!$B$41)^(8-1)</f>
        <v>9.02178155394816</v>
      </c>
      <c r="J12" s="18" t="n">
        <f aca="false">Assumptions!$B$40*(1+Assumptions!$B$41)^(9-1)</f>
        <v>9.56308844718505</v>
      </c>
      <c r="K12" s="18" t="n">
        <f aca="false">Assumptions!$B$40*(1+Assumptions!$B$41)^(10-1)</f>
        <v>10.1368737540162</v>
      </c>
      <c r="L12" s="18" t="n">
        <f aca="false">Assumptions!$B$40*(1+Assumptions!$B$41)^(11-1)</f>
        <v>10.7450861792571</v>
      </c>
      <c r="M12" s="18" t="n">
        <f aca="false">Assumptions!$B$40*(1+Assumptions!$B$41)^(12-1)</f>
        <v>11.3897913500126</v>
      </c>
      <c r="N12" s="18" t="n">
        <f aca="false">Assumptions!$B$40*(1+Assumptions!$B$41)^(13-1)</f>
        <v>12.0731788310133</v>
      </c>
      <c r="O12" s="18" t="n">
        <f aca="false">Assumptions!$B$40*(1+Assumptions!$B$41)^(14-1)</f>
        <v>12.7975695608741</v>
      </c>
      <c r="P12" s="18" t="n">
        <f aca="false">Assumptions!$B$40*(1+Assumptions!$B$41)^(15-1)</f>
        <v>13.5654237345266</v>
      </c>
      <c r="Q12" s="18" t="n">
        <f aca="false">Assumptions!$B$40*(1+Assumptions!$B$41)^(16-1)</f>
        <v>14.3793491585982</v>
      </c>
      <c r="R12" s="18" t="n">
        <f aca="false">Assumptions!$B$40*(1+Assumptions!$B$41)^(17-1)</f>
        <v>15.242110108114</v>
      </c>
      <c r="S12" s="18" t="n">
        <f aca="false">Assumptions!$B$40*(1+Assumptions!$B$41)^(18-1)</f>
        <v>16.1566367146009</v>
      </c>
      <c r="T12" s="18" t="n">
        <f aca="false">Assumptions!$B$40*(1+Assumptions!$B$41)^(19-1)</f>
        <v>17.1260349174769</v>
      </c>
      <c r="U12" s="18" t="n">
        <f aca="false">Assumptions!$B$40*(1+Assumptions!$B$41)^(20-1)</f>
        <v>18.1535970125256</v>
      </c>
      <c r="V12" s="18" t="n">
        <f aca="false">Assumptions!$B$40*(1+Assumptions!$B$41)^(21-1)</f>
        <v>19.2428128332771</v>
      </c>
      <c r="W12" s="18" t="n">
        <f aca="false">Assumptions!$B$40*(1+Assumptions!$B$41)^(22-1)</f>
        <v>20.3973816032737</v>
      </c>
      <c r="X12" s="18" t="n">
        <f aca="false">Assumptions!$B$40*(1+Assumptions!$B$41)^(23-1)</f>
        <v>21.6212244994701</v>
      </c>
      <c r="Y12" s="18" t="n">
        <f aca="false">Assumptions!$B$40*(1+Assumptions!$B$41)^(24-1)</f>
        <v>22.9184979694384</v>
      </c>
      <c r="Z12" s="18" t="n">
        <f aca="false">SUM(B12:M12)</f>
        <v>101.219647183555</v>
      </c>
      <c r="AA12" s="18" t="n">
        <f aca="false">SUM(N12:Y12)</f>
        <v>203.673816943189</v>
      </c>
      <c r="AB12" s="18" t="n">
        <f aca="false">SUM(B12:Y12)</f>
        <v>304.893464126744</v>
      </c>
    </row>
    <row r="13" customFormat="false" ht="15" hidden="false" customHeight="false" outlineLevel="0" collapsed="false">
      <c r="A13" s="15" t="s">
        <v>122</v>
      </c>
      <c r="B13" s="19" t="n">
        <f aca="false">B10+B11+B12</f>
        <v>21.2542372881356</v>
      </c>
      <c r="C13" s="19" t="n">
        <f aca="false">C10+C11+C12</f>
        <v>32.5233281972265</v>
      </c>
      <c r="D13" s="19" t="n">
        <f aca="false">D10+D11+D12</f>
        <v>32.9049281972265</v>
      </c>
      <c r="E13" s="19" t="n">
        <f aca="false">E10+E11+E12</f>
        <v>33.3094241972265</v>
      </c>
      <c r="F13" s="19" t="n">
        <f aca="false">F10+F11+F12</f>
        <v>33.7381899572265</v>
      </c>
      <c r="G13" s="19" t="n">
        <f aca="false">G10+G11+G12</f>
        <v>34.1926816628265</v>
      </c>
      <c r="H13" s="19" t="n">
        <f aca="false">H10+H11+H12</f>
        <v>50.3724397890984</v>
      </c>
      <c r="I13" s="19" t="n">
        <f aca="false">I10+I11+I12</f>
        <v>50.8831066695106</v>
      </c>
      <c r="J13" s="19" t="n">
        <f aca="false">J10+J11+J12</f>
        <v>51.4244135627475</v>
      </c>
      <c r="K13" s="19" t="n">
        <f aca="false">K10+K11+K12</f>
        <v>51.9981988695786</v>
      </c>
      <c r="L13" s="19" t="n">
        <f aca="false">L10+L11+L12</f>
        <v>52.6064112948195</v>
      </c>
      <c r="M13" s="19" t="n">
        <f aca="false">M10+M11+M12</f>
        <v>53.251116465575</v>
      </c>
      <c r="N13" s="19" t="n">
        <f aca="false">N10+N11+N12</f>
        <v>53.9345039465757</v>
      </c>
      <c r="O13" s="19" t="n">
        <f aca="false">O10+O11+O12</f>
        <v>54.6588946764365</v>
      </c>
      <c r="P13" s="19" t="n">
        <f aca="false">P10+P11+P12</f>
        <v>55.426748850089</v>
      </c>
      <c r="Q13" s="19" t="n">
        <f aca="false">Q10+Q11+Q12</f>
        <v>56.2406742741606</v>
      </c>
      <c r="R13" s="19" t="n">
        <f aca="false">R10+R11+R12</f>
        <v>57.1034352236764</v>
      </c>
      <c r="S13" s="19" t="n">
        <f aca="false">S10+S11+S12</f>
        <v>58.0179618301633</v>
      </c>
      <c r="T13" s="19" t="n">
        <f aca="false">T10+T11+T12</f>
        <v>58.9873600330393</v>
      </c>
      <c r="U13" s="19" t="n">
        <f aca="false">U10+U11+U12</f>
        <v>60.014922128088</v>
      </c>
      <c r="V13" s="19" t="n">
        <f aca="false">V10+V11+V12</f>
        <v>61.1041379488395</v>
      </c>
      <c r="W13" s="19" t="n">
        <f aca="false">W10+W11+W12</f>
        <v>62.2587067188361</v>
      </c>
      <c r="X13" s="19" t="n">
        <f aca="false">X10+X11+X12</f>
        <v>63.4825496150325</v>
      </c>
      <c r="Y13" s="19" t="n">
        <f aca="false">Y10+Y11+Y12</f>
        <v>64.7798230850007</v>
      </c>
      <c r="Z13" s="19" t="n">
        <f aca="false">SUM(B13:M13)</f>
        <v>498.458476151198</v>
      </c>
      <c r="AA13" s="19" t="n">
        <f aca="false">SUM(N13:Y13)</f>
        <v>706.009718329938</v>
      </c>
      <c r="AB13" s="19" t="n">
        <f aca="false">SUM(B13:Y13)</f>
        <v>1204.46819448114</v>
      </c>
    </row>
    <row r="14" customFormat="false" ht="15" hidden="false" customHeight="false" outlineLevel="0" collapsed="false">
      <c r="A14" s="17" t="s">
        <v>123</v>
      </c>
      <c r="B14" s="18" t="n">
        <f aca="false">B10*Assumptions!$B$36+B11*Assumptions!$B$39+B12*Assumptions!$B$42</f>
        <v>8.03898305084746</v>
      </c>
      <c r="C14" s="18" t="n">
        <f aca="false">C10*Assumptions!$B$36+C11*Assumptions!$B$39+C12*Assumptions!$B$42</f>
        <v>10.1646194144838</v>
      </c>
      <c r="D14" s="18" t="n">
        <f aca="false">D10*Assumptions!$B$36+D11*Assumptions!$B$39+D12*Assumptions!$B$42</f>
        <v>10.3363394144838</v>
      </c>
      <c r="E14" s="18" t="n">
        <f aca="false">E10*Assumptions!$B$36+E11*Assumptions!$B$39+E12*Assumptions!$B$42</f>
        <v>10.5183626144838</v>
      </c>
      <c r="F14" s="18" t="n">
        <f aca="false">F10*Assumptions!$B$36+F11*Assumptions!$B$39+F12*Assumptions!$B$42</f>
        <v>10.7113072064838</v>
      </c>
      <c r="G14" s="18" t="n">
        <f aca="false">G10*Assumptions!$B$36+G11*Assumptions!$B$39+G12*Assumptions!$B$42</f>
        <v>10.9158284740038</v>
      </c>
      <c r="H14" s="18" t="n">
        <f aca="false">H10*Assumptions!$B$36+H11*Assumptions!$B$39+H12*Assumptions!$B$42</f>
        <v>15.5141926662653</v>
      </c>
      <c r="I14" s="18" t="n">
        <f aca="false">I10*Assumptions!$B$36+I11*Assumptions!$B$39+I12*Assumptions!$B$42</f>
        <v>15.7439927624508</v>
      </c>
      <c r="J14" s="18" t="n">
        <f aca="false">J10*Assumptions!$B$36+J11*Assumptions!$B$39+J12*Assumptions!$B$42</f>
        <v>15.9875808644074</v>
      </c>
      <c r="K14" s="18" t="n">
        <f aca="false">K10*Assumptions!$B$36+K11*Assumptions!$B$39+K12*Assumptions!$B$42</f>
        <v>16.2457842524814</v>
      </c>
      <c r="L14" s="18" t="n">
        <f aca="false">L10*Assumptions!$B$36+L11*Assumptions!$B$39+L12*Assumptions!$B$42</f>
        <v>16.5194798438398</v>
      </c>
      <c r="M14" s="18" t="n">
        <f aca="false">M10*Assumptions!$B$36+M11*Assumptions!$B$39+M12*Assumptions!$B$42</f>
        <v>16.8095971706798</v>
      </c>
      <c r="N14" s="18" t="n">
        <f aca="false">N10*Assumptions!$B$36+N11*Assumptions!$B$39+N12*Assumptions!$B$42</f>
        <v>17.1171215371301</v>
      </c>
      <c r="O14" s="18" t="n">
        <f aca="false">O10*Assumptions!$B$36+O11*Assumptions!$B$39+O12*Assumptions!$B$42</f>
        <v>17.4430973655675</v>
      </c>
      <c r="P14" s="18" t="n">
        <f aca="false">P10*Assumptions!$B$36+P11*Assumptions!$B$39+P12*Assumptions!$B$42</f>
        <v>17.7886317437111</v>
      </c>
      <c r="Q14" s="18" t="n">
        <f aca="false">Q10*Assumptions!$B$36+Q11*Assumptions!$B$39+Q12*Assumptions!$B$42</f>
        <v>18.1548981845433</v>
      </c>
      <c r="R14" s="18" t="n">
        <f aca="false">R10*Assumptions!$B$36+R11*Assumptions!$B$39+R12*Assumptions!$B$42</f>
        <v>18.5431406118254</v>
      </c>
      <c r="S14" s="18" t="n">
        <f aca="false">S10*Assumptions!$B$36+S11*Assumptions!$B$39+S12*Assumptions!$B$42</f>
        <v>18.9546775847445</v>
      </c>
      <c r="T14" s="18" t="n">
        <f aca="false">T10*Assumptions!$B$36+T11*Assumptions!$B$39+T12*Assumptions!$B$42</f>
        <v>19.3909067760387</v>
      </c>
      <c r="U14" s="18" t="n">
        <f aca="false">U10*Assumptions!$B$36+U11*Assumptions!$B$39+U12*Assumptions!$B$42</f>
        <v>19.8533097188106</v>
      </c>
      <c r="V14" s="18" t="n">
        <f aca="false">V10*Assumptions!$B$36+V11*Assumptions!$B$39+V12*Assumptions!$B$42</f>
        <v>20.3434568381488</v>
      </c>
      <c r="W14" s="18" t="n">
        <f aca="false">W10*Assumptions!$B$36+W11*Assumptions!$B$39+W12*Assumptions!$B$42</f>
        <v>20.8630127846473</v>
      </c>
      <c r="X14" s="18" t="n">
        <f aca="false">X10*Assumptions!$B$36+X11*Assumptions!$B$39+X12*Assumptions!$B$42</f>
        <v>21.4137420879357</v>
      </c>
      <c r="Y14" s="18" t="n">
        <f aca="false">Y10*Assumptions!$B$36+Y11*Assumptions!$B$39+Y12*Assumptions!$B$42</f>
        <v>21.9975151494214</v>
      </c>
      <c r="Z14" s="18" t="n">
        <f aca="false">SUM(B14:M14)</f>
        <v>157.506067734911</v>
      </c>
      <c r="AA14" s="18" t="n">
        <f aca="false">SUM(N14:Y14)</f>
        <v>231.863510382524</v>
      </c>
      <c r="AB14" s="18" t="n">
        <f aca="false">SUM(B14:Y14)</f>
        <v>389.369578117435</v>
      </c>
    </row>
    <row r="15" customFormat="false" ht="15" hidden="false" customHeight="false" outlineLevel="0" collapsed="false">
      <c r="A15" s="17" t="s">
        <v>124</v>
      </c>
      <c r="B15" s="18" t="n">
        <f aca="false">B14*Assumptions!$B$11</f>
        <v>803.898305084746</v>
      </c>
      <c r="C15" s="18" t="n">
        <f aca="false">C14*Assumptions!$B$11</f>
        <v>1016.46194144838</v>
      </c>
      <c r="D15" s="18" t="n">
        <f aca="false">D14*Assumptions!$B$11</f>
        <v>1033.63394144838</v>
      </c>
      <c r="E15" s="18" t="n">
        <f aca="false">E14*Assumptions!$B$11</f>
        <v>1051.83626144838</v>
      </c>
      <c r="F15" s="18" t="n">
        <f aca="false">F14*Assumptions!$B$11</f>
        <v>1071.13072064838</v>
      </c>
      <c r="G15" s="18" t="n">
        <f aca="false">G14*Assumptions!$B$11</f>
        <v>1091.58284740038</v>
      </c>
      <c r="H15" s="18" t="n">
        <f aca="false">H14*Assumptions!$B$11</f>
        <v>1551.41926662653</v>
      </c>
      <c r="I15" s="18" t="n">
        <f aca="false">I14*Assumptions!$B$11</f>
        <v>1574.39927624508</v>
      </c>
      <c r="J15" s="18" t="n">
        <f aca="false">J14*Assumptions!$B$11</f>
        <v>1598.75808644074</v>
      </c>
      <c r="K15" s="18" t="n">
        <f aca="false">K14*Assumptions!$B$11</f>
        <v>1624.57842524814</v>
      </c>
      <c r="L15" s="18" t="n">
        <f aca="false">L14*Assumptions!$B$11</f>
        <v>1651.94798438398</v>
      </c>
      <c r="M15" s="18" t="n">
        <f aca="false">M14*Assumptions!$B$11</f>
        <v>1680.95971706798</v>
      </c>
      <c r="N15" s="18" t="n">
        <f aca="false">N14*Assumptions!$B$11</f>
        <v>1711.71215371301</v>
      </c>
      <c r="O15" s="18" t="n">
        <f aca="false">O14*Assumptions!$B$11</f>
        <v>1744.30973655675</v>
      </c>
      <c r="P15" s="18" t="n">
        <f aca="false">P14*Assumptions!$B$11</f>
        <v>1778.86317437111</v>
      </c>
      <c r="Q15" s="18" t="n">
        <f aca="false">Q14*Assumptions!$B$11</f>
        <v>1815.48981845433</v>
      </c>
      <c r="R15" s="18" t="n">
        <f aca="false">R14*Assumptions!$B$11</f>
        <v>1854.31406118254</v>
      </c>
      <c r="S15" s="18" t="n">
        <f aca="false">S14*Assumptions!$B$11</f>
        <v>1895.46775847445</v>
      </c>
      <c r="T15" s="18" t="n">
        <f aca="false">T14*Assumptions!$B$11</f>
        <v>1939.09067760387</v>
      </c>
      <c r="U15" s="18" t="n">
        <f aca="false">U14*Assumptions!$B$11</f>
        <v>1985.33097188106</v>
      </c>
      <c r="V15" s="18" t="n">
        <f aca="false">V14*Assumptions!$B$11</f>
        <v>2034.34568381488</v>
      </c>
      <c r="W15" s="18" t="n">
        <f aca="false">W14*Assumptions!$B$11</f>
        <v>2086.30127846473</v>
      </c>
      <c r="X15" s="18" t="n">
        <f aca="false">X14*Assumptions!$B$11</f>
        <v>2141.37420879357</v>
      </c>
      <c r="Y15" s="18" t="n">
        <f aca="false">Y14*Assumptions!$B$11</f>
        <v>2199.75151494214</v>
      </c>
      <c r="Z15" s="18" t="n">
        <f aca="false">SUM(B15:M15)</f>
        <v>15750.6067734911</v>
      </c>
      <c r="AA15" s="18" t="n">
        <f aca="false">SUM(N15:Y15)</f>
        <v>23186.3510382524</v>
      </c>
      <c r="AB15" s="18" t="n">
        <f aca="false">SUM(B15:Y15)</f>
        <v>38936.9578117435</v>
      </c>
    </row>
    <row r="16" customFormat="false" ht="15" hidden="false" customHeight="false" outlineLevel="0" collapsed="false">
      <c r="A16" s="15" t="s">
        <v>125</v>
      </c>
      <c r="B16" s="19" t="n">
        <f aca="false">MIN(B15+0,B8)</f>
        <v>650</v>
      </c>
      <c r="C16" s="19" t="n">
        <f aca="false">MIN(C15+B17,C8)</f>
        <v>700</v>
      </c>
      <c r="D16" s="19" t="n">
        <f aca="false">MIN(D15+C17,D8)</f>
        <v>750</v>
      </c>
      <c r="E16" s="19" t="n">
        <f aca="false">MIN(E15+D17,E8)</f>
        <v>800</v>
      </c>
      <c r="F16" s="19" t="n">
        <f aca="false">MIN(F15+E17,F8)</f>
        <v>850</v>
      </c>
      <c r="G16" s="19" t="n">
        <f aca="false">MIN(G15+F17,G8)</f>
        <v>900</v>
      </c>
      <c r="H16" s="19" t="n">
        <f aca="false">MIN(H15+G17,H8)</f>
        <v>1400</v>
      </c>
      <c r="I16" s="19" t="n">
        <f aca="false">MIN(I15+H17,I8)</f>
        <v>1533.33333333333</v>
      </c>
      <c r="J16" s="19" t="n">
        <f aca="false">MIN(J15+I17,J8)</f>
        <v>1666.66666666667</v>
      </c>
      <c r="K16" s="19" t="n">
        <f aca="false">MIN(K15+J17,K8)</f>
        <v>1800</v>
      </c>
      <c r="L16" s="19" t="n">
        <f aca="false">MIN(L15+K17,L8)</f>
        <v>1800</v>
      </c>
      <c r="M16" s="19" t="n">
        <f aca="false">MIN(M15+L17,M8)</f>
        <v>1800</v>
      </c>
      <c r="N16" s="19" t="n">
        <f aca="false">MIN(N15+M17,N8)</f>
        <v>1800</v>
      </c>
      <c r="O16" s="19" t="n">
        <f aca="false">MIN(O15+N17,O8)</f>
        <v>1800</v>
      </c>
      <c r="P16" s="19" t="n">
        <f aca="false">MIN(P15+O17,P8)</f>
        <v>1800</v>
      </c>
      <c r="Q16" s="19" t="n">
        <f aca="false">MIN(Q15+P17,Q8)</f>
        <v>1800</v>
      </c>
      <c r="R16" s="19" t="n">
        <f aca="false">MIN(R15+Q17,R8)</f>
        <v>1800</v>
      </c>
      <c r="S16" s="19" t="n">
        <f aca="false">MIN(S15+R17,S8)</f>
        <v>1800</v>
      </c>
      <c r="T16" s="19" t="n">
        <f aca="false">MIN(T15+S17,T8)</f>
        <v>1800</v>
      </c>
      <c r="U16" s="19" t="n">
        <f aca="false">MIN(U15+T17,U8)</f>
        <v>1800</v>
      </c>
      <c r="V16" s="19" t="n">
        <f aca="false">MIN(V15+U17,V8)</f>
        <v>1800</v>
      </c>
      <c r="W16" s="19" t="n">
        <f aca="false">MIN(W15+V17,W8)</f>
        <v>1800</v>
      </c>
      <c r="X16" s="19" t="n">
        <f aca="false">MIN(X15+W17,X8)</f>
        <v>1800</v>
      </c>
      <c r="Y16" s="19" t="n">
        <f aca="false">MIN(Y15+X17,Y8)</f>
        <v>1800</v>
      </c>
      <c r="Z16" s="19" t="n">
        <f aca="false">SUM(B16:M16)</f>
        <v>14650</v>
      </c>
      <c r="AA16" s="19" t="n">
        <f aca="false">SUM(N16:Y16)</f>
        <v>21600</v>
      </c>
      <c r="AB16" s="19" t="n">
        <f aca="false">SUM(B16:Y16)</f>
        <v>36250</v>
      </c>
    </row>
    <row r="17" customFormat="false" ht="15" hidden="false" customHeight="false" outlineLevel="0" collapsed="false">
      <c r="A17" s="17" t="s">
        <v>126</v>
      </c>
      <c r="B17" s="18" t="n">
        <f aca="false">MIN(B8*Assumptions!$B$12,MAX(0,B15+0-B16))</f>
        <v>153.898305084746</v>
      </c>
      <c r="C17" s="18" t="n">
        <f aca="false">MIN(C8*Assumptions!$B$12,MAX(0,C15+B17-C16))</f>
        <v>470.360246533128</v>
      </c>
      <c r="D17" s="18" t="n">
        <f aca="false">MIN(D8*Assumptions!$B$12,MAX(0,D15+C17-D16))</f>
        <v>750</v>
      </c>
      <c r="E17" s="18" t="n">
        <f aca="false">MIN(E8*Assumptions!$B$12,MAX(0,E15+D17-E16))</f>
        <v>800</v>
      </c>
      <c r="F17" s="18" t="n">
        <f aca="false">MIN(F8*Assumptions!$B$12,MAX(0,F15+E17-F16))</f>
        <v>850</v>
      </c>
      <c r="G17" s="18" t="n">
        <f aca="false">MIN(G8*Assumptions!$B$12,MAX(0,G15+F17-G16))</f>
        <v>900</v>
      </c>
      <c r="H17" s="18" t="n">
        <f aca="false">MIN(H8*Assumptions!$B$12,MAX(0,H15+G17-H16))</f>
        <v>1051.41926662653</v>
      </c>
      <c r="I17" s="18" t="n">
        <f aca="false">MIN(I8*Assumptions!$B$12,MAX(0,I15+H17-I16))</f>
        <v>1092.48520953828</v>
      </c>
      <c r="J17" s="18" t="n">
        <f aca="false">MIN(J8*Assumptions!$B$12,MAX(0,J15+I17-J16))</f>
        <v>1024.57662931235</v>
      </c>
      <c r="K17" s="18" t="n">
        <f aca="false">MIN(K8*Assumptions!$B$12,MAX(0,K15+J17-K16))</f>
        <v>849.155054560486</v>
      </c>
      <c r="L17" s="18" t="n">
        <f aca="false">MIN(L8*Assumptions!$B$12,MAX(0,L15+K17-L16))</f>
        <v>701.103038944468</v>
      </c>
      <c r="M17" s="18" t="n">
        <f aca="false">MIN(M8*Assumptions!$B$12,MAX(0,M15+L17-M16))</f>
        <v>582.062756012444</v>
      </c>
      <c r="N17" s="18" t="n">
        <f aca="false">MIN(N8*Assumptions!$B$12,MAX(0,N15+M17-N16))</f>
        <v>493.774909725455</v>
      </c>
      <c r="O17" s="18" t="n">
        <f aca="false">MIN(O8*Assumptions!$B$12,MAX(0,O15+N17-O16))</f>
        <v>438.084646282201</v>
      </c>
      <c r="P17" s="18" t="n">
        <f aca="false">MIN(P8*Assumptions!$B$12,MAX(0,P15+O17-P16))</f>
        <v>416.947820653307</v>
      </c>
      <c r="Q17" s="18" t="n">
        <f aca="false">MIN(Q8*Assumptions!$B$12,MAX(0,Q15+P17-Q16))</f>
        <v>432.437639107635</v>
      </c>
      <c r="R17" s="18" t="n">
        <f aca="false">MIN(R8*Assumptions!$B$12,MAX(0,R15+Q17-R16))</f>
        <v>486.751700290178</v>
      </c>
      <c r="S17" s="18" t="n">
        <f aca="false">MIN(S8*Assumptions!$B$12,MAX(0,S15+R17-S16))</f>
        <v>582.219458764629</v>
      </c>
      <c r="T17" s="18" t="n">
        <f aca="false">MIN(T8*Assumptions!$B$12,MAX(0,T15+S17-T16))</f>
        <v>721.310136368502</v>
      </c>
      <c r="U17" s="18" t="n">
        <f aca="false">MIN(U8*Assumptions!$B$12,MAX(0,U15+T17-U16))</f>
        <v>906.641108249563</v>
      </c>
      <c r="V17" s="18" t="n">
        <f aca="false">MIN(V8*Assumptions!$B$12,MAX(0,V15+U17-V16))</f>
        <v>1140.98679206444</v>
      </c>
      <c r="W17" s="18" t="n">
        <f aca="false">MIN(W8*Assumptions!$B$12,MAX(0,W15+V17-W16))</f>
        <v>1427.28807052917</v>
      </c>
      <c r="X17" s="18" t="n">
        <f aca="false">MIN(X8*Assumptions!$B$12,MAX(0,X15+W17-X16))</f>
        <v>1768.66227932274</v>
      </c>
      <c r="Y17" s="18" t="n">
        <f aca="false">MIN(Y8*Assumptions!$B$12,MAX(0,Y15+X17-Y16))</f>
        <v>1800</v>
      </c>
      <c r="Z17" s="2"/>
      <c r="AA17" s="2"/>
      <c r="AB17" s="2"/>
    </row>
    <row r="18" customFormat="false" ht="15" hidden="false" customHeight="false" outlineLevel="0" collapsed="false">
      <c r="A18" s="17" t="s">
        <v>127</v>
      </c>
      <c r="B18" s="20" t="n">
        <f aca="false">IF(B8=0,0,B16/B8)</f>
        <v>1</v>
      </c>
      <c r="C18" s="20" t="n">
        <f aca="false">IF(C8=0,0,C16/C8)</f>
        <v>1</v>
      </c>
      <c r="D18" s="20" t="n">
        <f aca="false">IF(D8=0,0,D16/D8)</f>
        <v>1</v>
      </c>
      <c r="E18" s="20" t="n">
        <f aca="false">IF(E8=0,0,E16/E8)</f>
        <v>1</v>
      </c>
      <c r="F18" s="20" t="n">
        <f aca="false">IF(F8=0,0,F16/F8)</f>
        <v>1</v>
      </c>
      <c r="G18" s="20" t="n">
        <f aca="false">IF(G8=0,0,G16/G8)</f>
        <v>1</v>
      </c>
      <c r="H18" s="20" t="n">
        <f aca="false">IF(H8=0,0,H16/H8)</f>
        <v>1</v>
      </c>
      <c r="I18" s="20" t="n">
        <f aca="false">IF(I8=0,0,I16/I8)</f>
        <v>1</v>
      </c>
      <c r="J18" s="20" t="n">
        <f aca="false">IF(J8=0,0,J16/J8)</f>
        <v>1</v>
      </c>
      <c r="K18" s="20" t="n">
        <f aca="false">IF(K8=0,0,K16/K8)</f>
        <v>1</v>
      </c>
      <c r="L18" s="20" t="n">
        <f aca="false">IF(L8=0,0,L16/L8)</f>
        <v>1</v>
      </c>
      <c r="M18" s="20" t="n">
        <f aca="false">IF(M8=0,0,M16/M8)</f>
        <v>1</v>
      </c>
      <c r="N18" s="20" t="n">
        <f aca="false">IF(N8=0,0,N16/N8)</f>
        <v>1</v>
      </c>
      <c r="O18" s="20" t="n">
        <f aca="false">IF(O8=0,0,O16/O8)</f>
        <v>1</v>
      </c>
      <c r="P18" s="20" t="n">
        <f aca="false">IF(P8=0,0,P16/P8)</f>
        <v>1</v>
      </c>
      <c r="Q18" s="20" t="n">
        <f aca="false">IF(Q8=0,0,Q16/Q8)</f>
        <v>1</v>
      </c>
      <c r="R18" s="20" t="n">
        <f aca="false">IF(R8=0,0,R16/R8)</f>
        <v>1</v>
      </c>
      <c r="S18" s="20" t="n">
        <f aca="false">IF(S8=0,0,S16/S8)</f>
        <v>1</v>
      </c>
      <c r="T18" s="20" t="n">
        <f aca="false">IF(T8=0,0,T16/T8)</f>
        <v>1</v>
      </c>
      <c r="U18" s="20" t="n">
        <f aca="false">IF(U8=0,0,U16/U8)</f>
        <v>1</v>
      </c>
      <c r="V18" s="20" t="n">
        <f aca="false">IF(V8=0,0,V16/V8)</f>
        <v>1</v>
      </c>
      <c r="W18" s="20" t="n">
        <f aca="false">IF(W8=0,0,W16/W8)</f>
        <v>1</v>
      </c>
      <c r="X18" s="20" t="n">
        <f aca="false">IF(X8=0,0,X16/X8)</f>
        <v>1</v>
      </c>
      <c r="Y18" s="20" t="n">
        <f aca="false">IF(Y8=0,0,Y16/Y8)</f>
        <v>1</v>
      </c>
      <c r="Z18" s="2"/>
      <c r="AA18" s="2"/>
      <c r="AB18" s="2"/>
    </row>
    <row r="19" customFormat="false" ht="15" hidden="false" customHeight="false" outlineLevel="0" collapsed="false">
      <c r="A19" s="4" t="s">
        <v>128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customFormat="false" ht="15" hidden="false" customHeight="false" outlineLevel="0" collapsed="false">
      <c r="A20" s="17" t="s">
        <v>129</v>
      </c>
      <c r="B20" s="21" t="n">
        <f aca="false">B16*Assumptions!$B$5</f>
        <v>27300</v>
      </c>
      <c r="C20" s="21" t="n">
        <f aca="false">C16*Assumptions!$B$5</f>
        <v>29400</v>
      </c>
      <c r="D20" s="21" t="n">
        <f aca="false">D16*Assumptions!$B$5</f>
        <v>31500</v>
      </c>
      <c r="E20" s="21" t="n">
        <f aca="false">E16*Assumptions!$B$5</f>
        <v>33600</v>
      </c>
      <c r="F20" s="21" t="n">
        <f aca="false">F16*Assumptions!$B$5</f>
        <v>35700</v>
      </c>
      <c r="G20" s="21" t="n">
        <f aca="false">G16*Assumptions!$B$5</f>
        <v>37800</v>
      </c>
      <c r="H20" s="21" t="n">
        <f aca="false">H16*Assumptions!$B$5</f>
        <v>58800</v>
      </c>
      <c r="I20" s="21" t="n">
        <f aca="false">I16*Assumptions!$B$5</f>
        <v>64400</v>
      </c>
      <c r="J20" s="21" t="n">
        <f aca="false">J16*Assumptions!$B$5</f>
        <v>70000</v>
      </c>
      <c r="K20" s="21" t="n">
        <f aca="false">K16*Assumptions!$B$5</f>
        <v>75600</v>
      </c>
      <c r="L20" s="21" t="n">
        <f aca="false">L16*Assumptions!$B$5</f>
        <v>75600</v>
      </c>
      <c r="M20" s="21" t="n">
        <f aca="false">M16*Assumptions!$B$5</f>
        <v>75600</v>
      </c>
      <c r="N20" s="21" t="n">
        <f aca="false">N16*Assumptions!$B$5</f>
        <v>75600</v>
      </c>
      <c r="O20" s="21" t="n">
        <f aca="false">O16*Assumptions!$B$5</f>
        <v>75600</v>
      </c>
      <c r="P20" s="21" t="n">
        <f aca="false">P16*Assumptions!$B$5</f>
        <v>75600</v>
      </c>
      <c r="Q20" s="21" t="n">
        <f aca="false">Q16*Assumptions!$B$5</f>
        <v>75600</v>
      </c>
      <c r="R20" s="21" t="n">
        <f aca="false">R16*Assumptions!$B$5</f>
        <v>75600</v>
      </c>
      <c r="S20" s="21" t="n">
        <f aca="false">S16*Assumptions!$B$5</f>
        <v>75600</v>
      </c>
      <c r="T20" s="21" t="n">
        <f aca="false">T16*Assumptions!$B$5</f>
        <v>75600</v>
      </c>
      <c r="U20" s="21" t="n">
        <f aca="false">U16*Assumptions!$B$5</f>
        <v>75600</v>
      </c>
      <c r="V20" s="21" t="n">
        <f aca="false">V16*Assumptions!$B$5</f>
        <v>75600</v>
      </c>
      <c r="W20" s="21" t="n">
        <f aca="false">W16*Assumptions!$B$5</f>
        <v>75600</v>
      </c>
      <c r="X20" s="21" t="n">
        <f aca="false">X16*Assumptions!$B$5</f>
        <v>75600</v>
      </c>
      <c r="Y20" s="21" t="n">
        <f aca="false">Y16*Assumptions!$B$5</f>
        <v>75600</v>
      </c>
      <c r="Z20" s="21" t="n">
        <f aca="false">SUM(B20:M20)</f>
        <v>615300</v>
      </c>
      <c r="AA20" s="21" t="n">
        <f aca="false">SUM(N20:Y20)</f>
        <v>907200</v>
      </c>
      <c r="AB20" s="21" t="n">
        <f aca="false">SUM(B20:Y20)</f>
        <v>1522500</v>
      </c>
    </row>
    <row r="21" customFormat="false" ht="15" hidden="false" customHeight="false" outlineLevel="0" collapsed="false">
      <c r="A21" s="17" t="s">
        <v>130</v>
      </c>
      <c r="B21" s="18" t="n">
        <f aca="false">IF(1&lt;Assumptions!$B$26,0,B16/Assumptions!$B$11*Assumptions!$B$23+IF(1&lt;=Assumptions!$B$26+11,Assumptions!$B$24*Assumptions!$B$25/12,0))</f>
        <v>0</v>
      </c>
      <c r="C21" s="18" t="n">
        <f aca="false">IF(2&lt;Assumptions!$B$26,0,C16/Assumptions!$B$11*Assumptions!$B$23+IF(2&lt;=Assumptions!$B$26+11,Assumptions!$B$24*Assumptions!$B$25/12,0))</f>
        <v>0</v>
      </c>
      <c r="D21" s="18" t="n">
        <f aca="false">IF(3&lt;Assumptions!$B$26,0,D16/Assumptions!$B$11*Assumptions!$B$23+IF(3&lt;=Assumptions!$B$26+11,Assumptions!$B$24*Assumptions!$B$25/12,0))</f>
        <v>4.875</v>
      </c>
      <c r="E21" s="18" t="n">
        <f aca="false">IF(4&lt;Assumptions!$B$26,0,E16/Assumptions!$B$11*Assumptions!$B$23+IF(4&lt;=Assumptions!$B$26+11,Assumptions!$B$24*Assumptions!$B$25/12,0))</f>
        <v>5.075</v>
      </c>
      <c r="F21" s="18" t="n">
        <f aca="false">IF(5&lt;Assumptions!$B$26,0,F16/Assumptions!$B$11*Assumptions!$B$23+IF(5&lt;=Assumptions!$B$26+11,Assumptions!$B$24*Assumptions!$B$25/12,0))</f>
        <v>5.275</v>
      </c>
      <c r="G21" s="18" t="n">
        <f aca="false">IF(6&lt;Assumptions!$B$26,0,G16/Assumptions!$B$11*Assumptions!$B$23+IF(6&lt;=Assumptions!$B$26+11,Assumptions!$B$24*Assumptions!$B$25/12,0))</f>
        <v>5.475</v>
      </c>
      <c r="H21" s="18" t="n">
        <f aca="false">IF(7&lt;Assumptions!$B$26,0,H16/Assumptions!$B$11*Assumptions!$B$23+IF(7&lt;=Assumptions!$B$26+11,Assumptions!$B$24*Assumptions!$B$25/12,0))</f>
        <v>7.475</v>
      </c>
      <c r="I21" s="18" t="n">
        <f aca="false">IF(8&lt;Assumptions!$B$26,0,I16/Assumptions!$B$11*Assumptions!$B$23+IF(8&lt;=Assumptions!$B$26+11,Assumptions!$B$24*Assumptions!$B$25/12,0))</f>
        <v>8.00833333333334</v>
      </c>
      <c r="J21" s="18" t="n">
        <f aca="false">IF(9&lt;Assumptions!$B$26,0,J16/Assumptions!$B$11*Assumptions!$B$23+IF(9&lt;=Assumptions!$B$26+11,Assumptions!$B$24*Assumptions!$B$25/12,0))</f>
        <v>8.54166666666667</v>
      </c>
      <c r="K21" s="18" t="n">
        <f aca="false">IF(10&lt;Assumptions!$B$26,0,K16/Assumptions!$B$11*Assumptions!$B$23+IF(10&lt;=Assumptions!$B$26+11,Assumptions!$B$24*Assumptions!$B$25/12,0))</f>
        <v>9.075</v>
      </c>
      <c r="L21" s="18" t="n">
        <f aca="false">IF(11&lt;Assumptions!$B$26,0,L16/Assumptions!$B$11*Assumptions!$B$23+IF(11&lt;=Assumptions!$B$26+11,Assumptions!$B$24*Assumptions!$B$25/12,0))</f>
        <v>9.075</v>
      </c>
      <c r="M21" s="18" t="n">
        <f aca="false">IF(12&lt;Assumptions!$B$26,0,M16/Assumptions!$B$11*Assumptions!$B$23+IF(12&lt;=Assumptions!$B$26+11,Assumptions!$B$24*Assumptions!$B$25/12,0))</f>
        <v>9.075</v>
      </c>
      <c r="N21" s="18" t="n">
        <f aca="false">IF(13&lt;Assumptions!$B$26,0,N16/Assumptions!$B$11*Assumptions!$B$23+IF(13&lt;=Assumptions!$B$26+11,Assumptions!$B$24*Assumptions!$B$25/12,0))</f>
        <v>9.075</v>
      </c>
      <c r="O21" s="18" t="n">
        <f aca="false">IF(14&lt;Assumptions!$B$26,0,O16/Assumptions!$B$11*Assumptions!$B$23+IF(14&lt;=Assumptions!$B$26+11,Assumptions!$B$24*Assumptions!$B$25/12,0))</f>
        <v>9.075</v>
      </c>
      <c r="P21" s="18" t="n">
        <f aca="false">IF(15&lt;Assumptions!$B$26,0,P16/Assumptions!$B$11*Assumptions!$B$23+IF(15&lt;=Assumptions!$B$26+11,Assumptions!$B$24*Assumptions!$B$25/12,0))</f>
        <v>7.2</v>
      </c>
      <c r="Q21" s="18" t="n">
        <f aca="false">IF(16&lt;Assumptions!$B$26,0,Q16/Assumptions!$B$11*Assumptions!$B$23+IF(16&lt;=Assumptions!$B$26+11,Assumptions!$B$24*Assumptions!$B$25/12,0))</f>
        <v>7.2</v>
      </c>
      <c r="R21" s="18" t="n">
        <f aca="false">IF(17&lt;Assumptions!$B$26,0,R16/Assumptions!$B$11*Assumptions!$B$23+IF(17&lt;=Assumptions!$B$26+11,Assumptions!$B$24*Assumptions!$B$25/12,0))</f>
        <v>7.2</v>
      </c>
      <c r="S21" s="18" t="n">
        <f aca="false">IF(18&lt;Assumptions!$B$26,0,S16/Assumptions!$B$11*Assumptions!$B$23+IF(18&lt;=Assumptions!$B$26+11,Assumptions!$B$24*Assumptions!$B$25/12,0))</f>
        <v>7.2</v>
      </c>
      <c r="T21" s="18" t="n">
        <f aca="false">IF(19&lt;Assumptions!$B$26,0,T16/Assumptions!$B$11*Assumptions!$B$23+IF(19&lt;=Assumptions!$B$26+11,Assumptions!$B$24*Assumptions!$B$25/12,0))</f>
        <v>7.2</v>
      </c>
      <c r="U21" s="18" t="n">
        <f aca="false">IF(20&lt;Assumptions!$B$26,0,U16/Assumptions!$B$11*Assumptions!$B$23+IF(20&lt;=Assumptions!$B$26+11,Assumptions!$B$24*Assumptions!$B$25/12,0))</f>
        <v>7.2</v>
      </c>
      <c r="V21" s="18" t="n">
        <f aca="false">IF(21&lt;Assumptions!$B$26,0,V16/Assumptions!$B$11*Assumptions!$B$23+IF(21&lt;=Assumptions!$B$26+11,Assumptions!$B$24*Assumptions!$B$25/12,0))</f>
        <v>7.2</v>
      </c>
      <c r="W21" s="18" t="n">
        <f aca="false">IF(22&lt;Assumptions!$B$26,0,W16/Assumptions!$B$11*Assumptions!$B$23+IF(22&lt;=Assumptions!$B$26+11,Assumptions!$B$24*Assumptions!$B$25/12,0))</f>
        <v>7.2</v>
      </c>
      <c r="X21" s="18" t="n">
        <f aca="false">IF(23&lt;Assumptions!$B$26,0,X16/Assumptions!$B$11*Assumptions!$B$23+IF(23&lt;=Assumptions!$B$26+11,Assumptions!$B$24*Assumptions!$B$25/12,0))</f>
        <v>7.2</v>
      </c>
      <c r="Y21" s="18" t="n">
        <f aca="false">IF(24&lt;Assumptions!$B$26,0,Y16/Assumptions!$B$11*Assumptions!$B$23+IF(24&lt;=Assumptions!$B$26+11,Assumptions!$B$24*Assumptions!$B$25/12,0))</f>
        <v>7.2</v>
      </c>
      <c r="Z21" s="18" t="n">
        <f aca="false">SUM(B21:M21)</f>
        <v>71.95</v>
      </c>
      <c r="AA21" s="18" t="n">
        <f aca="false">SUM(N21:Y21)</f>
        <v>90.15</v>
      </c>
      <c r="AB21" s="18" t="n">
        <f aca="false">SUM(B21:Y21)</f>
        <v>162.1</v>
      </c>
    </row>
    <row r="22" customFormat="false" ht="15" hidden="false" customHeight="false" outlineLevel="0" collapsed="false">
      <c r="A22" s="17" t="s">
        <v>131</v>
      </c>
      <c r="B22" s="18" t="n">
        <f aca="false">0+B21</f>
        <v>0</v>
      </c>
      <c r="C22" s="18" t="n">
        <f aca="false">B22*(1-0.08/12)+C21</f>
        <v>0</v>
      </c>
      <c r="D22" s="18" t="n">
        <f aca="false">C22*(1-0.08/12)+D21</f>
        <v>4.875</v>
      </c>
      <c r="E22" s="18" t="n">
        <f aca="false">D22*(1-0.08/12)+E21</f>
        <v>9.9175</v>
      </c>
      <c r="F22" s="18" t="n">
        <f aca="false">E22*(1-0.08/12)+F21</f>
        <v>15.1263833333333</v>
      </c>
      <c r="G22" s="18" t="n">
        <f aca="false">F22*(1-0.08/12)+G21</f>
        <v>20.5005407777778</v>
      </c>
      <c r="H22" s="18" t="n">
        <f aca="false">G22*(1-0.08/12)+H21</f>
        <v>27.8388705059259</v>
      </c>
      <c r="I22" s="18" t="n">
        <f aca="false">H22*(1-0.08/12)+I21</f>
        <v>35.6616113692198</v>
      </c>
      <c r="J22" s="18" t="n">
        <f aca="false">I22*(1-0.08/12)+J21</f>
        <v>43.9655339600916</v>
      </c>
      <c r="K22" s="18" t="n">
        <f aca="false">J22*(1-0.08/12)+K21</f>
        <v>52.7474304003577</v>
      </c>
      <c r="L22" s="18" t="n">
        <f aca="false">K22*(1-0.08/12)+L21</f>
        <v>61.4707808643553</v>
      </c>
      <c r="M22" s="18" t="n">
        <f aca="false">L22*(1-0.08/12)+M21</f>
        <v>70.1359756585929</v>
      </c>
      <c r="N22" s="18" t="n">
        <f aca="false">M22*(1-0.08/12)+N21</f>
        <v>78.7434024875356</v>
      </c>
      <c r="O22" s="18" t="n">
        <f aca="false">N22*(1-0.08/12)+O21</f>
        <v>87.2934464709521</v>
      </c>
      <c r="P22" s="18" t="n">
        <f aca="false">O22*(1-0.08/12)+P21</f>
        <v>93.9114901611457</v>
      </c>
      <c r="Q22" s="18" t="n">
        <f aca="false">P22*(1-0.08/12)+Q21</f>
        <v>100.485413560071</v>
      </c>
      <c r="R22" s="18" t="n">
        <f aca="false">Q22*(1-0.08/12)+R21</f>
        <v>107.015510803004</v>
      </c>
      <c r="S22" s="18" t="n">
        <f aca="false">R22*(1-0.08/12)+S21</f>
        <v>113.502074064318</v>
      </c>
      <c r="T22" s="18" t="n">
        <f aca="false">S22*(1-0.08/12)+T21</f>
        <v>119.945393570555</v>
      </c>
      <c r="U22" s="18" t="n">
        <f aca="false">T22*(1-0.08/12)+U21</f>
        <v>126.345757613418</v>
      </c>
      <c r="V22" s="18" t="n">
        <f aca="false">U22*(1-0.08/12)+V21</f>
        <v>132.703452562662</v>
      </c>
      <c r="W22" s="18" t="n">
        <f aca="false">V22*(1-0.08/12)+W21</f>
        <v>139.018762878911</v>
      </c>
      <c r="X22" s="18" t="n">
        <f aca="false">W22*(1-0.08/12)+X21</f>
        <v>145.291971126385</v>
      </c>
      <c r="Y22" s="18" t="n">
        <f aca="false">X22*(1-0.08/12)+Y21</f>
        <v>151.523357985543</v>
      </c>
      <c r="Z22" s="2"/>
      <c r="AA22" s="2"/>
      <c r="AB22" s="2"/>
    </row>
    <row r="23" customFormat="false" ht="15" hidden="false" customHeight="false" outlineLevel="0" collapsed="false">
      <c r="A23" s="17" t="s">
        <v>132</v>
      </c>
      <c r="B23" s="21" t="n">
        <f aca="false">B22/12/Assumptions!$B$22*Assumptions!$B$21</f>
        <v>0</v>
      </c>
      <c r="C23" s="21" t="n">
        <f aca="false">C22/12/Assumptions!$B$22*Assumptions!$B$21</f>
        <v>0</v>
      </c>
      <c r="D23" s="21" t="n">
        <f aca="false">D22/12/Assumptions!$B$22*Assumptions!$B$21</f>
        <v>101.15625</v>
      </c>
      <c r="E23" s="21" t="n">
        <f aca="false">E22/12/Assumptions!$B$22*Assumptions!$B$21</f>
        <v>205.788125</v>
      </c>
      <c r="F23" s="21" t="n">
        <f aca="false">F22/12/Assumptions!$B$22*Assumptions!$B$21</f>
        <v>313.872454166667</v>
      </c>
      <c r="G23" s="21" t="n">
        <f aca="false">G22/12/Assumptions!$B$22*Assumptions!$B$21</f>
        <v>425.386221138889</v>
      </c>
      <c r="H23" s="21" t="n">
        <f aca="false">H22/12/Assumptions!$B$22*Assumptions!$B$21</f>
        <v>577.656562997963</v>
      </c>
      <c r="I23" s="21" t="n">
        <f aca="false">I22/12/Assumptions!$B$22*Assumptions!$B$21</f>
        <v>739.97843591131</v>
      </c>
      <c r="J23" s="21" t="n">
        <f aca="false">J22/12/Assumptions!$B$22*Assumptions!$B$21</f>
        <v>912.284829671901</v>
      </c>
      <c r="K23" s="21" t="n">
        <f aca="false">K22/12/Assumptions!$B$22*Assumptions!$B$21</f>
        <v>1094.50918080742</v>
      </c>
      <c r="L23" s="21" t="n">
        <f aca="false">L22/12/Assumptions!$B$22*Assumptions!$B$21</f>
        <v>1275.51870293537</v>
      </c>
      <c r="M23" s="21" t="n">
        <f aca="false">M22/12/Assumptions!$B$22*Assumptions!$B$21</f>
        <v>1455.3214949158</v>
      </c>
      <c r="N23" s="21" t="n">
        <f aca="false">N22/12/Assumptions!$B$22*Assumptions!$B$21</f>
        <v>1633.92560161636</v>
      </c>
      <c r="O23" s="21" t="n">
        <f aca="false">O22/12/Assumptions!$B$22*Assumptions!$B$21</f>
        <v>1811.33901427225</v>
      </c>
      <c r="P23" s="21" t="n">
        <f aca="false">P22/12/Assumptions!$B$22*Assumptions!$B$21</f>
        <v>1948.66342084377</v>
      </c>
      <c r="Q23" s="21" t="n">
        <f aca="false">Q22/12/Assumptions!$B$22*Assumptions!$B$21</f>
        <v>2085.07233137148</v>
      </c>
      <c r="R23" s="21" t="n">
        <f aca="false">R22/12/Assumptions!$B$22*Assumptions!$B$21</f>
        <v>2220.57184916234</v>
      </c>
      <c r="S23" s="21" t="n">
        <f aca="false">S22/12/Assumptions!$B$22*Assumptions!$B$21</f>
        <v>2355.16803683459</v>
      </c>
      <c r="T23" s="21" t="n">
        <f aca="false">T22/12/Assumptions!$B$22*Assumptions!$B$21</f>
        <v>2488.86691658903</v>
      </c>
      <c r="U23" s="21" t="n">
        <f aca="false">U22/12/Assumptions!$B$22*Assumptions!$B$21</f>
        <v>2621.67447047843</v>
      </c>
      <c r="V23" s="21" t="n">
        <f aca="false">V22/12/Assumptions!$B$22*Assumptions!$B$21</f>
        <v>2753.59664067524</v>
      </c>
      <c r="W23" s="21" t="n">
        <f aca="false">W22/12/Assumptions!$B$22*Assumptions!$B$21</f>
        <v>2884.63932973741</v>
      </c>
      <c r="X23" s="21" t="n">
        <f aca="false">X22/12/Assumptions!$B$22*Assumptions!$B$21</f>
        <v>3014.80840087249</v>
      </c>
      <c r="Y23" s="21" t="n">
        <f aca="false">Y22/12/Assumptions!$B$22*Assumptions!$B$21</f>
        <v>3144.10967820001</v>
      </c>
      <c r="Z23" s="21" t="n">
        <f aca="false">SUM(B23:M23)</f>
        <v>7101.47225754533</v>
      </c>
      <c r="AA23" s="21" t="n">
        <f aca="false">SUM(N23:Y23)</f>
        <v>28962.4356906534</v>
      </c>
      <c r="AB23" s="21" t="n">
        <f aca="false">SUM(B23:Y23)</f>
        <v>36063.9079481987</v>
      </c>
    </row>
    <row r="24" customFormat="false" ht="15" hidden="false" customHeight="false" outlineLevel="0" collapsed="false">
      <c r="A24" s="15" t="s">
        <v>133</v>
      </c>
      <c r="B24" s="22" t="n">
        <f aca="false">B20+B23</f>
        <v>27300</v>
      </c>
      <c r="C24" s="22" t="n">
        <f aca="false">C20+C23</f>
        <v>29400</v>
      </c>
      <c r="D24" s="22" t="n">
        <f aca="false">D20+D23</f>
        <v>31601.15625</v>
      </c>
      <c r="E24" s="22" t="n">
        <f aca="false">E20+E23</f>
        <v>33805.788125</v>
      </c>
      <c r="F24" s="22" t="n">
        <f aca="false">F20+F23</f>
        <v>36013.8724541667</v>
      </c>
      <c r="G24" s="22" t="n">
        <f aca="false">G20+G23</f>
        <v>38225.3862211389</v>
      </c>
      <c r="H24" s="22" t="n">
        <f aca="false">H20+H23</f>
        <v>59377.656562998</v>
      </c>
      <c r="I24" s="22" t="n">
        <f aca="false">I20+I23</f>
        <v>65139.9784359113</v>
      </c>
      <c r="J24" s="22" t="n">
        <f aca="false">J20+J23</f>
        <v>70912.2848296719</v>
      </c>
      <c r="K24" s="22" t="n">
        <f aca="false">K20+K23</f>
        <v>76694.5091808074</v>
      </c>
      <c r="L24" s="22" t="n">
        <f aca="false">L20+L23</f>
        <v>76875.5187029354</v>
      </c>
      <c r="M24" s="22" t="n">
        <f aca="false">M20+M23</f>
        <v>77055.3214949158</v>
      </c>
      <c r="N24" s="22" t="n">
        <f aca="false">N20+N23</f>
        <v>77233.9256016164</v>
      </c>
      <c r="O24" s="22" t="n">
        <f aca="false">O20+O23</f>
        <v>77411.3390142723</v>
      </c>
      <c r="P24" s="22" t="n">
        <f aca="false">P20+P23</f>
        <v>77548.6634208438</v>
      </c>
      <c r="Q24" s="22" t="n">
        <f aca="false">Q20+Q23</f>
        <v>77685.0723313715</v>
      </c>
      <c r="R24" s="22" t="n">
        <f aca="false">R20+R23</f>
        <v>77820.5718491623</v>
      </c>
      <c r="S24" s="22" t="n">
        <f aca="false">S20+S23</f>
        <v>77955.1680368346</v>
      </c>
      <c r="T24" s="22" t="n">
        <f aca="false">T20+T23</f>
        <v>78088.866916589</v>
      </c>
      <c r="U24" s="22" t="n">
        <f aca="false">U20+U23</f>
        <v>78221.6744704784</v>
      </c>
      <c r="V24" s="22" t="n">
        <f aca="false">V20+V23</f>
        <v>78353.5966406752</v>
      </c>
      <c r="W24" s="22" t="n">
        <f aca="false">W20+W23</f>
        <v>78484.6393297374</v>
      </c>
      <c r="X24" s="22" t="n">
        <f aca="false">X20+X23</f>
        <v>78614.8084008725</v>
      </c>
      <c r="Y24" s="22" t="n">
        <f aca="false">Y20+Y23</f>
        <v>78744.1096782</v>
      </c>
      <c r="Z24" s="23" t="n">
        <f aca="false">SUM(B24:M24)</f>
        <v>622401.472257545</v>
      </c>
      <c r="AA24" s="23" t="n">
        <f aca="false">SUM(N24:Y24)</f>
        <v>936162.435690653</v>
      </c>
      <c r="AB24" s="23" t="n">
        <f aca="false">SUM(B24:Y24)</f>
        <v>1558563.9079482</v>
      </c>
    </row>
    <row r="25" customFormat="false" ht="15" hidden="false" customHeight="false" outlineLevel="0" collapsed="false">
      <c r="A25" s="4" t="s">
        <v>134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customFormat="false" ht="15" hidden="false" customHeight="false" outlineLevel="0" collapsed="false">
      <c r="A26" s="17" t="s">
        <v>135</v>
      </c>
      <c r="B26" s="21" t="n">
        <f aca="false">B20*Assumptions!$B$14</f>
        <v>8736</v>
      </c>
      <c r="C26" s="21" t="n">
        <f aca="false">C20*Assumptions!$B$14</f>
        <v>9408</v>
      </c>
      <c r="D26" s="21" t="n">
        <f aca="false">D20*Assumptions!$B$14</f>
        <v>10080</v>
      </c>
      <c r="E26" s="21" t="n">
        <f aca="false">E20*Assumptions!$B$14</f>
        <v>10752</v>
      </c>
      <c r="F26" s="21" t="n">
        <f aca="false">F20*Assumptions!$B$14</f>
        <v>11424</v>
      </c>
      <c r="G26" s="21" t="n">
        <f aca="false">G20*Assumptions!$B$14</f>
        <v>12096</v>
      </c>
      <c r="H26" s="21" t="n">
        <f aca="false">H20*Assumptions!$B$14</f>
        <v>18816</v>
      </c>
      <c r="I26" s="21" t="n">
        <f aca="false">I20*Assumptions!$B$14</f>
        <v>20608</v>
      </c>
      <c r="J26" s="21" t="n">
        <f aca="false">J20*Assumptions!$B$14</f>
        <v>22400</v>
      </c>
      <c r="K26" s="21" t="n">
        <f aca="false">K20*Assumptions!$B$14</f>
        <v>24192</v>
      </c>
      <c r="L26" s="21" t="n">
        <f aca="false">L20*Assumptions!$B$14</f>
        <v>24192</v>
      </c>
      <c r="M26" s="21" t="n">
        <f aca="false">M20*Assumptions!$B$14</f>
        <v>24192</v>
      </c>
      <c r="N26" s="21" t="n">
        <f aca="false">N20*Assumptions!$B$14</f>
        <v>24192</v>
      </c>
      <c r="O26" s="21" t="n">
        <f aca="false">O20*Assumptions!$B$14</f>
        <v>24192</v>
      </c>
      <c r="P26" s="21" t="n">
        <f aca="false">P20*Assumptions!$B$14</f>
        <v>24192</v>
      </c>
      <c r="Q26" s="21" t="n">
        <f aca="false">Q20*Assumptions!$B$14</f>
        <v>24192</v>
      </c>
      <c r="R26" s="21" t="n">
        <f aca="false">R20*Assumptions!$B$14</f>
        <v>24192</v>
      </c>
      <c r="S26" s="21" t="n">
        <f aca="false">S20*Assumptions!$B$14</f>
        <v>24192</v>
      </c>
      <c r="T26" s="21" t="n">
        <f aca="false">T20*Assumptions!$B$14</f>
        <v>24192</v>
      </c>
      <c r="U26" s="21" t="n">
        <f aca="false">U20*Assumptions!$B$14</f>
        <v>24192</v>
      </c>
      <c r="V26" s="21" t="n">
        <f aca="false">V20*Assumptions!$B$14</f>
        <v>24192</v>
      </c>
      <c r="W26" s="21" t="n">
        <f aca="false">W20*Assumptions!$B$14</f>
        <v>24192</v>
      </c>
      <c r="X26" s="21" t="n">
        <f aca="false">X20*Assumptions!$B$14</f>
        <v>24192</v>
      </c>
      <c r="Y26" s="21" t="n">
        <f aca="false">Y20*Assumptions!$B$14</f>
        <v>24192</v>
      </c>
      <c r="Z26" s="21" t="n">
        <f aca="false">SUM(B26:M26)</f>
        <v>196896</v>
      </c>
      <c r="AA26" s="21" t="n">
        <f aca="false">SUM(N26:Y26)</f>
        <v>290304</v>
      </c>
      <c r="AB26" s="21" t="n">
        <f aca="false">SUM(B26:Y26)</f>
        <v>487200</v>
      </c>
    </row>
    <row r="27" customFormat="false" ht="15" hidden="false" customHeight="false" outlineLevel="0" collapsed="false">
      <c r="A27" s="17" t="s">
        <v>136</v>
      </c>
      <c r="B27" s="21" t="n">
        <f aca="false">B20*Assumptions!$B$15</f>
        <v>5460</v>
      </c>
      <c r="C27" s="21" t="n">
        <f aca="false">C20*Assumptions!$B$15</f>
        <v>5880</v>
      </c>
      <c r="D27" s="21" t="n">
        <f aca="false">D20*Assumptions!$B$15</f>
        <v>6300</v>
      </c>
      <c r="E27" s="21" t="n">
        <f aca="false">E20*Assumptions!$B$15</f>
        <v>6720</v>
      </c>
      <c r="F27" s="21" t="n">
        <f aca="false">F20*Assumptions!$B$15</f>
        <v>7140</v>
      </c>
      <c r="G27" s="21" t="n">
        <f aca="false">G20*Assumptions!$B$15</f>
        <v>7560</v>
      </c>
      <c r="H27" s="21" t="n">
        <f aca="false">H20*Assumptions!$B$15</f>
        <v>11760</v>
      </c>
      <c r="I27" s="21" t="n">
        <f aca="false">I20*Assumptions!$B$15</f>
        <v>12880</v>
      </c>
      <c r="J27" s="21" t="n">
        <f aca="false">J20*Assumptions!$B$15</f>
        <v>14000</v>
      </c>
      <c r="K27" s="21" t="n">
        <f aca="false">K20*Assumptions!$B$15</f>
        <v>15120</v>
      </c>
      <c r="L27" s="21" t="n">
        <f aca="false">L20*Assumptions!$B$15</f>
        <v>15120</v>
      </c>
      <c r="M27" s="21" t="n">
        <f aca="false">M20*Assumptions!$B$15</f>
        <v>15120</v>
      </c>
      <c r="N27" s="21" t="n">
        <f aca="false">N20*Assumptions!$B$15</f>
        <v>15120</v>
      </c>
      <c r="O27" s="21" t="n">
        <f aca="false">O20*Assumptions!$B$15</f>
        <v>15120</v>
      </c>
      <c r="P27" s="21" t="n">
        <f aca="false">P20*Assumptions!$B$15</f>
        <v>15120</v>
      </c>
      <c r="Q27" s="21" t="n">
        <f aca="false">Q20*Assumptions!$B$15</f>
        <v>15120</v>
      </c>
      <c r="R27" s="21" t="n">
        <f aca="false">R20*Assumptions!$B$15</f>
        <v>15120</v>
      </c>
      <c r="S27" s="21" t="n">
        <f aca="false">S20*Assumptions!$B$15</f>
        <v>15120</v>
      </c>
      <c r="T27" s="21" t="n">
        <f aca="false">T20*Assumptions!$B$15</f>
        <v>15120</v>
      </c>
      <c r="U27" s="21" t="n">
        <f aca="false">U20*Assumptions!$B$15</f>
        <v>15120</v>
      </c>
      <c r="V27" s="21" t="n">
        <f aca="false">V20*Assumptions!$B$15</f>
        <v>15120</v>
      </c>
      <c r="W27" s="21" t="n">
        <f aca="false">W20*Assumptions!$B$15</f>
        <v>15120</v>
      </c>
      <c r="X27" s="21" t="n">
        <f aca="false">X20*Assumptions!$B$15</f>
        <v>15120</v>
      </c>
      <c r="Y27" s="21" t="n">
        <f aca="false">Y20*Assumptions!$B$15</f>
        <v>15120</v>
      </c>
      <c r="Z27" s="21" t="n">
        <f aca="false">SUM(B27:M27)</f>
        <v>123060</v>
      </c>
      <c r="AA27" s="21" t="n">
        <f aca="false">SUM(N27:Y27)</f>
        <v>181440</v>
      </c>
      <c r="AB27" s="21" t="n">
        <f aca="false">SUM(B27:Y27)</f>
        <v>304500</v>
      </c>
    </row>
    <row r="28" customFormat="false" ht="15" hidden="false" customHeight="false" outlineLevel="0" collapsed="false">
      <c r="A28" s="17" t="s">
        <v>137</v>
      </c>
      <c r="B28" s="21" t="n">
        <f aca="false">B22/12/Assumptions!$B$22*Assumptions!$B$27</f>
        <v>0</v>
      </c>
      <c r="C28" s="21" t="n">
        <f aca="false">C22/12/Assumptions!$B$22*Assumptions!$B$27</f>
        <v>0</v>
      </c>
      <c r="D28" s="21" t="n">
        <f aca="false">D22/12/Assumptions!$B$22*Assumptions!$B$27</f>
        <v>28.4375</v>
      </c>
      <c r="E28" s="21" t="n">
        <f aca="false">E22/12/Assumptions!$B$22*Assumptions!$B$27</f>
        <v>57.8520833333333</v>
      </c>
      <c r="F28" s="21" t="n">
        <f aca="false">F22/12/Assumptions!$B$22*Assumptions!$B$27</f>
        <v>88.2372361111111</v>
      </c>
      <c r="G28" s="21" t="n">
        <f aca="false">G22/12/Assumptions!$B$22*Assumptions!$B$27</f>
        <v>119.58648787037</v>
      </c>
      <c r="H28" s="21" t="n">
        <f aca="false">H22/12/Assumptions!$B$22*Assumptions!$B$27</f>
        <v>162.393411284568</v>
      </c>
      <c r="I28" s="21" t="n">
        <f aca="false">I22/12/Assumptions!$B$22*Assumptions!$B$27</f>
        <v>208.026066320449</v>
      </c>
      <c r="J28" s="21" t="n">
        <f aca="false">J22/12/Assumptions!$B$22*Assumptions!$B$27</f>
        <v>256.465614767201</v>
      </c>
      <c r="K28" s="21" t="n">
        <f aca="false">K22/12/Assumptions!$B$22*Assumptions!$B$27</f>
        <v>307.693344002086</v>
      </c>
      <c r="L28" s="21" t="n">
        <f aca="false">L22/12/Assumptions!$B$22*Assumptions!$B$27</f>
        <v>358.579555042073</v>
      </c>
      <c r="M28" s="21" t="n">
        <f aca="false">M22/12/Assumptions!$B$22*Assumptions!$B$27</f>
        <v>409.126524675125</v>
      </c>
      <c r="N28" s="21" t="n">
        <f aca="false">N22/12/Assumptions!$B$22*Assumptions!$B$27</f>
        <v>459.336514510624</v>
      </c>
      <c r="O28" s="21" t="n">
        <f aca="false">O22/12/Assumptions!$B$22*Assumptions!$B$27</f>
        <v>509.211771080554</v>
      </c>
      <c r="P28" s="21" t="n">
        <f aca="false">P22/12/Assumptions!$B$22*Assumptions!$B$27</f>
        <v>547.817025940017</v>
      </c>
      <c r="Q28" s="21" t="n">
        <f aca="false">Q22/12/Assumptions!$B$22*Assumptions!$B$27</f>
        <v>586.16491243375</v>
      </c>
      <c r="R28" s="21" t="n">
        <f aca="false">R22/12/Assumptions!$B$22*Assumptions!$B$27</f>
        <v>624.257146350858</v>
      </c>
      <c r="S28" s="21" t="n">
        <f aca="false">S22/12/Assumptions!$B$22*Assumptions!$B$27</f>
        <v>662.095432041853</v>
      </c>
      <c r="T28" s="21" t="n">
        <f aca="false">T22/12/Assumptions!$B$22*Assumptions!$B$27</f>
        <v>699.681462494907</v>
      </c>
      <c r="U28" s="21" t="n">
        <f aca="false">U22/12/Assumptions!$B$22*Assumptions!$B$27</f>
        <v>737.016919411607</v>
      </c>
      <c r="V28" s="21" t="n">
        <f aca="false">V22/12/Assumptions!$B$22*Assumptions!$B$27</f>
        <v>774.103473282197</v>
      </c>
      <c r="W28" s="21" t="n">
        <f aca="false">W22/12/Assumptions!$B$22*Assumptions!$B$27</f>
        <v>810.942783460315</v>
      </c>
      <c r="X28" s="21" t="n">
        <f aca="false">X22/12/Assumptions!$B$22*Assumptions!$B$27</f>
        <v>847.536498237246</v>
      </c>
      <c r="Y28" s="21" t="n">
        <f aca="false">Y22/12/Assumptions!$B$22*Assumptions!$B$27</f>
        <v>883.886254915665</v>
      </c>
      <c r="Z28" s="21" t="n">
        <f aca="false">SUM(B28:M28)</f>
        <v>1996.39782340632</v>
      </c>
      <c r="AA28" s="21" t="n">
        <f aca="false">SUM(N28:Y28)</f>
        <v>8142.05019415959</v>
      </c>
      <c r="AB28" s="21" t="n">
        <f aca="false">SUM(B28:Y28)</f>
        <v>10138.4480175659</v>
      </c>
    </row>
    <row r="29" customFormat="false" ht="15" hidden="false" customHeight="false" outlineLevel="0" collapsed="false">
      <c r="A29" s="15" t="s">
        <v>138</v>
      </c>
      <c r="B29" s="22" t="n">
        <f aca="false">B26+B27+B28</f>
        <v>14196</v>
      </c>
      <c r="C29" s="22" t="n">
        <f aca="false">C26+C27+C28</f>
        <v>15288</v>
      </c>
      <c r="D29" s="22" t="n">
        <f aca="false">D26+D27+D28</f>
        <v>16408.4375</v>
      </c>
      <c r="E29" s="22" t="n">
        <f aca="false">E26+E27+E28</f>
        <v>17529.8520833333</v>
      </c>
      <c r="F29" s="22" t="n">
        <f aca="false">F26+F27+F28</f>
        <v>18652.2372361111</v>
      </c>
      <c r="G29" s="22" t="n">
        <f aca="false">G26+G27+G28</f>
        <v>19775.5864878704</v>
      </c>
      <c r="H29" s="22" t="n">
        <f aca="false">H26+H27+H28</f>
        <v>30738.3934112846</v>
      </c>
      <c r="I29" s="22" t="n">
        <f aca="false">I26+I27+I28</f>
        <v>33696.0260663205</v>
      </c>
      <c r="J29" s="22" t="n">
        <f aca="false">J26+J27+J28</f>
        <v>36656.4656147672</v>
      </c>
      <c r="K29" s="22" t="n">
        <f aca="false">K26+K27+K28</f>
        <v>39619.6933440021</v>
      </c>
      <c r="L29" s="22" t="n">
        <f aca="false">L26+L27+L28</f>
        <v>39670.5795550421</v>
      </c>
      <c r="M29" s="22" t="n">
        <f aca="false">M26+M27+M28</f>
        <v>39721.1265246751</v>
      </c>
      <c r="N29" s="22" t="n">
        <f aca="false">N26+N27+N28</f>
        <v>39771.3365145106</v>
      </c>
      <c r="O29" s="22" t="n">
        <f aca="false">O26+O27+O28</f>
        <v>39821.2117710806</v>
      </c>
      <c r="P29" s="22" t="n">
        <f aca="false">P26+P27+P28</f>
        <v>39859.81702594</v>
      </c>
      <c r="Q29" s="22" t="n">
        <f aca="false">Q26+Q27+Q28</f>
        <v>39898.1649124338</v>
      </c>
      <c r="R29" s="22" t="n">
        <f aca="false">R26+R27+R28</f>
        <v>39936.2571463509</v>
      </c>
      <c r="S29" s="22" t="n">
        <f aca="false">S26+S27+S28</f>
        <v>39974.0954320419</v>
      </c>
      <c r="T29" s="22" t="n">
        <f aca="false">T26+T27+T28</f>
        <v>40011.6814624949</v>
      </c>
      <c r="U29" s="22" t="n">
        <f aca="false">U26+U27+U28</f>
        <v>40049.0169194116</v>
      </c>
      <c r="V29" s="22" t="n">
        <f aca="false">V26+V27+V28</f>
        <v>40086.1034732822</v>
      </c>
      <c r="W29" s="22" t="n">
        <f aca="false">W26+W27+W28</f>
        <v>40122.9427834603</v>
      </c>
      <c r="X29" s="22" t="n">
        <f aca="false">X26+X27+X28</f>
        <v>40159.5364982373</v>
      </c>
      <c r="Y29" s="22" t="n">
        <f aca="false">Y26+Y27+Y28</f>
        <v>40195.8862549157</v>
      </c>
      <c r="Z29" s="23" t="n">
        <f aca="false">SUM(B29:M29)</f>
        <v>321952.397823406</v>
      </c>
      <c r="AA29" s="23" t="n">
        <f aca="false">SUM(N29:Y29)</f>
        <v>479886.05019416</v>
      </c>
      <c r="AB29" s="23" t="n">
        <f aca="false">SUM(B29:Y29)</f>
        <v>801838.448017566</v>
      </c>
    </row>
    <row r="30" customFormat="false" ht="15" hidden="false" customHeight="false" outlineLevel="0" collapsed="false">
      <c r="A30" s="15" t="s">
        <v>139</v>
      </c>
      <c r="B30" s="23" t="n">
        <f aca="false">B24-B29</f>
        <v>13104</v>
      </c>
      <c r="C30" s="23" t="n">
        <f aca="false">C24-C29</f>
        <v>14112</v>
      </c>
      <c r="D30" s="23" t="n">
        <f aca="false">D24-D29</f>
        <v>15192.71875</v>
      </c>
      <c r="E30" s="23" t="n">
        <f aca="false">E24-E29</f>
        <v>16275.9360416667</v>
      </c>
      <c r="F30" s="23" t="n">
        <f aca="false">F24-F29</f>
        <v>17361.6352180556</v>
      </c>
      <c r="G30" s="23" t="n">
        <f aca="false">G24-G29</f>
        <v>18449.7997332685</v>
      </c>
      <c r="H30" s="23" t="n">
        <f aca="false">H24-H29</f>
        <v>28639.2631517134</v>
      </c>
      <c r="I30" s="23" t="n">
        <f aca="false">I24-I29</f>
        <v>31443.9523695909</v>
      </c>
      <c r="J30" s="23" t="n">
        <f aca="false">J24-J29</f>
        <v>34255.8192149047</v>
      </c>
      <c r="K30" s="23" t="n">
        <f aca="false">K24-K29</f>
        <v>37074.8158368053</v>
      </c>
      <c r="L30" s="23" t="n">
        <f aca="false">L24-L29</f>
        <v>37204.9391478933</v>
      </c>
      <c r="M30" s="23" t="n">
        <f aca="false">M24-M29</f>
        <v>37334.1949702407</v>
      </c>
      <c r="N30" s="23" t="n">
        <f aca="false">N24-N29</f>
        <v>37462.5890871058</v>
      </c>
      <c r="O30" s="23" t="n">
        <f aca="false">O24-O29</f>
        <v>37590.1272431917</v>
      </c>
      <c r="P30" s="23" t="n">
        <f aca="false">P24-P29</f>
        <v>37688.8463949038</v>
      </c>
      <c r="Q30" s="23" t="n">
        <f aca="false">Q24-Q29</f>
        <v>37786.9074189377</v>
      </c>
      <c r="R30" s="23" t="n">
        <f aca="false">R24-R29</f>
        <v>37884.3147028115</v>
      </c>
      <c r="S30" s="23" t="n">
        <f aca="false">S24-S29</f>
        <v>37981.0726047927</v>
      </c>
      <c r="T30" s="23" t="n">
        <f aca="false">T24-T29</f>
        <v>38077.1854540941</v>
      </c>
      <c r="U30" s="23" t="n">
        <f aca="false">U24-U29</f>
        <v>38172.6575510668</v>
      </c>
      <c r="V30" s="23" t="n">
        <f aca="false">V24-V29</f>
        <v>38267.4931673931</v>
      </c>
      <c r="W30" s="23" t="n">
        <f aca="false">W24-W29</f>
        <v>38361.6965462771</v>
      </c>
      <c r="X30" s="23" t="n">
        <f aca="false">X24-X29</f>
        <v>38455.2719026352</v>
      </c>
      <c r="Y30" s="23" t="n">
        <f aca="false">Y24-Y29</f>
        <v>38548.2234232844</v>
      </c>
      <c r="Z30" s="23" t="n">
        <f aca="false">SUM(B30:M30)</f>
        <v>300449.074434139</v>
      </c>
      <c r="AA30" s="23" t="n">
        <f aca="false">SUM(N30:Y30)</f>
        <v>456276.385496494</v>
      </c>
      <c r="AB30" s="23" t="n">
        <f aca="false">SUM(B30:Y30)</f>
        <v>756725.459930633</v>
      </c>
    </row>
    <row r="31" customFormat="false" ht="15" hidden="false" customHeight="false" outlineLevel="0" collapsed="false">
      <c r="A31" s="17" t="s">
        <v>140</v>
      </c>
      <c r="B31" s="20" t="n">
        <f aca="false">IF(B24=0,0,B30/B24)</f>
        <v>0.48</v>
      </c>
      <c r="C31" s="20" t="n">
        <f aca="false">IF(C24=0,0,C30/C24)</f>
        <v>0.48</v>
      </c>
      <c r="D31" s="20" t="n">
        <f aca="false">IF(D24=0,0,D30/D24)</f>
        <v>0.480764647654309</v>
      </c>
      <c r="E31" s="20" t="n">
        <f aca="false">IF(E24=0,0,E30/E24)</f>
        <v>0.481454122042205</v>
      </c>
      <c r="F31" s="20" t="n">
        <f aca="false">IF(F24=0,0,F30/F24)</f>
        <v>0.482081876647699</v>
      </c>
      <c r="G31" s="20" t="n">
        <f aca="false">IF(G24=0,0,G30/G24)</f>
        <v>0.482658294844531</v>
      </c>
      <c r="H31" s="20" t="n">
        <f aca="false">IF(H24=0,0,H30/H24)</f>
        <v>0.482323904469486</v>
      </c>
      <c r="I31" s="20" t="n">
        <f aca="false">IF(I24=0,0,I30/I24)</f>
        <v>0.4827135827275</v>
      </c>
      <c r="J31" s="20" t="n">
        <f aca="false">IF(J24=0,0,J30/J24)</f>
        <v>0.483073127557314</v>
      </c>
      <c r="K31" s="20" t="n">
        <f aca="false">IF(K24=0,0,K30/K24)</f>
        <v>0.483408998020985</v>
      </c>
      <c r="L31" s="20" t="n">
        <f aca="false">IF(L24=0,0,L30/L24)</f>
        <v>0.483963422629533</v>
      </c>
      <c r="M31" s="20" t="n">
        <f aca="false">IF(M24=0,0,M30/M24)</f>
        <v>0.484511572282571</v>
      </c>
      <c r="N31" s="20" t="n">
        <f aca="false">IF(N24=0,0,N30/N24)</f>
        <v>0.485053540853836</v>
      </c>
      <c r="O31" s="20" t="n">
        <f aca="false">IF(O24=0,0,O30/O24)</f>
        <v>0.485589420385316</v>
      </c>
      <c r="P31" s="20" t="n">
        <f aca="false">IF(P24=0,0,P30/P24)</f>
        <v>0.486002527088992</v>
      </c>
      <c r="Q31" s="20" t="n">
        <f aca="false">IF(Q24=0,0,Q30/Q24)</f>
        <v>0.486411433817746</v>
      </c>
      <c r="R31" s="20" t="n">
        <f aca="false">IF(R24=0,0,R30/R24)</f>
        <v>0.486816195288846</v>
      </c>
      <c r="S31" s="20" t="n">
        <f aca="false">IF(S24=0,0,S30/S24)</f>
        <v>0.487216865299377</v>
      </c>
      <c r="T31" s="20" t="n">
        <f aca="false">IF(T24=0,0,T30/T24)</f>
        <v>0.487613496745528</v>
      </c>
      <c r="U31" s="20" t="n">
        <f aca="false">IF(U24=0,0,U30/U24)</f>
        <v>0.488006141641388</v>
      </c>
      <c r="V31" s="20" t="n">
        <f aca="false">IF(V24=0,0,V30/V24)</f>
        <v>0.48839485113728</v>
      </c>
      <c r="W31" s="20" t="n">
        <f aca="false">IF(W24=0,0,W30/W24)</f>
        <v>0.488779675537632</v>
      </c>
      <c r="X31" s="20" t="n">
        <f aca="false">IF(X24=0,0,X30/X24)</f>
        <v>0.489160664318409</v>
      </c>
      <c r="Y31" s="20" t="n">
        <f aca="false">IF(Y24=0,0,Y30/Y24)</f>
        <v>0.489537866144117</v>
      </c>
      <c r="Z31" s="2"/>
      <c r="AA31" s="2"/>
      <c r="AB31" s="2"/>
    </row>
    <row r="32" customFormat="false" ht="15" hidden="false" customHeight="false" outlineLevel="0" collapsed="false">
      <c r="A32" s="4" t="s">
        <v>141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customFormat="false" ht="15" hidden="false" customHeight="false" outlineLevel="0" collapsed="false">
      <c r="A33" s="17" t="s">
        <v>142</v>
      </c>
      <c r="B33" s="21" t="n">
        <f aca="false">Assumptions!$B$46</f>
        <v>6000</v>
      </c>
      <c r="C33" s="21" t="n">
        <f aca="false">Assumptions!$B$46</f>
        <v>6000</v>
      </c>
      <c r="D33" s="21" t="n">
        <f aca="false">Assumptions!$B$46</f>
        <v>6000</v>
      </c>
      <c r="E33" s="21" t="n">
        <f aca="false">Assumptions!$B$46</f>
        <v>6000</v>
      </c>
      <c r="F33" s="21" t="n">
        <f aca="false">Assumptions!$B$46</f>
        <v>6000</v>
      </c>
      <c r="G33" s="21" t="n">
        <f aca="false">Assumptions!$B$46</f>
        <v>6000</v>
      </c>
      <c r="H33" s="21" t="n">
        <f aca="false">Assumptions!$B$46</f>
        <v>6000</v>
      </c>
      <c r="I33" s="21" t="n">
        <f aca="false">Assumptions!$B$46</f>
        <v>6000</v>
      </c>
      <c r="J33" s="21" t="n">
        <f aca="false">Assumptions!$B$46</f>
        <v>6000</v>
      </c>
      <c r="K33" s="21" t="n">
        <f aca="false">Assumptions!$B$46</f>
        <v>6000</v>
      </c>
      <c r="L33" s="21" t="n">
        <f aca="false">Assumptions!$B$46</f>
        <v>6000</v>
      </c>
      <c r="M33" s="21" t="n">
        <f aca="false">Assumptions!$B$46</f>
        <v>6000</v>
      </c>
      <c r="N33" s="21" t="n">
        <f aca="false">Assumptions!$B$46</f>
        <v>6000</v>
      </c>
      <c r="O33" s="21" t="n">
        <f aca="false">Assumptions!$B$46</f>
        <v>6000</v>
      </c>
      <c r="P33" s="21" t="n">
        <f aca="false">Assumptions!$B$46</f>
        <v>6000</v>
      </c>
      <c r="Q33" s="21" t="n">
        <f aca="false">Assumptions!$B$46</f>
        <v>6000</v>
      </c>
      <c r="R33" s="21" t="n">
        <f aca="false">Assumptions!$B$46</f>
        <v>6000</v>
      </c>
      <c r="S33" s="21" t="n">
        <f aca="false">Assumptions!$B$46</f>
        <v>6000</v>
      </c>
      <c r="T33" s="21" t="n">
        <f aca="false">Assumptions!$B$46</f>
        <v>6000</v>
      </c>
      <c r="U33" s="21" t="n">
        <f aca="false">Assumptions!$B$46</f>
        <v>6000</v>
      </c>
      <c r="V33" s="21" t="n">
        <f aca="false">Assumptions!$B$46</f>
        <v>6000</v>
      </c>
      <c r="W33" s="21" t="n">
        <f aca="false">Assumptions!$B$46</f>
        <v>6000</v>
      </c>
      <c r="X33" s="21" t="n">
        <f aca="false">Assumptions!$B$46</f>
        <v>6000</v>
      </c>
      <c r="Y33" s="21" t="n">
        <f aca="false">Assumptions!$B$46</f>
        <v>6000</v>
      </c>
      <c r="Z33" s="21" t="n">
        <f aca="false">SUM(B33:M33)</f>
        <v>72000</v>
      </c>
      <c r="AA33" s="21" t="n">
        <f aca="false">SUM(N33:Y33)</f>
        <v>72000</v>
      </c>
      <c r="AB33" s="21" t="n">
        <f aca="false">SUM(B33:Y33)</f>
        <v>144000</v>
      </c>
    </row>
    <row r="34" customFormat="false" ht="15" hidden="false" customHeight="false" outlineLevel="0" collapsed="false">
      <c r="A34" s="17" t="s">
        <v>143</v>
      </c>
      <c r="B34" s="21" t="n">
        <f aca="false">Assumptions!$B$47</f>
        <v>900</v>
      </c>
      <c r="C34" s="21" t="n">
        <f aca="false">Assumptions!$B$47</f>
        <v>900</v>
      </c>
      <c r="D34" s="21" t="n">
        <f aca="false">Assumptions!$B$47</f>
        <v>900</v>
      </c>
      <c r="E34" s="21" t="n">
        <f aca="false">Assumptions!$B$47</f>
        <v>900</v>
      </c>
      <c r="F34" s="21" t="n">
        <f aca="false">Assumptions!$B$47</f>
        <v>900</v>
      </c>
      <c r="G34" s="21" t="n">
        <f aca="false">Assumptions!$B$47</f>
        <v>900</v>
      </c>
      <c r="H34" s="21" t="n">
        <f aca="false">Assumptions!$B$47</f>
        <v>900</v>
      </c>
      <c r="I34" s="21" t="n">
        <f aca="false">Assumptions!$B$47</f>
        <v>900</v>
      </c>
      <c r="J34" s="21" t="n">
        <f aca="false">Assumptions!$B$47</f>
        <v>900</v>
      </c>
      <c r="K34" s="21" t="n">
        <f aca="false">Assumptions!$B$47</f>
        <v>900</v>
      </c>
      <c r="L34" s="21" t="n">
        <f aca="false">Assumptions!$B$47</f>
        <v>900</v>
      </c>
      <c r="M34" s="21" t="n">
        <f aca="false">Assumptions!$B$47</f>
        <v>900</v>
      </c>
      <c r="N34" s="21" t="n">
        <f aca="false">Assumptions!$B$47</f>
        <v>900</v>
      </c>
      <c r="O34" s="21" t="n">
        <f aca="false">Assumptions!$B$47</f>
        <v>900</v>
      </c>
      <c r="P34" s="21" t="n">
        <f aca="false">Assumptions!$B$47</f>
        <v>900</v>
      </c>
      <c r="Q34" s="21" t="n">
        <f aca="false">Assumptions!$B$47</f>
        <v>900</v>
      </c>
      <c r="R34" s="21" t="n">
        <f aca="false">Assumptions!$B$47</f>
        <v>900</v>
      </c>
      <c r="S34" s="21" t="n">
        <f aca="false">Assumptions!$B$47</f>
        <v>900</v>
      </c>
      <c r="T34" s="21" t="n">
        <f aca="false">Assumptions!$B$47</f>
        <v>900</v>
      </c>
      <c r="U34" s="21" t="n">
        <f aca="false">Assumptions!$B$47</f>
        <v>900</v>
      </c>
      <c r="V34" s="21" t="n">
        <f aca="false">Assumptions!$B$47</f>
        <v>900</v>
      </c>
      <c r="W34" s="21" t="n">
        <f aca="false">Assumptions!$B$47</f>
        <v>900</v>
      </c>
      <c r="X34" s="21" t="n">
        <f aca="false">Assumptions!$B$47</f>
        <v>900</v>
      </c>
      <c r="Y34" s="21" t="n">
        <f aca="false">Assumptions!$B$47</f>
        <v>900</v>
      </c>
      <c r="Z34" s="21" t="n">
        <f aca="false">SUM(B34:M34)</f>
        <v>10800</v>
      </c>
      <c r="AA34" s="21" t="n">
        <f aca="false">SUM(N34:Y34)</f>
        <v>10800</v>
      </c>
      <c r="AB34" s="21" t="n">
        <f aca="false">SUM(B34:Y34)</f>
        <v>21600</v>
      </c>
    </row>
    <row r="35" customFormat="false" ht="15" hidden="false" customHeight="false" outlineLevel="0" collapsed="false">
      <c r="A35" s="17" t="s">
        <v>144</v>
      </c>
      <c r="B35" s="21" t="n">
        <f aca="false">Assumptions!$B$48</f>
        <v>1800</v>
      </c>
      <c r="C35" s="21" t="n">
        <f aca="false">Assumptions!$B$48</f>
        <v>1800</v>
      </c>
      <c r="D35" s="21" t="n">
        <f aca="false">Assumptions!$B$48</f>
        <v>1800</v>
      </c>
      <c r="E35" s="21" t="n">
        <f aca="false">Assumptions!$B$48</f>
        <v>1800</v>
      </c>
      <c r="F35" s="21" t="n">
        <f aca="false">Assumptions!$B$48</f>
        <v>1800</v>
      </c>
      <c r="G35" s="21" t="n">
        <f aca="false">Assumptions!$B$48</f>
        <v>1800</v>
      </c>
      <c r="H35" s="21" t="n">
        <f aca="false">Assumptions!$B$48</f>
        <v>1800</v>
      </c>
      <c r="I35" s="21" t="n">
        <f aca="false">Assumptions!$B$48</f>
        <v>1800</v>
      </c>
      <c r="J35" s="21" t="n">
        <f aca="false">Assumptions!$B$48</f>
        <v>1800</v>
      </c>
      <c r="K35" s="21" t="n">
        <f aca="false">Assumptions!$B$48</f>
        <v>1800</v>
      </c>
      <c r="L35" s="21" t="n">
        <f aca="false">Assumptions!$B$48</f>
        <v>1800</v>
      </c>
      <c r="M35" s="21" t="n">
        <f aca="false">Assumptions!$B$48</f>
        <v>1800</v>
      </c>
      <c r="N35" s="21" t="n">
        <f aca="false">Assumptions!$B$48</f>
        <v>1800</v>
      </c>
      <c r="O35" s="21" t="n">
        <f aca="false">Assumptions!$B$48</f>
        <v>1800</v>
      </c>
      <c r="P35" s="21" t="n">
        <f aca="false">Assumptions!$B$48</f>
        <v>1800</v>
      </c>
      <c r="Q35" s="21" t="n">
        <f aca="false">Assumptions!$B$48</f>
        <v>1800</v>
      </c>
      <c r="R35" s="21" t="n">
        <f aca="false">Assumptions!$B$48</f>
        <v>1800</v>
      </c>
      <c r="S35" s="21" t="n">
        <f aca="false">Assumptions!$B$48</f>
        <v>1800</v>
      </c>
      <c r="T35" s="21" t="n">
        <f aca="false">Assumptions!$B$48</f>
        <v>1800</v>
      </c>
      <c r="U35" s="21" t="n">
        <f aca="false">Assumptions!$B$48</f>
        <v>1800</v>
      </c>
      <c r="V35" s="21" t="n">
        <f aca="false">Assumptions!$B$48</f>
        <v>1800</v>
      </c>
      <c r="W35" s="21" t="n">
        <f aca="false">Assumptions!$B$48</f>
        <v>1800</v>
      </c>
      <c r="X35" s="21" t="n">
        <f aca="false">Assumptions!$B$48</f>
        <v>1800</v>
      </c>
      <c r="Y35" s="21" t="n">
        <f aca="false">Assumptions!$B$48</f>
        <v>1800</v>
      </c>
      <c r="Z35" s="21" t="n">
        <f aca="false">SUM(B35:M35)</f>
        <v>21600</v>
      </c>
      <c r="AA35" s="21" t="n">
        <f aca="false">SUM(N35:Y35)</f>
        <v>21600</v>
      </c>
      <c r="AB35" s="21" t="n">
        <f aca="false">SUM(B35:Y35)</f>
        <v>43200</v>
      </c>
    </row>
    <row r="36" customFormat="false" ht="15" hidden="false" customHeight="false" outlineLevel="0" collapsed="false">
      <c r="A36" s="17" t="s">
        <v>145</v>
      </c>
      <c r="B36" s="21" t="n">
        <f aca="false">Assumptions!$B$49</f>
        <v>350</v>
      </c>
      <c r="C36" s="21" t="n">
        <f aca="false">Assumptions!$B$49</f>
        <v>350</v>
      </c>
      <c r="D36" s="21" t="n">
        <f aca="false">Assumptions!$B$49</f>
        <v>350</v>
      </c>
      <c r="E36" s="21" t="n">
        <f aca="false">Assumptions!$B$49</f>
        <v>350</v>
      </c>
      <c r="F36" s="21" t="n">
        <f aca="false">Assumptions!$B$49</f>
        <v>350</v>
      </c>
      <c r="G36" s="21" t="n">
        <f aca="false">Assumptions!$B$49</f>
        <v>350</v>
      </c>
      <c r="H36" s="21" t="n">
        <f aca="false">Assumptions!$B$49</f>
        <v>350</v>
      </c>
      <c r="I36" s="21" t="n">
        <f aca="false">Assumptions!$B$49</f>
        <v>350</v>
      </c>
      <c r="J36" s="21" t="n">
        <f aca="false">Assumptions!$B$49</f>
        <v>350</v>
      </c>
      <c r="K36" s="21" t="n">
        <f aca="false">Assumptions!$B$49</f>
        <v>350</v>
      </c>
      <c r="L36" s="21" t="n">
        <f aca="false">Assumptions!$B$49</f>
        <v>350</v>
      </c>
      <c r="M36" s="21" t="n">
        <f aca="false">Assumptions!$B$49</f>
        <v>350</v>
      </c>
      <c r="N36" s="21" t="n">
        <f aca="false">Assumptions!$B$49</f>
        <v>350</v>
      </c>
      <c r="O36" s="21" t="n">
        <f aca="false">Assumptions!$B$49</f>
        <v>350</v>
      </c>
      <c r="P36" s="21" t="n">
        <f aca="false">Assumptions!$B$49</f>
        <v>350</v>
      </c>
      <c r="Q36" s="21" t="n">
        <f aca="false">Assumptions!$B$49</f>
        <v>350</v>
      </c>
      <c r="R36" s="21" t="n">
        <f aca="false">Assumptions!$B$49</f>
        <v>350</v>
      </c>
      <c r="S36" s="21" t="n">
        <f aca="false">Assumptions!$B$49</f>
        <v>350</v>
      </c>
      <c r="T36" s="21" t="n">
        <f aca="false">Assumptions!$B$49</f>
        <v>350</v>
      </c>
      <c r="U36" s="21" t="n">
        <f aca="false">Assumptions!$B$49</f>
        <v>350</v>
      </c>
      <c r="V36" s="21" t="n">
        <f aca="false">Assumptions!$B$49</f>
        <v>350</v>
      </c>
      <c r="W36" s="21" t="n">
        <f aca="false">Assumptions!$B$49</f>
        <v>350</v>
      </c>
      <c r="X36" s="21" t="n">
        <f aca="false">Assumptions!$B$49</f>
        <v>350</v>
      </c>
      <c r="Y36" s="21" t="n">
        <f aca="false">Assumptions!$B$49</f>
        <v>350</v>
      </c>
      <c r="Z36" s="21" t="n">
        <f aca="false">SUM(B36:M36)</f>
        <v>4200</v>
      </c>
      <c r="AA36" s="21" t="n">
        <f aca="false">SUM(N36:Y36)</f>
        <v>4200</v>
      </c>
      <c r="AB36" s="21" t="n">
        <f aca="false">SUM(B36:Y36)</f>
        <v>8400</v>
      </c>
    </row>
    <row r="37" customFormat="false" ht="15" hidden="false" customHeight="false" outlineLevel="0" collapsed="false">
      <c r="A37" s="17" t="s">
        <v>146</v>
      </c>
      <c r="B37" s="21" t="n">
        <f aca="false">Assumptions!$B$50</f>
        <v>250</v>
      </c>
      <c r="C37" s="21" t="n">
        <f aca="false">Assumptions!$B$50</f>
        <v>250</v>
      </c>
      <c r="D37" s="21" t="n">
        <f aca="false">Assumptions!$B$50</f>
        <v>250</v>
      </c>
      <c r="E37" s="21" t="n">
        <f aca="false">Assumptions!$B$50</f>
        <v>250</v>
      </c>
      <c r="F37" s="21" t="n">
        <f aca="false">Assumptions!$B$50</f>
        <v>250</v>
      </c>
      <c r="G37" s="21" t="n">
        <f aca="false">Assumptions!$B$50</f>
        <v>250</v>
      </c>
      <c r="H37" s="21" t="n">
        <f aca="false">Assumptions!$B$50</f>
        <v>250</v>
      </c>
      <c r="I37" s="21" t="n">
        <f aca="false">Assumptions!$B$50</f>
        <v>250</v>
      </c>
      <c r="J37" s="21" t="n">
        <f aca="false">Assumptions!$B$50</f>
        <v>250</v>
      </c>
      <c r="K37" s="21" t="n">
        <f aca="false">Assumptions!$B$50</f>
        <v>250</v>
      </c>
      <c r="L37" s="21" t="n">
        <f aca="false">Assumptions!$B$50</f>
        <v>250</v>
      </c>
      <c r="M37" s="21" t="n">
        <f aca="false">Assumptions!$B$50</f>
        <v>250</v>
      </c>
      <c r="N37" s="21" t="n">
        <f aca="false">Assumptions!$B$50</f>
        <v>250</v>
      </c>
      <c r="O37" s="21" t="n">
        <f aca="false">Assumptions!$B$50</f>
        <v>250</v>
      </c>
      <c r="P37" s="21" t="n">
        <f aca="false">Assumptions!$B$50</f>
        <v>250</v>
      </c>
      <c r="Q37" s="21" t="n">
        <f aca="false">Assumptions!$B$50</f>
        <v>250</v>
      </c>
      <c r="R37" s="21" t="n">
        <f aca="false">Assumptions!$B$50</f>
        <v>250</v>
      </c>
      <c r="S37" s="21" t="n">
        <f aca="false">Assumptions!$B$50</f>
        <v>250</v>
      </c>
      <c r="T37" s="21" t="n">
        <f aca="false">Assumptions!$B$50</f>
        <v>250</v>
      </c>
      <c r="U37" s="21" t="n">
        <f aca="false">Assumptions!$B$50</f>
        <v>250</v>
      </c>
      <c r="V37" s="21" t="n">
        <f aca="false">Assumptions!$B$50</f>
        <v>250</v>
      </c>
      <c r="W37" s="21" t="n">
        <f aca="false">Assumptions!$B$50</f>
        <v>250</v>
      </c>
      <c r="X37" s="21" t="n">
        <f aca="false">Assumptions!$B$50</f>
        <v>250</v>
      </c>
      <c r="Y37" s="21" t="n">
        <f aca="false">Assumptions!$B$50</f>
        <v>250</v>
      </c>
      <c r="Z37" s="21" t="n">
        <f aca="false">SUM(B37:M37)</f>
        <v>3000</v>
      </c>
      <c r="AA37" s="21" t="n">
        <f aca="false">SUM(N37:Y37)</f>
        <v>3000</v>
      </c>
      <c r="AB37" s="21" t="n">
        <f aca="false">SUM(B37:Y37)</f>
        <v>6000</v>
      </c>
    </row>
    <row r="38" customFormat="false" ht="15" hidden="false" customHeight="false" outlineLevel="0" collapsed="false">
      <c r="A38" s="17" t="s">
        <v>147</v>
      </c>
      <c r="B38" s="21" t="n">
        <f aca="false">Assumptions!$B$51</f>
        <v>600</v>
      </c>
      <c r="C38" s="21" t="n">
        <f aca="false">Assumptions!$B$51</f>
        <v>600</v>
      </c>
      <c r="D38" s="21" t="n">
        <f aca="false">Assumptions!$B$51</f>
        <v>600</v>
      </c>
      <c r="E38" s="21" t="n">
        <f aca="false">Assumptions!$B$51</f>
        <v>600</v>
      </c>
      <c r="F38" s="21" t="n">
        <f aca="false">Assumptions!$B$51</f>
        <v>600</v>
      </c>
      <c r="G38" s="21" t="n">
        <f aca="false">Assumptions!$B$51</f>
        <v>600</v>
      </c>
      <c r="H38" s="21" t="n">
        <f aca="false">Assumptions!$B$51</f>
        <v>600</v>
      </c>
      <c r="I38" s="21" t="n">
        <f aca="false">Assumptions!$B$51</f>
        <v>600</v>
      </c>
      <c r="J38" s="21" t="n">
        <f aca="false">Assumptions!$B$51</f>
        <v>600</v>
      </c>
      <c r="K38" s="21" t="n">
        <f aca="false">Assumptions!$B$51</f>
        <v>600</v>
      </c>
      <c r="L38" s="21" t="n">
        <f aca="false">Assumptions!$B$51</f>
        <v>600</v>
      </c>
      <c r="M38" s="21" t="n">
        <f aca="false">Assumptions!$B$51</f>
        <v>600</v>
      </c>
      <c r="N38" s="21" t="n">
        <f aca="false">Assumptions!$B$51</f>
        <v>600</v>
      </c>
      <c r="O38" s="21" t="n">
        <f aca="false">Assumptions!$B$51</f>
        <v>600</v>
      </c>
      <c r="P38" s="21" t="n">
        <f aca="false">Assumptions!$B$51</f>
        <v>600</v>
      </c>
      <c r="Q38" s="21" t="n">
        <f aca="false">Assumptions!$B$51</f>
        <v>600</v>
      </c>
      <c r="R38" s="21" t="n">
        <f aca="false">Assumptions!$B$51</f>
        <v>600</v>
      </c>
      <c r="S38" s="21" t="n">
        <f aca="false">Assumptions!$B$51</f>
        <v>600</v>
      </c>
      <c r="T38" s="21" t="n">
        <f aca="false">Assumptions!$B$51</f>
        <v>600</v>
      </c>
      <c r="U38" s="21" t="n">
        <f aca="false">Assumptions!$B$51</f>
        <v>600</v>
      </c>
      <c r="V38" s="21" t="n">
        <f aca="false">Assumptions!$B$51</f>
        <v>600</v>
      </c>
      <c r="W38" s="21" t="n">
        <f aca="false">Assumptions!$B$51</f>
        <v>600</v>
      </c>
      <c r="X38" s="21" t="n">
        <f aca="false">Assumptions!$B$51</f>
        <v>600</v>
      </c>
      <c r="Y38" s="21" t="n">
        <f aca="false">Assumptions!$B$51</f>
        <v>600</v>
      </c>
      <c r="Z38" s="21" t="n">
        <f aca="false">SUM(B38:M38)</f>
        <v>7200</v>
      </c>
      <c r="AA38" s="21" t="n">
        <f aca="false">SUM(N38:Y38)</f>
        <v>7200</v>
      </c>
      <c r="AB38" s="21" t="n">
        <f aca="false">SUM(B38:Y38)</f>
        <v>14400</v>
      </c>
    </row>
    <row r="39" customFormat="false" ht="15" hidden="false" customHeight="false" outlineLevel="0" collapsed="false">
      <c r="A39" s="17" t="s">
        <v>148</v>
      </c>
      <c r="B39" s="21" t="n">
        <f aca="false">Assumptions!$B$52</f>
        <v>0</v>
      </c>
      <c r="C39" s="21" t="n">
        <f aca="false">Assumptions!$B$52</f>
        <v>0</v>
      </c>
      <c r="D39" s="21" t="n">
        <f aca="false">Assumptions!$B$52</f>
        <v>0</v>
      </c>
      <c r="E39" s="21" t="n">
        <f aca="false">Assumptions!$B$52</f>
        <v>0</v>
      </c>
      <c r="F39" s="21" t="n">
        <f aca="false">Assumptions!$B$52</f>
        <v>0</v>
      </c>
      <c r="G39" s="21" t="n">
        <f aca="false">Assumptions!$B$52</f>
        <v>0</v>
      </c>
      <c r="H39" s="21" t="n">
        <f aca="false">Assumptions!$B$52</f>
        <v>0</v>
      </c>
      <c r="I39" s="21" t="n">
        <f aca="false">Assumptions!$B$52</f>
        <v>0</v>
      </c>
      <c r="J39" s="21" t="n">
        <f aca="false">Assumptions!$B$52</f>
        <v>0</v>
      </c>
      <c r="K39" s="21" t="n">
        <f aca="false">Assumptions!$B$52</f>
        <v>0</v>
      </c>
      <c r="L39" s="21" t="n">
        <f aca="false">Assumptions!$B$52</f>
        <v>0</v>
      </c>
      <c r="M39" s="21" t="n">
        <f aca="false">Assumptions!$B$52</f>
        <v>0</v>
      </c>
      <c r="N39" s="21" t="n">
        <f aca="false">Assumptions!$B$52</f>
        <v>0</v>
      </c>
      <c r="O39" s="21" t="n">
        <f aca="false">Assumptions!$B$52</f>
        <v>0</v>
      </c>
      <c r="P39" s="21" t="n">
        <f aca="false">Assumptions!$B$52</f>
        <v>0</v>
      </c>
      <c r="Q39" s="21" t="n">
        <f aca="false">Assumptions!$B$52</f>
        <v>0</v>
      </c>
      <c r="R39" s="21" t="n">
        <f aca="false">Assumptions!$B$52</f>
        <v>0</v>
      </c>
      <c r="S39" s="21" t="n">
        <f aca="false">Assumptions!$B$52</f>
        <v>0</v>
      </c>
      <c r="T39" s="21" t="n">
        <f aca="false">Assumptions!$B$52</f>
        <v>0</v>
      </c>
      <c r="U39" s="21" t="n">
        <f aca="false">Assumptions!$B$52</f>
        <v>0</v>
      </c>
      <c r="V39" s="21" t="n">
        <f aca="false">Assumptions!$B$52</f>
        <v>0</v>
      </c>
      <c r="W39" s="21" t="n">
        <f aca="false">Assumptions!$B$52</f>
        <v>0</v>
      </c>
      <c r="X39" s="21" t="n">
        <f aca="false">Assumptions!$B$52</f>
        <v>0</v>
      </c>
      <c r="Y39" s="21" t="n">
        <f aca="false">Assumptions!$B$52</f>
        <v>0</v>
      </c>
      <c r="Z39" s="21" t="n">
        <f aca="false">SUM(B39:M39)</f>
        <v>0</v>
      </c>
      <c r="AA39" s="21" t="n">
        <f aca="false">SUM(N39:Y39)</f>
        <v>0</v>
      </c>
      <c r="AB39" s="21" t="n">
        <f aca="false">SUM(B39:Y39)</f>
        <v>0</v>
      </c>
    </row>
    <row r="40" customFormat="false" ht="15" hidden="false" customHeight="false" outlineLevel="0" collapsed="false">
      <c r="A40" s="17" t="s">
        <v>149</v>
      </c>
      <c r="B40" s="21" t="n">
        <f aca="false">Assumptions!$B$34*IF(1&gt;=Assumptions!$B$8,Assumptions!$B$43,1)</f>
        <v>900</v>
      </c>
      <c r="C40" s="21" t="n">
        <f aca="false">Assumptions!$B$34*IF(2&gt;=Assumptions!$B$8,Assumptions!$B$43,1)</f>
        <v>900</v>
      </c>
      <c r="D40" s="21" t="n">
        <f aca="false">Assumptions!$B$34*IF(3&gt;=Assumptions!$B$8,Assumptions!$B$43,1)</f>
        <v>900</v>
      </c>
      <c r="E40" s="21" t="n">
        <f aca="false">Assumptions!$B$34*IF(4&gt;=Assumptions!$B$8,Assumptions!$B$43,1)</f>
        <v>900</v>
      </c>
      <c r="F40" s="21" t="n">
        <f aca="false">Assumptions!$B$34*IF(5&gt;=Assumptions!$B$8,Assumptions!$B$43,1)</f>
        <v>900</v>
      </c>
      <c r="G40" s="21" t="n">
        <f aca="false">Assumptions!$B$34*IF(6&gt;=Assumptions!$B$8,Assumptions!$B$43,1)</f>
        <v>900</v>
      </c>
      <c r="H40" s="21" t="n">
        <f aca="false">Assumptions!$B$34*IF(7&gt;=Assumptions!$B$8,Assumptions!$B$43,1)</f>
        <v>1440</v>
      </c>
      <c r="I40" s="21" t="n">
        <f aca="false">Assumptions!$B$34*IF(8&gt;=Assumptions!$B$8,Assumptions!$B$43,1)</f>
        <v>1440</v>
      </c>
      <c r="J40" s="21" t="n">
        <f aca="false">Assumptions!$B$34*IF(9&gt;=Assumptions!$B$8,Assumptions!$B$43,1)</f>
        <v>1440</v>
      </c>
      <c r="K40" s="21" t="n">
        <f aca="false">Assumptions!$B$34*IF(10&gt;=Assumptions!$B$8,Assumptions!$B$43,1)</f>
        <v>1440</v>
      </c>
      <c r="L40" s="21" t="n">
        <f aca="false">Assumptions!$B$34*IF(11&gt;=Assumptions!$B$8,Assumptions!$B$43,1)</f>
        <v>1440</v>
      </c>
      <c r="M40" s="21" t="n">
        <f aca="false">Assumptions!$B$34*IF(12&gt;=Assumptions!$B$8,Assumptions!$B$43,1)</f>
        <v>1440</v>
      </c>
      <c r="N40" s="21" t="n">
        <f aca="false">Assumptions!$B$34*IF(13&gt;=Assumptions!$B$8,Assumptions!$B$43,1)</f>
        <v>1440</v>
      </c>
      <c r="O40" s="21" t="n">
        <f aca="false">Assumptions!$B$34*IF(14&gt;=Assumptions!$B$8,Assumptions!$B$43,1)</f>
        <v>1440</v>
      </c>
      <c r="P40" s="21" t="n">
        <f aca="false">Assumptions!$B$34*IF(15&gt;=Assumptions!$B$8,Assumptions!$B$43,1)</f>
        <v>1440</v>
      </c>
      <c r="Q40" s="21" t="n">
        <f aca="false">Assumptions!$B$34*IF(16&gt;=Assumptions!$B$8,Assumptions!$B$43,1)</f>
        <v>1440</v>
      </c>
      <c r="R40" s="21" t="n">
        <f aca="false">Assumptions!$B$34*IF(17&gt;=Assumptions!$B$8,Assumptions!$B$43,1)</f>
        <v>1440</v>
      </c>
      <c r="S40" s="21" t="n">
        <f aca="false">Assumptions!$B$34*IF(18&gt;=Assumptions!$B$8,Assumptions!$B$43,1)</f>
        <v>1440</v>
      </c>
      <c r="T40" s="21" t="n">
        <f aca="false">Assumptions!$B$34*IF(19&gt;=Assumptions!$B$8,Assumptions!$B$43,1)</f>
        <v>1440</v>
      </c>
      <c r="U40" s="21" t="n">
        <f aca="false">Assumptions!$B$34*IF(20&gt;=Assumptions!$B$8,Assumptions!$B$43,1)</f>
        <v>1440</v>
      </c>
      <c r="V40" s="21" t="n">
        <f aca="false">Assumptions!$B$34*IF(21&gt;=Assumptions!$B$8,Assumptions!$B$43,1)</f>
        <v>1440</v>
      </c>
      <c r="W40" s="21" t="n">
        <f aca="false">Assumptions!$B$34*IF(22&gt;=Assumptions!$B$8,Assumptions!$B$43,1)</f>
        <v>1440</v>
      </c>
      <c r="X40" s="21" t="n">
        <f aca="false">Assumptions!$B$34*IF(23&gt;=Assumptions!$B$8,Assumptions!$B$43,1)</f>
        <v>1440</v>
      </c>
      <c r="Y40" s="21" t="n">
        <f aca="false">Assumptions!$B$34*IF(24&gt;=Assumptions!$B$8,Assumptions!$B$43,1)</f>
        <v>1440</v>
      </c>
      <c r="Z40" s="21" t="n">
        <f aca="false">SUM(B40:M40)</f>
        <v>14040</v>
      </c>
      <c r="AA40" s="21" t="n">
        <f aca="false">SUM(N40:Y40)</f>
        <v>17280</v>
      </c>
      <c r="AB40" s="21" t="n">
        <f aca="false">SUM(B40:Y40)</f>
        <v>31320</v>
      </c>
    </row>
    <row r="41" customFormat="false" ht="15" hidden="false" customHeight="false" outlineLevel="0" collapsed="false">
      <c r="A41" s="17" t="s">
        <v>150</v>
      </c>
      <c r="B41" s="21" t="n">
        <f aca="false">IF(1&gt;=2,Assumptions!$B$37*IF(1&gt;=Assumptions!$B$8,Assumptions!$B$43,1),0)</f>
        <v>0</v>
      </c>
      <c r="C41" s="21" t="n">
        <f aca="false">IF(2&gt;=2,Assumptions!$B$37*IF(2&gt;=Assumptions!$B$8,Assumptions!$B$43,1),0)</f>
        <v>600</v>
      </c>
      <c r="D41" s="21" t="n">
        <f aca="false">IF(3&gt;=2,Assumptions!$B$37*IF(3&gt;=Assumptions!$B$8,Assumptions!$B$43,1),0)</f>
        <v>600</v>
      </c>
      <c r="E41" s="21" t="n">
        <f aca="false">IF(4&gt;=2,Assumptions!$B$37*IF(4&gt;=Assumptions!$B$8,Assumptions!$B$43,1),0)</f>
        <v>600</v>
      </c>
      <c r="F41" s="21" t="n">
        <f aca="false">IF(5&gt;=2,Assumptions!$B$37*IF(5&gt;=Assumptions!$B$8,Assumptions!$B$43,1),0)</f>
        <v>600</v>
      </c>
      <c r="G41" s="21" t="n">
        <f aca="false">IF(6&gt;=2,Assumptions!$B$37*IF(6&gt;=Assumptions!$B$8,Assumptions!$B$43,1),0)</f>
        <v>600</v>
      </c>
      <c r="H41" s="21" t="n">
        <f aca="false">IF(7&gt;=2,Assumptions!$B$37*IF(7&gt;=Assumptions!$B$8,Assumptions!$B$43,1),0)</f>
        <v>960</v>
      </c>
      <c r="I41" s="21" t="n">
        <f aca="false">IF(8&gt;=2,Assumptions!$B$37*IF(8&gt;=Assumptions!$B$8,Assumptions!$B$43,1),0)</f>
        <v>960</v>
      </c>
      <c r="J41" s="21" t="n">
        <f aca="false">IF(9&gt;=2,Assumptions!$B$37*IF(9&gt;=Assumptions!$B$8,Assumptions!$B$43,1),0)</f>
        <v>960</v>
      </c>
      <c r="K41" s="21" t="n">
        <f aca="false">IF(10&gt;=2,Assumptions!$B$37*IF(10&gt;=Assumptions!$B$8,Assumptions!$B$43,1),0)</f>
        <v>960</v>
      </c>
      <c r="L41" s="21" t="n">
        <f aca="false">IF(11&gt;=2,Assumptions!$B$37*IF(11&gt;=Assumptions!$B$8,Assumptions!$B$43,1),0)</f>
        <v>960</v>
      </c>
      <c r="M41" s="21" t="n">
        <f aca="false">IF(12&gt;=2,Assumptions!$B$37*IF(12&gt;=Assumptions!$B$8,Assumptions!$B$43,1),0)</f>
        <v>960</v>
      </c>
      <c r="N41" s="21" t="n">
        <f aca="false">IF(13&gt;=2,Assumptions!$B$37*IF(13&gt;=Assumptions!$B$8,Assumptions!$B$43,1),0)</f>
        <v>960</v>
      </c>
      <c r="O41" s="21" t="n">
        <f aca="false">IF(14&gt;=2,Assumptions!$B$37*IF(14&gt;=Assumptions!$B$8,Assumptions!$B$43,1),0)</f>
        <v>960</v>
      </c>
      <c r="P41" s="21" t="n">
        <f aca="false">IF(15&gt;=2,Assumptions!$B$37*IF(15&gt;=Assumptions!$B$8,Assumptions!$B$43,1),0)</f>
        <v>960</v>
      </c>
      <c r="Q41" s="21" t="n">
        <f aca="false">IF(16&gt;=2,Assumptions!$B$37*IF(16&gt;=Assumptions!$B$8,Assumptions!$B$43,1),0)</f>
        <v>960</v>
      </c>
      <c r="R41" s="21" t="n">
        <f aca="false">IF(17&gt;=2,Assumptions!$B$37*IF(17&gt;=Assumptions!$B$8,Assumptions!$B$43,1),0)</f>
        <v>960</v>
      </c>
      <c r="S41" s="21" t="n">
        <f aca="false">IF(18&gt;=2,Assumptions!$B$37*IF(18&gt;=Assumptions!$B$8,Assumptions!$B$43,1),0)</f>
        <v>960</v>
      </c>
      <c r="T41" s="21" t="n">
        <f aca="false">IF(19&gt;=2,Assumptions!$B$37*IF(19&gt;=Assumptions!$B$8,Assumptions!$B$43,1),0)</f>
        <v>960</v>
      </c>
      <c r="U41" s="21" t="n">
        <f aca="false">IF(20&gt;=2,Assumptions!$B$37*IF(20&gt;=Assumptions!$B$8,Assumptions!$B$43,1),0)</f>
        <v>960</v>
      </c>
      <c r="V41" s="21" t="n">
        <f aca="false">IF(21&gt;=2,Assumptions!$B$37*IF(21&gt;=Assumptions!$B$8,Assumptions!$B$43,1),0)</f>
        <v>960</v>
      </c>
      <c r="W41" s="21" t="n">
        <f aca="false">IF(22&gt;=2,Assumptions!$B$37*IF(22&gt;=Assumptions!$B$8,Assumptions!$B$43,1),0)</f>
        <v>960</v>
      </c>
      <c r="X41" s="21" t="n">
        <f aca="false">IF(23&gt;=2,Assumptions!$B$37*IF(23&gt;=Assumptions!$B$8,Assumptions!$B$43,1),0)</f>
        <v>960</v>
      </c>
      <c r="Y41" s="21" t="n">
        <f aca="false">IF(24&gt;=2,Assumptions!$B$37*IF(24&gt;=Assumptions!$B$8,Assumptions!$B$43,1),0)</f>
        <v>960</v>
      </c>
      <c r="Z41" s="21" t="n">
        <f aca="false">SUM(B41:M41)</f>
        <v>8760</v>
      </c>
      <c r="AA41" s="21" t="n">
        <f aca="false">SUM(N41:Y41)</f>
        <v>11520</v>
      </c>
      <c r="AB41" s="21" t="n">
        <f aca="false">SUM(B41:Y41)</f>
        <v>20280</v>
      </c>
    </row>
    <row r="42" customFormat="false" ht="15" hidden="false" customHeight="false" outlineLevel="0" collapsed="false">
      <c r="A42" s="17" t="s">
        <v>151</v>
      </c>
      <c r="B42" s="21" t="n">
        <f aca="false">Assumptions!$B$44</f>
        <v>300</v>
      </c>
      <c r="C42" s="21" t="n">
        <f aca="false">Assumptions!$B$44</f>
        <v>300</v>
      </c>
      <c r="D42" s="21" t="n">
        <f aca="false">Assumptions!$B$44</f>
        <v>300</v>
      </c>
      <c r="E42" s="21" t="n">
        <f aca="false">Assumptions!$B$44</f>
        <v>300</v>
      </c>
      <c r="F42" s="21" t="n">
        <f aca="false">Assumptions!$B$44</f>
        <v>300</v>
      </c>
      <c r="G42" s="21" t="n">
        <f aca="false">Assumptions!$B$44</f>
        <v>300</v>
      </c>
      <c r="H42" s="21" t="n">
        <f aca="false">Assumptions!$B$44</f>
        <v>300</v>
      </c>
      <c r="I42" s="21" t="n">
        <f aca="false">Assumptions!$B$44</f>
        <v>300</v>
      </c>
      <c r="J42" s="21" t="n">
        <f aca="false">Assumptions!$B$44</f>
        <v>300</v>
      </c>
      <c r="K42" s="21" t="n">
        <f aca="false">Assumptions!$B$44</f>
        <v>300</v>
      </c>
      <c r="L42" s="21" t="n">
        <f aca="false">Assumptions!$B$44</f>
        <v>300</v>
      </c>
      <c r="M42" s="21" t="n">
        <f aca="false">Assumptions!$B$44</f>
        <v>300</v>
      </c>
      <c r="N42" s="21" t="n">
        <f aca="false">Assumptions!$B$44</f>
        <v>300</v>
      </c>
      <c r="O42" s="21" t="n">
        <f aca="false">Assumptions!$B$44</f>
        <v>300</v>
      </c>
      <c r="P42" s="21" t="n">
        <f aca="false">Assumptions!$B$44</f>
        <v>300</v>
      </c>
      <c r="Q42" s="21" t="n">
        <f aca="false">Assumptions!$B$44</f>
        <v>300</v>
      </c>
      <c r="R42" s="21" t="n">
        <f aca="false">Assumptions!$B$44</f>
        <v>300</v>
      </c>
      <c r="S42" s="21" t="n">
        <f aca="false">Assumptions!$B$44</f>
        <v>300</v>
      </c>
      <c r="T42" s="21" t="n">
        <f aca="false">Assumptions!$B$44</f>
        <v>300</v>
      </c>
      <c r="U42" s="21" t="n">
        <f aca="false">Assumptions!$B$44</f>
        <v>300</v>
      </c>
      <c r="V42" s="21" t="n">
        <f aca="false">Assumptions!$B$44</f>
        <v>300</v>
      </c>
      <c r="W42" s="21" t="n">
        <f aca="false">Assumptions!$B$44</f>
        <v>300</v>
      </c>
      <c r="X42" s="21" t="n">
        <f aca="false">Assumptions!$B$44</f>
        <v>300</v>
      </c>
      <c r="Y42" s="21" t="n">
        <f aca="false">Assumptions!$B$44</f>
        <v>300</v>
      </c>
      <c r="Z42" s="21" t="n">
        <f aca="false">SUM(B42:M42)</f>
        <v>3600</v>
      </c>
      <c r="AA42" s="21" t="n">
        <f aca="false">SUM(N42:Y42)</f>
        <v>3600</v>
      </c>
      <c r="AB42" s="21" t="n">
        <f aca="false">SUM(B42:Y42)</f>
        <v>7200</v>
      </c>
    </row>
    <row r="43" customFormat="false" ht="15" hidden="false" customHeight="false" outlineLevel="0" collapsed="false">
      <c r="A43" s="17" t="s">
        <v>152</v>
      </c>
      <c r="B43" s="21" t="n">
        <f aca="false">IF(AND(Assumptions!$B$59=1,1&gt;=Assumptions!$B$8,1&lt;Assumptions!$B$8+3),Assumptions!$B$60,0)+IF(1=Assumptions!$B$8,Assumptions!$B$61,0)</f>
        <v>0</v>
      </c>
      <c r="C43" s="21" t="n">
        <f aca="false">IF(AND(Assumptions!$B$59=1,2&gt;=Assumptions!$B$8,2&lt;Assumptions!$B$8+3),Assumptions!$B$60,0)+IF(2=Assumptions!$B$8,Assumptions!$B$61,0)</f>
        <v>0</v>
      </c>
      <c r="D43" s="21" t="n">
        <f aca="false">IF(AND(Assumptions!$B$59=1,3&gt;=Assumptions!$B$8,3&lt;Assumptions!$B$8+3),Assumptions!$B$60,0)+IF(3=Assumptions!$B$8,Assumptions!$B$61,0)</f>
        <v>0</v>
      </c>
      <c r="E43" s="21" t="n">
        <f aca="false">IF(AND(Assumptions!$B$59=1,4&gt;=Assumptions!$B$8,4&lt;Assumptions!$B$8+3),Assumptions!$B$60,0)+IF(4=Assumptions!$B$8,Assumptions!$B$61,0)</f>
        <v>0</v>
      </c>
      <c r="F43" s="21" t="n">
        <f aca="false">IF(AND(Assumptions!$B$59=1,5&gt;=Assumptions!$B$8,5&lt;Assumptions!$B$8+3),Assumptions!$B$60,0)+IF(5=Assumptions!$B$8,Assumptions!$B$61,0)</f>
        <v>0</v>
      </c>
      <c r="G43" s="21" t="n">
        <f aca="false">IF(AND(Assumptions!$B$59=1,6&gt;=Assumptions!$B$8,6&lt;Assumptions!$B$8+3),Assumptions!$B$60,0)+IF(6=Assumptions!$B$8,Assumptions!$B$61,0)</f>
        <v>0</v>
      </c>
      <c r="H43" s="21" t="n">
        <f aca="false">IF(AND(Assumptions!$B$59=1,7&gt;=Assumptions!$B$8,7&lt;Assumptions!$B$8+3),Assumptions!$B$60,0)+IF(7=Assumptions!$B$8,Assumptions!$B$61,0)</f>
        <v>6500</v>
      </c>
      <c r="I43" s="21" t="n">
        <f aca="false">IF(AND(Assumptions!$B$59=1,8&gt;=Assumptions!$B$8,8&lt;Assumptions!$B$8+3),Assumptions!$B$60,0)+IF(8=Assumptions!$B$8,Assumptions!$B$61,0)</f>
        <v>2000</v>
      </c>
      <c r="J43" s="21" t="n">
        <f aca="false">IF(AND(Assumptions!$B$59=1,9&gt;=Assumptions!$B$8,9&lt;Assumptions!$B$8+3),Assumptions!$B$60,0)+IF(9=Assumptions!$B$8,Assumptions!$B$61,0)</f>
        <v>2000</v>
      </c>
      <c r="K43" s="21" t="n">
        <f aca="false">IF(AND(Assumptions!$B$59=1,10&gt;=Assumptions!$B$8,10&lt;Assumptions!$B$8+3),Assumptions!$B$60,0)+IF(10=Assumptions!$B$8,Assumptions!$B$61,0)</f>
        <v>0</v>
      </c>
      <c r="L43" s="21" t="n">
        <f aca="false">IF(AND(Assumptions!$B$59=1,11&gt;=Assumptions!$B$8,11&lt;Assumptions!$B$8+3),Assumptions!$B$60,0)+IF(11=Assumptions!$B$8,Assumptions!$B$61,0)</f>
        <v>0</v>
      </c>
      <c r="M43" s="21" t="n">
        <f aca="false">IF(AND(Assumptions!$B$59=1,12&gt;=Assumptions!$B$8,12&lt;Assumptions!$B$8+3),Assumptions!$B$60,0)+IF(12=Assumptions!$B$8,Assumptions!$B$61,0)</f>
        <v>0</v>
      </c>
      <c r="N43" s="21" t="n">
        <f aca="false">IF(AND(Assumptions!$B$59=1,13&gt;=Assumptions!$B$8,13&lt;Assumptions!$B$8+3),Assumptions!$B$60,0)+IF(13=Assumptions!$B$8,Assumptions!$B$61,0)</f>
        <v>0</v>
      </c>
      <c r="O43" s="21" t="n">
        <f aca="false">IF(AND(Assumptions!$B$59=1,14&gt;=Assumptions!$B$8,14&lt;Assumptions!$B$8+3),Assumptions!$B$60,0)+IF(14=Assumptions!$B$8,Assumptions!$B$61,0)</f>
        <v>0</v>
      </c>
      <c r="P43" s="21" t="n">
        <f aca="false">IF(AND(Assumptions!$B$59=1,15&gt;=Assumptions!$B$8,15&lt;Assumptions!$B$8+3),Assumptions!$B$60,0)+IF(15=Assumptions!$B$8,Assumptions!$B$61,0)</f>
        <v>0</v>
      </c>
      <c r="Q43" s="21" t="n">
        <f aca="false">IF(AND(Assumptions!$B$59=1,16&gt;=Assumptions!$B$8,16&lt;Assumptions!$B$8+3),Assumptions!$B$60,0)+IF(16=Assumptions!$B$8,Assumptions!$B$61,0)</f>
        <v>0</v>
      </c>
      <c r="R43" s="21" t="n">
        <f aca="false">IF(AND(Assumptions!$B$59=1,17&gt;=Assumptions!$B$8,17&lt;Assumptions!$B$8+3),Assumptions!$B$60,0)+IF(17=Assumptions!$B$8,Assumptions!$B$61,0)</f>
        <v>0</v>
      </c>
      <c r="S43" s="21" t="n">
        <f aca="false">IF(AND(Assumptions!$B$59=1,18&gt;=Assumptions!$B$8,18&lt;Assumptions!$B$8+3),Assumptions!$B$60,0)+IF(18=Assumptions!$B$8,Assumptions!$B$61,0)</f>
        <v>0</v>
      </c>
      <c r="T43" s="21" t="n">
        <f aca="false">IF(AND(Assumptions!$B$59=1,19&gt;=Assumptions!$B$8,19&lt;Assumptions!$B$8+3),Assumptions!$B$60,0)+IF(19=Assumptions!$B$8,Assumptions!$B$61,0)</f>
        <v>0</v>
      </c>
      <c r="U43" s="21" t="n">
        <f aca="false">IF(AND(Assumptions!$B$59=1,20&gt;=Assumptions!$B$8,20&lt;Assumptions!$B$8+3),Assumptions!$B$60,0)+IF(20=Assumptions!$B$8,Assumptions!$B$61,0)</f>
        <v>0</v>
      </c>
      <c r="V43" s="21" t="n">
        <f aca="false">IF(AND(Assumptions!$B$59=1,21&gt;=Assumptions!$B$8,21&lt;Assumptions!$B$8+3),Assumptions!$B$60,0)+IF(21=Assumptions!$B$8,Assumptions!$B$61,0)</f>
        <v>0</v>
      </c>
      <c r="W43" s="21" t="n">
        <f aca="false">IF(AND(Assumptions!$B$59=1,22&gt;=Assumptions!$B$8,22&lt;Assumptions!$B$8+3),Assumptions!$B$60,0)+IF(22=Assumptions!$B$8,Assumptions!$B$61,0)</f>
        <v>0</v>
      </c>
      <c r="X43" s="21" t="n">
        <f aca="false">IF(AND(Assumptions!$B$59=1,23&gt;=Assumptions!$B$8,23&lt;Assumptions!$B$8+3),Assumptions!$B$60,0)+IF(23=Assumptions!$B$8,Assumptions!$B$61,0)</f>
        <v>0</v>
      </c>
      <c r="Y43" s="21" t="n">
        <f aca="false">IF(AND(Assumptions!$B$59=1,24&gt;=Assumptions!$B$8,24&lt;Assumptions!$B$8+3),Assumptions!$B$60,0)+IF(24=Assumptions!$B$8,Assumptions!$B$61,0)</f>
        <v>0</v>
      </c>
      <c r="Z43" s="21" t="n">
        <f aca="false">SUM(B43:M43)</f>
        <v>10500</v>
      </c>
      <c r="AA43" s="21" t="n">
        <f aca="false">SUM(N43:Y43)</f>
        <v>0</v>
      </c>
      <c r="AB43" s="21" t="n">
        <f aca="false">SUM(B43:Y43)</f>
        <v>10500</v>
      </c>
    </row>
    <row r="44" customFormat="false" ht="15" hidden="false" customHeight="false" outlineLevel="0" collapsed="false">
      <c r="A44" s="17" t="s">
        <v>153</v>
      </c>
      <c r="B44" s="21" t="n">
        <f aca="false">IF(1&gt;=Assumptions!$B$8+IF(Assumptions!$B$59=1,3,0),-PMT(Assumptions!$B$57/12,Assumptions!$B$58,(Assumptions!$B$54+Assumptions!$B$55)*Assumptions!$B$56),0)</f>
        <v>0</v>
      </c>
      <c r="C44" s="21" t="n">
        <f aca="false">IF(2&gt;=Assumptions!$B$8+IF(Assumptions!$B$59=1,3,0),-PMT(Assumptions!$B$57/12,Assumptions!$B$58,(Assumptions!$B$54+Assumptions!$B$55)*Assumptions!$B$56),0)</f>
        <v>0</v>
      </c>
      <c r="D44" s="21" t="n">
        <f aca="false">IF(3&gt;=Assumptions!$B$8+IF(Assumptions!$B$59=1,3,0),-PMT(Assumptions!$B$57/12,Assumptions!$B$58,(Assumptions!$B$54+Assumptions!$B$55)*Assumptions!$B$56),0)</f>
        <v>0</v>
      </c>
      <c r="E44" s="21" t="n">
        <f aca="false">IF(4&gt;=Assumptions!$B$8+IF(Assumptions!$B$59=1,3,0),-PMT(Assumptions!$B$57/12,Assumptions!$B$58,(Assumptions!$B$54+Assumptions!$B$55)*Assumptions!$B$56),0)</f>
        <v>0</v>
      </c>
      <c r="F44" s="21" t="n">
        <f aca="false">IF(5&gt;=Assumptions!$B$8+IF(Assumptions!$B$59=1,3,0),-PMT(Assumptions!$B$57/12,Assumptions!$B$58,(Assumptions!$B$54+Assumptions!$B$55)*Assumptions!$B$56),0)</f>
        <v>0</v>
      </c>
      <c r="G44" s="21" t="n">
        <f aca="false">IF(6&gt;=Assumptions!$B$8+IF(Assumptions!$B$59=1,3,0),-PMT(Assumptions!$B$57/12,Assumptions!$B$58,(Assumptions!$B$54+Assumptions!$B$55)*Assumptions!$B$56),0)</f>
        <v>0</v>
      </c>
      <c r="H44" s="21" t="n">
        <f aca="false">IF(7&gt;=Assumptions!$B$8+IF(Assumptions!$B$59=1,3,0),-PMT(Assumptions!$B$57/12,Assumptions!$B$58,(Assumptions!$B$54+Assumptions!$B$55)*Assumptions!$B$56),0)</f>
        <v>0</v>
      </c>
      <c r="I44" s="21" t="n">
        <f aca="false">IF(8&gt;=Assumptions!$B$8+IF(Assumptions!$B$59=1,3,0),-PMT(Assumptions!$B$57/12,Assumptions!$B$58,(Assumptions!$B$54+Assumptions!$B$55)*Assumptions!$B$56),0)</f>
        <v>0</v>
      </c>
      <c r="J44" s="21" t="n">
        <f aca="false">IF(9&gt;=Assumptions!$B$8+IF(Assumptions!$B$59=1,3,0),-PMT(Assumptions!$B$57/12,Assumptions!$B$58,(Assumptions!$B$54+Assumptions!$B$55)*Assumptions!$B$56),0)</f>
        <v>0</v>
      </c>
      <c r="K44" s="21" t="n">
        <f aca="false">IF(10&gt;=Assumptions!$B$8+IF(Assumptions!$B$59=1,3,0),-PMT(Assumptions!$B$57/12,Assumptions!$B$58,(Assumptions!$B$54+Assumptions!$B$55)*Assumptions!$B$56),0)</f>
        <v>1660.66841810832</v>
      </c>
      <c r="L44" s="21" t="n">
        <f aca="false">IF(11&gt;=Assumptions!$B$8+IF(Assumptions!$B$59=1,3,0),-PMT(Assumptions!$B$57/12,Assumptions!$B$58,(Assumptions!$B$54+Assumptions!$B$55)*Assumptions!$B$56),0)</f>
        <v>1660.66841810832</v>
      </c>
      <c r="M44" s="21" t="n">
        <f aca="false">IF(12&gt;=Assumptions!$B$8+IF(Assumptions!$B$59=1,3,0),-PMT(Assumptions!$B$57/12,Assumptions!$B$58,(Assumptions!$B$54+Assumptions!$B$55)*Assumptions!$B$56),0)</f>
        <v>1660.66841810832</v>
      </c>
      <c r="N44" s="21" t="n">
        <f aca="false">IF(13&gt;=Assumptions!$B$8+IF(Assumptions!$B$59=1,3,0),-PMT(Assumptions!$B$57/12,Assumptions!$B$58,(Assumptions!$B$54+Assumptions!$B$55)*Assumptions!$B$56),0)</f>
        <v>1660.66841810832</v>
      </c>
      <c r="O44" s="21" t="n">
        <f aca="false">IF(14&gt;=Assumptions!$B$8+IF(Assumptions!$B$59=1,3,0),-PMT(Assumptions!$B$57/12,Assumptions!$B$58,(Assumptions!$B$54+Assumptions!$B$55)*Assumptions!$B$56),0)</f>
        <v>1660.66841810832</v>
      </c>
      <c r="P44" s="21" t="n">
        <f aca="false">IF(15&gt;=Assumptions!$B$8+IF(Assumptions!$B$59=1,3,0),-PMT(Assumptions!$B$57/12,Assumptions!$B$58,(Assumptions!$B$54+Assumptions!$B$55)*Assumptions!$B$56),0)</f>
        <v>1660.66841810832</v>
      </c>
      <c r="Q44" s="21" t="n">
        <f aca="false">IF(16&gt;=Assumptions!$B$8+IF(Assumptions!$B$59=1,3,0),-PMT(Assumptions!$B$57/12,Assumptions!$B$58,(Assumptions!$B$54+Assumptions!$B$55)*Assumptions!$B$56),0)</f>
        <v>1660.66841810832</v>
      </c>
      <c r="R44" s="21" t="n">
        <f aca="false">IF(17&gt;=Assumptions!$B$8+IF(Assumptions!$B$59=1,3,0),-PMT(Assumptions!$B$57/12,Assumptions!$B$58,(Assumptions!$B$54+Assumptions!$B$55)*Assumptions!$B$56),0)</f>
        <v>1660.66841810832</v>
      </c>
      <c r="S44" s="21" t="n">
        <f aca="false">IF(18&gt;=Assumptions!$B$8+IF(Assumptions!$B$59=1,3,0),-PMT(Assumptions!$B$57/12,Assumptions!$B$58,(Assumptions!$B$54+Assumptions!$B$55)*Assumptions!$B$56),0)</f>
        <v>1660.66841810832</v>
      </c>
      <c r="T44" s="21" t="n">
        <f aca="false">IF(19&gt;=Assumptions!$B$8+IF(Assumptions!$B$59=1,3,0),-PMT(Assumptions!$B$57/12,Assumptions!$B$58,(Assumptions!$B$54+Assumptions!$B$55)*Assumptions!$B$56),0)</f>
        <v>1660.66841810832</v>
      </c>
      <c r="U44" s="21" t="n">
        <f aca="false">IF(20&gt;=Assumptions!$B$8+IF(Assumptions!$B$59=1,3,0),-PMT(Assumptions!$B$57/12,Assumptions!$B$58,(Assumptions!$B$54+Assumptions!$B$55)*Assumptions!$B$56),0)</f>
        <v>1660.66841810832</v>
      </c>
      <c r="V44" s="21" t="n">
        <f aca="false">IF(21&gt;=Assumptions!$B$8+IF(Assumptions!$B$59=1,3,0),-PMT(Assumptions!$B$57/12,Assumptions!$B$58,(Assumptions!$B$54+Assumptions!$B$55)*Assumptions!$B$56),0)</f>
        <v>1660.66841810832</v>
      </c>
      <c r="W44" s="21" t="n">
        <f aca="false">IF(22&gt;=Assumptions!$B$8+IF(Assumptions!$B$59=1,3,0),-PMT(Assumptions!$B$57/12,Assumptions!$B$58,(Assumptions!$B$54+Assumptions!$B$55)*Assumptions!$B$56),0)</f>
        <v>1660.66841810832</v>
      </c>
      <c r="X44" s="21" t="n">
        <f aca="false">IF(23&gt;=Assumptions!$B$8+IF(Assumptions!$B$59=1,3,0),-PMT(Assumptions!$B$57/12,Assumptions!$B$58,(Assumptions!$B$54+Assumptions!$B$55)*Assumptions!$B$56),0)</f>
        <v>1660.66841810832</v>
      </c>
      <c r="Y44" s="21" t="n">
        <f aca="false">IF(24&gt;=Assumptions!$B$8+IF(Assumptions!$B$59=1,3,0),-PMT(Assumptions!$B$57/12,Assumptions!$B$58,(Assumptions!$B$54+Assumptions!$B$55)*Assumptions!$B$56),0)</f>
        <v>1660.66841810832</v>
      </c>
      <c r="Z44" s="21" t="n">
        <f aca="false">SUM(B44:M44)</f>
        <v>4982.00525432496</v>
      </c>
      <c r="AA44" s="21" t="n">
        <f aca="false">SUM(N44:Y44)</f>
        <v>19928.0210172999</v>
      </c>
      <c r="AB44" s="21" t="n">
        <f aca="false">SUM(B44:Y44)</f>
        <v>24910.0262716248</v>
      </c>
    </row>
    <row r="45" customFormat="false" ht="15" hidden="false" customHeight="false" outlineLevel="0" collapsed="false">
      <c r="A45" s="15" t="s">
        <v>154</v>
      </c>
      <c r="B45" s="22" t="n">
        <f aca="false">SUM(B33:B44)</f>
        <v>11100</v>
      </c>
      <c r="C45" s="22" t="n">
        <f aca="false">SUM(C33:C44)</f>
        <v>11700</v>
      </c>
      <c r="D45" s="22" t="n">
        <f aca="false">SUM(D33:D44)</f>
        <v>11700</v>
      </c>
      <c r="E45" s="22" t="n">
        <f aca="false">SUM(E33:E44)</f>
        <v>11700</v>
      </c>
      <c r="F45" s="22" t="n">
        <f aca="false">SUM(F33:F44)</f>
        <v>11700</v>
      </c>
      <c r="G45" s="22" t="n">
        <f aca="false">SUM(G33:G44)</f>
        <v>11700</v>
      </c>
      <c r="H45" s="22" t="n">
        <f aca="false">SUM(H33:H44)</f>
        <v>19100</v>
      </c>
      <c r="I45" s="22" t="n">
        <f aca="false">SUM(I33:I44)</f>
        <v>14600</v>
      </c>
      <c r="J45" s="22" t="n">
        <f aca="false">SUM(J33:J44)</f>
        <v>14600</v>
      </c>
      <c r="K45" s="22" t="n">
        <f aca="false">SUM(K33:K44)</f>
        <v>14260.6684181083</v>
      </c>
      <c r="L45" s="22" t="n">
        <f aca="false">SUM(L33:L44)</f>
        <v>14260.6684181083</v>
      </c>
      <c r="M45" s="22" t="n">
        <f aca="false">SUM(M33:M44)</f>
        <v>14260.6684181083</v>
      </c>
      <c r="N45" s="22" t="n">
        <f aca="false">SUM(N33:N44)</f>
        <v>14260.6684181083</v>
      </c>
      <c r="O45" s="22" t="n">
        <f aca="false">SUM(O33:O44)</f>
        <v>14260.6684181083</v>
      </c>
      <c r="P45" s="22" t="n">
        <f aca="false">SUM(P33:P44)</f>
        <v>14260.6684181083</v>
      </c>
      <c r="Q45" s="22" t="n">
        <f aca="false">SUM(Q33:Q44)</f>
        <v>14260.6684181083</v>
      </c>
      <c r="R45" s="22" t="n">
        <f aca="false">SUM(R33:R44)</f>
        <v>14260.6684181083</v>
      </c>
      <c r="S45" s="22" t="n">
        <f aca="false">SUM(S33:S44)</f>
        <v>14260.6684181083</v>
      </c>
      <c r="T45" s="22" t="n">
        <f aca="false">SUM(T33:T44)</f>
        <v>14260.6684181083</v>
      </c>
      <c r="U45" s="22" t="n">
        <f aca="false">SUM(U33:U44)</f>
        <v>14260.6684181083</v>
      </c>
      <c r="V45" s="22" t="n">
        <f aca="false">SUM(V33:V44)</f>
        <v>14260.6684181083</v>
      </c>
      <c r="W45" s="22" t="n">
        <f aca="false">SUM(W33:W44)</f>
        <v>14260.6684181083</v>
      </c>
      <c r="X45" s="22" t="n">
        <f aca="false">SUM(X33:X44)</f>
        <v>14260.6684181083</v>
      </c>
      <c r="Y45" s="22" t="n">
        <f aca="false">SUM(Y33:Y44)</f>
        <v>14260.6684181083</v>
      </c>
      <c r="Z45" s="23" t="n">
        <f aca="false">SUM(B45:M45)</f>
        <v>160682.005254325</v>
      </c>
      <c r="AA45" s="23" t="n">
        <f aca="false">SUM(N45:Y45)</f>
        <v>171128.0210173</v>
      </c>
      <c r="AB45" s="23" t="n">
        <f aca="false">SUM(B45:Y45)</f>
        <v>331810.026271625</v>
      </c>
    </row>
    <row r="46" customFormat="false" ht="15" hidden="false" customHeight="false" outlineLevel="0" collapsed="false">
      <c r="A46" s="15" t="s">
        <v>155</v>
      </c>
      <c r="B46" s="23" t="n">
        <f aca="false">B30-B45</f>
        <v>2004</v>
      </c>
      <c r="C46" s="23" t="n">
        <f aca="false">C30-C45</f>
        <v>2412</v>
      </c>
      <c r="D46" s="23" t="n">
        <f aca="false">D30-D45</f>
        <v>3492.71875</v>
      </c>
      <c r="E46" s="23" t="n">
        <f aca="false">E30-E45</f>
        <v>4575.93604166666</v>
      </c>
      <c r="F46" s="23" t="n">
        <f aca="false">F30-F45</f>
        <v>5661.63521805556</v>
      </c>
      <c r="G46" s="23" t="n">
        <f aca="false">G30-G45</f>
        <v>6749.79973326852</v>
      </c>
      <c r="H46" s="23" t="n">
        <f aca="false">H30-H45</f>
        <v>9539.26315171339</v>
      </c>
      <c r="I46" s="23" t="n">
        <f aca="false">I30-I45</f>
        <v>16843.9523695909</v>
      </c>
      <c r="J46" s="23" t="n">
        <f aca="false">J30-J45</f>
        <v>19655.8192149047</v>
      </c>
      <c r="K46" s="23" t="n">
        <f aca="false">K30-K45</f>
        <v>22814.147418697</v>
      </c>
      <c r="L46" s="23" t="n">
        <f aca="false">L30-L45</f>
        <v>22944.270729785</v>
      </c>
      <c r="M46" s="23" t="n">
        <f aca="false">M30-M45</f>
        <v>23073.5265521324</v>
      </c>
      <c r="N46" s="23" t="n">
        <f aca="false">N30-N45</f>
        <v>23201.9206689974</v>
      </c>
      <c r="O46" s="23" t="n">
        <f aca="false">O30-O45</f>
        <v>23329.4588250834</v>
      </c>
      <c r="P46" s="23" t="n">
        <f aca="false">P30-P45</f>
        <v>23428.1779767954</v>
      </c>
      <c r="Q46" s="23" t="n">
        <f aca="false">Q30-Q45</f>
        <v>23526.2390008294</v>
      </c>
      <c r="R46" s="23" t="n">
        <f aca="false">R30-R45</f>
        <v>23623.6462847032</v>
      </c>
      <c r="S46" s="23" t="n">
        <f aca="false">S30-S45</f>
        <v>23720.4041866844</v>
      </c>
      <c r="T46" s="23" t="n">
        <f aca="false">T30-T45</f>
        <v>23816.5170359858</v>
      </c>
      <c r="U46" s="23" t="n">
        <f aca="false">U30-U45</f>
        <v>23911.9891329585</v>
      </c>
      <c r="V46" s="23" t="n">
        <f aca="false">V30-V45</f>
        <v>24006.8247492847</v>
      </c>
      <c r="W46" s="23" t="n">
        <f aca="false">W30-W45</f>
        <v>24101.0281281688</v>
      </c>
      <c r="X46" s="23" t="n">
        <f aca="false">X30-X45</f>
        <v>24194.6034845269</v>
      </c>
      <c r="Y46" s="23" t="n">
        <f aca="false">Y30-Y45</f>
        <v>24287.555005176</v>
      </c>
      <c r="Z46" s="23" t="n">
        <f aca="false">SUM(B46:M46)</f>
        <v>139767.069179814</v>
      </c>
      <c r="AA46" s="23" t="n">
        <f aca="false">SUM(N46:Y46)</f>
        <v>285148.364479194</v>
      </c>
      <c r="AB46" s="23" t="n">
        <f aca="false">SUM(B46:Y46)</f>
        <v>424915.433659008</v>
      </c>
    </row>
    <row r="47" customFormat="false" ht="15" hidden="false" customHeight="false" outlineLevel="0" collapsed="false">
      <c r="A47" s="17" t="s">
        <v>156</v>
      </c>
      <c r="B47" s="20" t="n">
        <f aca="false">IF(B24=0,0,B46/B24)</f>
        <v>0.0734065934065934</v>
      </c>
      <c r="C47" s="20" t="n">
        <f aca="false">IF(C24=0,0,C46/C24)</f>
        <v>0.0820408163265306</v>
      </c>
      <c r="D47" s="20" t="n">
        <f aca="false">IF(D24=0,0,D46/D24)</f>
        <v>0.110525030235247</v>
      </c>
      <c r="E47" s="20" t="n">
        <f aca="false">IF(E24=0,0,E46/E24)</f>
        <v>0.135359543305032</v>
      </c>
      <c r="F47" s="20" t="n">
        <f aca="false">IF(F24=0,0,F46/F24)</f>
        <v>0.15720706584</v>
      </c>
      <c r="G47" s="20" t="n">
        <f aca="false">IF(G24=0,0,G46/G24)</f>
        <v>0.17657898063397</v>
      </c>
      <c r="H47" s="20" t="n">
        <f aca="false">IF(H24=0,0,H46/H24)</f>
        <v>0.16065408613074</v>
      </c>
      <c r="I47" s="20" t="n">
        <f aca="false">IF(I24=0,0,I46/I24)</f>
        <v>0.258580871133738</v>
      </c>
      <c r="J47" s="20" t="n">
        <f aca="false">IF(J24=0,0,J46/J24)</f>
        <v>0.277184965371192</v>
      </c>
      <c r="K47" s="20" t="n">
        <f aca="false">IF(K24=0,0,K46/K24)</f>
        <v>0.297467806527227</v>
      </c>
      <c r="L47" s="20" t="n">
        <f aca="false">IF(L24=0,0,L46/L24)</f>
        <v>0.298460044457676</v>
      </c>
      <c r="M47" s="20" t="n">
        <f aca="false">IF(M24=0,0,M46/M24)</f>
        <v>0.299441052278976</v>
      </c>
      <c r="N47" s="20" t="n">
        <f aca="false">IF(N24=0,0,N46/N24)</f>
        <v>0.300410997994279</v>
      </c>
      <c r="O47" s="20" t="n">
        <f aca="false">IF(O24=0,0,O46/O24)</f>
        <v>0.301370046328512</v>
      </c>
      <c r="P47" s="20" t="n">
        <f aca="false">IF(P24=0,0,P46/P24)</f>
        <v>0.302109371629716</v>
      </c>
      <c r="Q47" s="20" t="n">
        <f aca="false">IF(Q24=0,0,Q46/Q24)</f>
        <v>0.302841180355429</v>
      </c>
      <c r="R47" s="20" t="n">
        <f aca="false">IF(R24=0,0,R46/R24)</f>
        <v>0.303565570431586</v>
      </c>
      <c r="S47" s="20" t="n">
        <f aca="false">IF(S24=0,0,S46/S24)</f>
        <v>0.304282638137298</v>
      </c>
      <c r="T47" s="20" t="n">
        <f aca="false">IF(T24=0,0,T46/T24)</f>
        <v>0.304992478139368</v>
      </c>
      <c r="U47" s="20" t="n">
        <f aca="false">IF(U24=0,0,U46/U24)</f>
        <v>0.305695183525931</v>
      </c>
      <c r="V47" s="20" t="n">
        <f aca="false">IF(V24=0,0,V46/V24)</f>
        <v>0.306390845839261</v>
      </c>
      <c r="W47" s="20" t="n">
        <f aca="false">IF(W24=0,0,W46/W24)</f>
        <v>0.30707955510776</v>
      </c>
      <c r="X47" s="20" t="n">
        <f aca="false">IF(X24=0,0,X46/X24)</f>
        <v>0.307761399877156</v>
      </c>
      <c r="Y47" s="20" t="n">
        <f aca="false">IF(Y24=0,0,Y46/Y24)</f>
        <v>0.308436467240926</v>
      </c>
      <c r="Z47" s="2"/>
      <c r="AA47" s="2"/>
      <c r="AB47" s="2"/>
    </row>
    <row r="48" customFormat="false" ht="15" hidden="false" customHeight="false" outlineLevel="0" collapsed="false">
      <c r="A48" s="4" t="s">
        <v>157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customFormat="false" ht="15" hidden="false" customHeight="false" outlineLevel="0" collapsed="false">
      <c r="A49" s="17" t="s">
        <v>158</v>
      </c>
      <c r="B49" s="21" t="n">
        <f aca="false">B20*Assumptions!$B$29+B20*(1-Assumptions!$B$29)*Assumptions!$B$30+0+B23</f>
        <v>25389</v>
      </c>
      <c r="C49" s="21" t="n">
        <f aca="false">C20*Assumptions!$B$29+C20*(1-Assumptions!$B$29)*Assumptions!$B$30+B20*(1-Assumptions!$B$29)*(1-Assumptions!$B$30)+C23</f>
        <v>29253</v>
      </c>
      <c r="D49" s="21" t="n">
        <f aca="false">D20*Assumptions!$B$29+D20*(1-Assumptions!$B$29)*Assumptions!$B$30+C20*(1-Assumptions!$B$29)*(1-Assumptions!$B$30)+D23</f>
        <v>31454.15625</v>
      </c>
      <c r="E49" s="21" t="n">
        <f aca="false">E20*Assumptions!$B$29+E20*(1-Assumptions!$B$29)*Assumptions!$B$30+D20*(1-Assumptions!$B$29)*(1-Assumptions!$B$30)+E23</f>
        <v>33658.788125</v>
      </c>
      <c r="F49" s="21" t="n">
        <f aca="false">F20*Assumptions!$B$29+F20*(1-Assumptions!$B$29)*Assumptions!$B$30+E20*(1-Assumptions!$B$29)*(1-Assumptions!$B$30)+F23</f>
        <v>35866.8724541667</v>
      </c>
      <c r="G49" s="21" t="n">
        <f aca="false">G20*Assumptions!$B$29+G20*(1-Assumptions!$B$29)*Assumptions!$B$30+F20*(1-Assumptions!$B$29)*(1-Assumptions!$B$30)+G23</f>
        <v>38078.3862211389</v>
      </c>
      <c r="H49" s="21" t="n">
        <f aca="false">H20*Assumptions!$B$29+H20*(1-Assumptions!$B$29)*Assumptions!$B$30+G20*(1-Assumptions!$B$29)*(1-Assumptions!$B$30)+H23</f>
        <v>57907.656562998</v>
      </c>
      <c r="I49" s="21" t="n">
        <f aca="false">I20*Assumptions!$B$29+I20*(1-Assumptions!$B$29)*Assumptions!$B$30+H20*(1-Assumptions!$B$29)*(1-Assumptions!$B$30)+I23</f>
        <v>64747.9784359113</v>
      </c>
      <c r="J49" s="21" t="n">
        <f aca="false">J20*Assumptions!$B$29+J20*(1-Assumptions!$B$29)*Assumptions!$B$30+I20*(1-Assumptions!$B$29)*(1-Assumptions!$B$30)+J23</f>
        <v>70520.2848296719</v>
      </c>
      <c r="K49" s="21" t="n">
        <f aca="false">K20*Assumptions!$B$29+K20*(1-Assumptions!$B$29)*Assumptions!$B$30+J20*(1-Assumptions!$B$29)*(1-Assumptions!$B$30)+K23</f>
        <v>76302.5091808074</v>
      </c>
      <c r="L49" s="21" t="n">
        <f aca="false">L20*Assumptions!$B$29+L20*(1-Assumptions!$B$29)*Assumptions!$B$30+K20*(1-Assumptions!$B$29)*(1-Assumptions!$B$30)+L23</f>
        <v>76875.5187029354</v>
      </c>
      <c r="M49" s="21" t="n">
        <f aca="false">M20*Assumptions!$B$29+M20*(1-Assumptions!$B$29)*Assumptions!$B$30+L20*(1-Assumptions!$B$29)*(1-Assumptions!$B$30)+M23</f>
        <v>77055.3214949158</v>
      </c>
      <c r="N49" s="21" t="n">
        <f aca="false">N20*Assumptions!$B$29+N20*(1-Assumptions!$B$29)*Assumptions!$B$30+M20*(1-Assumptions!$B$29)*(1-Assumptions!$B$30)+N23</f>
        <v>77233.9256016164</v>
      </c>
      <c r="O49" s="21" t="n">
        <f aca="false">O20*Assumptions!$B$29+O20*(1-Assumptions!$B$29)*Assumptions!$B$30+N20*(1-Assumptions!$B$29)*(1-Assumptions!$B$30)+O23</f>
        <v>77411.3390142723</v>
      </c>
      <c r="P49" s="21" t="n">
        <f aca="false">P20*Assumptions!$B$29+P20*(1-Assumptions!$B$29)*Assumptions!$B$30+O20*(1-Assumptions!$B$29)*(1-Assumptions!$B$30)+P23</f>
        <v>77548.6634208438</v>
      </c>
      <c r="Q49" s="21" t="n">
        <f aca="false">Q20*Assumptions!$B$29+Q20*(1-Assumptions!$B$29)*Assumptions!$B$30+P20*(1-Assumptions!$B$29)*(1-Assumptions!$B$30)+Q23</f>
        <v>77685.0723313715</v>
      </c>
      <c r="R49" s="21" t="n">
        <f aca="false">R20*Assumptions!$B$29+R20*(1-Assumptions!$B$29)*Assumptions!$B$30+Q20*(1-Assumptions!$B$29)*(1-Assumptions!$B$30)+R23</f>
        <v>77820.5718491623</v>
      </c>
      <c r="S49" s="21" t="n">
        <f aca="false">S20*Assumptions!$B$29+S20*(1-Assumptions!$B$29)*Assumptions!$B$30+R20*(1-Assumptions!$B$29)*(1-Assumptions!$B$30)+S23</f>
        <v>77955.1680368346</v>
      </c>
      <c r="T49" s="21" t="n">
        <f aca="false">T20*Assumptions!$B$29+T20*(1-Assumptions!$B$29)*Assumptions!$B$30+S20*(1-Assumptions!$B$29)*(1-Assumptions!$B$30)+T23</f>
        <v>78088.866916589</v>
      </c>
      <c r="U49" s="21" t="n">
        <f aca="false">U20*Assumptions!$B$29+U20*(1-Assumptions!$B$29)*Assumptions!$B$30+T20*(1-Assumptions!$B$29)*(1-Assumptions!$B$30)+U23</f>
        <v>78221.6744704784</v>
      </c>
      <c r="V49" s="21" t="n">
        <f aca="false">V20*Assumptions!$B$29+V20*(1-Assumptions!$B$29)*Assumptions!$B$30+U20*(1-Assumptions!$B$29)*(1-Assumptions!$B$30)+V23</f>
        <v>78353.5966406752</v>
      </c>
      <c r="W49" s="21" t="n">
        <f aca="false">W20*Assumptions!$B$29+W20*(1-Assumptions!$B$29)*Assumptions!$B$30+V20*(1-Assumptions!$B$29)*(1-Assumptions!$B$30)+W23</f>
        <v>78484.6393297374</v>
      </c>
      <c r="X49" s="21" t="n">
        <f aca="false">X20*Assumptions!$B$29+X20*(1-Assumptions!$B$29)*Assumptions!$B$30+W20*(1-Assumptions!$B$29)*(1-Assumptions!$B$30)+X23</f>
        <v>78614.8084008725</v>
      </c>
      <c r="Y49" s="21" t="n">
        <f aca="false">Y20*Assumptions!$B$29+Y20*(1-Assumptions!$B$29)*Assumptions!$B$30+X20*(1-Assumptions!$B$29)*(1-Assumptions!$B$30)+Y23</f>
        <v>78744.1096782</v>
      </c>
      <c r="Z49" s="21" t="n">
        <f aca="false">SUM(B49:M49)</f>
        <v>617109.472257545</v>
      </c>
      <c r="AA49" s="21" t="n">
        <f aca="false">SUM(N49:Y49)</f>
        <v>936162.435690653</v>
      </c>
      <c r="AB49" s="21" t="n">
        <f aca="false">SUM(B49:Y49)</f>
        <v>1553271.9079482</v>
      </c>
    </row>
    <row r="50" customFormat="false" ht="15" hidden="false" customHeight="false" outlineLevel="0" collapsed="false">
      <c r="A50" s="17" t="s">
        <v>159</v>
      </c>
      <c r="B50" s="21" t="n">
        <f aca="false">B29+B45</f>
        <v>25296</v>
      </c>
      <c r="C50" s="21" t="n">
        <f aca="false">C29+C45</f>
        <v>26988</v>
      </c>
      <c r="D50" s="21" t="n">
        <f aca="false">D29+D45</f>
        <v>28108.4375</v>
      </c>
      <c r="E50" s="21" t="n">
        <f aca="false">E29+E45</f>
        <v>29229.8520833333</v>
      </c>
      <c r="F50" s="21" t="n">
        <f aca="false">F29+F45</f>
        <v>30352.2372361111</v>
      </c>
      <c r="G50" s="21" t="n">
        <f aca="false">G29+G45</f>
        <v>31475.5864878704</v>
      </c>
      <c r="H50" s="21" t="n">
        <f aca="false">H29+H45</f>
        <v>49838.3934112846</v>
      </c>
      <c r="I50" s="21" t="n">
        <f aca="false">I29+I45</f>
        <v>48296.0260663205</v>
      </c>
      <c r="J50" s="21" t="n">
        <f aca="false">J29+J45</f>
        <v>51256.4656147672</v>
      </c>
      <c r="K50" s="21" t="n">
        <f aca="false">K29+K45</f>
        <v>53880.3617621104</v>
      </c>
      <c r="L50" s="21" t="n">
        <f aca="false">L29+L45</f>
        <v>53931.2479731504</v>
      </c>
      <c r="M50" s="21" t="n">
        <f aca="false">M29+M45</f>
        <v>53981.7949427835</v>
      </c>
      <c r="N50" s="21" t="n">
        <f aca="false">N29+N45</f>
        <v>54032.0049326189</v>
      </c>
      <c r="O50" s="21" t="n">
        <f aca="false">O29+O45</f>
        <v>54081.8801891889</v>
      </c>
      <c r="P50" s="21" t="n">
        <f aca="false">P29+P45</f>
        <v>54120.4854440483</v>
      </c>
      <c r="Q50" s="21" t="n">
        <f aca="false">Q29+Q45</f>
        <v>54158.8333305421</v>
      </c>
      <c r="R50" s="21" t="n">
        <f aca="false">R29+R45</f>
        <v>54196.9255644592</v>
      </c>
      <c r="S50" s="21" t="n">
        <f aca="false">S29+S45</f>
        <v>54234.7638501502</v>
      </c>
      <c r="T50" s="21" t="n">
        <f aca="false">T29+T45</f>
        <v>54272.3498806032</v>
      </c>
      <c r="U50" s="21" t="n">
        <f aca="false">U29+U45</f>
        <v>54309.6853375199</v>
      </c>
      <c r="V50" s="21" t="n">
        <f aca="false">V29+V45</f>
        <v>54346.7718913905</v>
      </c>
      <c r="W50" s="21" t="n">
        <f aca="false">W29+W45</f>
        <v>54383.6112015686</v>
      </c>
      <c r="X50" s="21" t="n">
        <f aca="false">X29+X45</f>
        <v>54420.2049163456</v>
      </c>
      <c r="Y50" s="21" t="n">
        <f aca="false">Y29+Y45</f>
        <v>54456.554673024</v>
      </c>
      <c r="Z50" s="21" t="n">
        <f aca="false">SUM(B50:M50)</f>
        <v>482634.403077731</v>
      </c>
      <c r="AA50" s="21" t="n">
        <f aca="false">SUM(N50:Y50)</f>
        <v>651014.071211459</v>
      </c>
      <c r="AB50" s="21" t="n">
        <f aca="false">SUM(B50:Y50)</f>
        <v>1133648.47428919</v>
      </c>
    </row>
    <row r="51" customFormat="false" ht="15" hidden="false" customHeight="false" outlineLevel="0" collapsed="false">
      <c r="A51" s="17" t="s">
        <v>160</v>
      </c>
      <c r="B51" s="21" t="n">
        <f aca="false">IF(1=Assumptions!$B$8+IF(Assumptions!$B$59=1,3,0),(Assumptions!$B$54+Assumptions!$B$55)*(1-Assumptions!$B$56),0)</f>
        <v>0</v>
      </c>
      <c r="C51" s="21" t="n">
        <f aca="false">IF(2=Assumptions!$B$8+IF(Assumptions!$B$59=1,3,0),(Assumptions!$B$54+Assumptions!$B$55)*(1-Assumptions!$B$56),0)</f>
        <v>0</v>
      </c>
      <c r="D51" s="21" t="n">
        <f aca="false">IF(3=Assumptions!$B$8+IF(Assumptions!$B$59=1,3,0),(Assumptions!$B$54+Assumptions!$B$55)*(1-Assumptions!$B$56),0)</f>
        <v>0</v>
      </c>
      <c r="E51" s="21" t="n">
        <f aca="false">IF(4=Assumptions!$B$8+IF(Assumptions!$B$59=1,3,0),(Assumptions!$B$54+Assumptions!$B$55)*(1-Assumptions!$B$56),0)</f>
        <v>0</v>
      </c>
      <c r="F51" s="21" t="n">
        <f aca="false">IF(5=Assumptions!$B$8+IF(Assumptions!$B$59=1,3,0),(Assumptions!$B$54+Assumptions!$B$55)*(1-Assumptions!$B$56),0)</f>
        <v>0</v>
      </c>
      <c r="G51" s="21" t="n">
        <f aca="false">IF(6=Assumptions!$B$8+IF(Assumptions!$B$59=1,3,0),(Assumptions!$B$54+Assumptions!$B$55)*(1-Assumptions!$B$56),0)</f>
        <v>0</v>
      </c>
      <c r="H51" s="21" t="n">
        <f aca="false">IF(7=Assumptions!$B$8+IF(Assumptions!$B$59=1,3,0),(Assumptions!$B$54+Assumptions!$B$55)*(1-Assumptions!$B$56),0)</f>
        <v>0</v>
      </c>
      <c r="I51" s="21" t="n">
        <f aca="false">IF(8=Assumptions!$B$8+IF(Assumptions!$B$59=1,3,0),(Assumptions!$B$54+Assumptions!$B$55)*(1-Assumptions!$B$56),0)</f>
        <v>0</v>
      </c>
      <c r="J51" s="21" t="n">
        <f aca="false">IF(9=Assumptions!$B$8+IF(Assumptions!$B$59=1,3,0),(Assumptions!$B$54+Assumptions!$B$55)*(1-Assumptions!$B$56),0)</f>
        <v>0</v>
      </c>
      <c r="K51" s="21" t="n">
        <f aca="false">IF(10=Assumptions!$B$8+IF(Assumptions!$B$59=1,3,0),(Assumptions!$B$54+Assumptions!$B$55)*(1-Assumptions!$B$56),0)</f>
        <v>20000</v>
      </c>
      <c r="L51" s="21" t="n">
        <f aca="false">IF(11=Assumptions!$B$8+IF(Assumptions!$B$59=1,3,0),(Assumptions!$B$54+Assumptions!$B$55)*(1-Assumptions!$B$56),0)</f>
        <v>0</v>
      </c>
      <c r="M51" s="21" t="n">
        <f aca="false">IF(12=Assumptions!$B$8+IF(Assumptions!$B$59=1,3,0),(Assumptions!$B$54+Assumptions!$B$55)*(1-Assumptions!$B$56),0)</f>
        <v>0</v>
      </c>
      <c r="N51" s="21" t="n">
        <f aca="false">IF(13=Assumptions!$B$8+IF(Assumptions!$B$59=1,3,0),(Assumptions!$B$54+Assumptions!$B$55)*(1-Assumptions!$B$56),0)</f>
        <v>0</v>
      </c>
      <c r="O51" s="21" t="n">
        <f aca="false">IF(14=Assumptions!$B$8+IF(Assumptions!$B$59=1,3,0),(Assumptions!$B$54+Assumptions!$B$55)*(1-Assumptions!$B$56),0)</f>
        <v>0</v>
      </c>
      <c r="P51" s="21" t="n">
        <f aca="false">IF(15=Assumptions!$B$8+IF(Assumptions!$B$59=1,3,0),(Assumptions!$B$54+Assumptions!$B$55)*(1-Assumptions!$B$56),0)</f>
        <v>0</v>
      </c>
      <c r="Q51" s="21" t="n">
        <f aca="false">IF(16=Assumptions!$B$8+IF(Assumptions!$B$59=1,3,0),(Assumptions!$B$54+Assumptions!$B$55)*(1-Assumptions!$B$56),0)</f>
        <v>0</v>
      </c>
      <c r="R51" s="21" t="n">
        <f aca="false">IF(17=Assumptions!$B$8+IF(Assumptions!$B$59=1,3,0),(Assumptions!$B$54+Assumptions!$B$55)*(1-Assumptions!$B$56),0)</f>
        <v>0</v>
      </c>
      <c r="S51" s="21" t="n">
        <f aca="false">IF(18=Assumptions!$B$8+IF(Assumptions!$B$59=1,3,0),(Assumptions!$B$54+Assumptions!$B$55)*(1-Assumptions!$B$56),0)</f>
        <v>0</v>
      </c>
      <c r="T51" s="21" t="n">
        <f aca="false">IF(19=Assumptions!$B$8+IF(Assumptions!$B$59=1,3,0),(Assumptions!$B$54+Assumptions!$B$55)*(1-Assumptions!$B$56),0)</f>
        <v>0</v>
      </c>
      <c r="U51" s="21" t="n">
        <f aca="false">IF(20=Assumptions!$B$8+IF(Assumptions!$B$59=1,3,0),(Assumptions!$B$54+Assumptions!$B$55)*(1-Assumptions!$B$56),0)</f>
        <v>0</v>
      </c>
      <c r="V51" s="21" t="n">
        <f aca="false">IF(21=Assumptions!$B$8+IF(Assumptions!$B$59=1,3,0),(Assumptions!$B$54+Assumptions!$B$55)*(1-Assumptions!$B$56),0)</f>
        <v>0</v>
      </c>
      <c r="W51" s="21" t="n">
        <f aca="false">IF(22=Assumptions!$B$8+IF(Assumptions!$B$59=1,3,0),(Assumptions!$B$54+Assumptions!$B$55)*(1-Assumptions!$B$56),0)</f>
        <v>0</v>
      </c>
      <c r="X51" s="21" t="n">
        <f aca="false">IF(23=Assumptions!$B$8+IF(Assumptions!$B$59=1,3,0),(Assumptions!$B$54+Assumptions!$B$55)*(1-Assumptions!$B$56),0)</f>
        <v>0</v>
      </c>
      <c r="Y51" s="21" t="n">
        <f aca="false">IF(24=Assumptions!$B$8+IF(Assumptions!$B$59=1,3,0),(Assumptions!$B$54+Assumptions!$B$55)*(1-Assumptions!$B$56),0)</f>
        <v>0</v>
      </c>
      <c r="Z51" s="21" t="n">
        <f aca="false">SUM(B51:M51)</f>
        <v>20000</v>
      </c>
      <c r="AA51" s="21" t="n">
        <f aca="false">SUM(N51:Y51)</f>
        <v>0</v>
      </c>
      <c r="AB51" s="21" t="n">
        <f aca="false">SUM(B51:Y51)</f>
        <v>20000</v>
      </c>
    </row>
    <row r="52" customFormat="false" ht="15" hidden="false" customHeight="false" outlineLevel="0" collapsed="false">
      <c r="A52" s="15" t="s">
        <v>161</v>
      </c>
      <c r="B52" s="22" t="n">
        <f aca="false">B49-B50-B51</f>
        <v>93</v>
      </c>
      <c r="C52" s="22" t="n">
        <f aca="false">C49-C50-C51</f>
        <v>2265</v>
      </c>
      <c r="D52" s="22" t="n">
        <f aca="false">D49-D50-D51</f>
        <v>3345.71875</v>
      </c>
      <c r="E52" s="22" t="n">
        <f aca="false">E49-E50-E51</f>
        <v>4428.93604166666</v>
      </c>
      <c r="F52" s="22" t="n">
        <f aca="false">F49-F50-F51</f>
        <v>5514.63521805556</v>
      </c>
      <c r="G52" s="22" t="n">
        <f aca="false">G49-G50-G51</f>
        <v>6602.79973326852</v>
      </c>
      <c r="H52" s="22" t="n">
        <f aca="false">H49-H50-H51</f>
        <v>8069.26315171339</v>
      </c>
      <c r="I52" s="22" t="n">
        <f aca="false">I49-I50-I51</f>
        <v>16451.9523695909</v>
      </c>
      <c r="J52" s="22" t="n">
        <f aca="false">J49-J50-J51</f>
        <v>19263.8192149047</v>
      </c>
      <c r="K52" s="22" t="n">
        <f aca="false">K49-K50-K51</f>
        <v>2422.14741869702</v>
      </c>
      <c r="L52" s="22" t="n">
        <f aca="false">L49-L50-L51</f>
        <v>22944.270729785</v>
      </c>
      <c r="M52" s="22" t="n">
        <f aca="false">M49-M50-M51</f>
        <v>23073.5265521324</v>
      </c>
      <c r="N52" s="22" t="n">
        <f aca="false">N49-N50-N51</f>
        <v>23201.9206689974</v>
      </c>
      <c r="O52" s="22" t="n">
        <f aca="false">O49-O50-O51</f>
        <v>23329.4588250834</v>
      </c>
      <c r="P52" s="22" t="n">
        <f aca="false">P49-P50-P51</f>
        <v>23428.1779767954</v>
      </c>
      <c r="Q52" s="22" t="n">
        <f aca="false">Q49-Q50-Q51</f>
        <v>23526.2390008294</v>
      </c>
      <c r="R52" s="22" t="n">
        <f aca="false">R49-R50-R51</f>
        <v>23623.6462847032</v>
      </c>
      <c r="S52" s="22" t="n">
        <f aca="false">S49-S50-S51</f>
        <v>23720.4041866844</v>
      </c>
      <c r="T52" s="22" t="n">
        <f aca="false">T49-T50-T51</f>
        <v>23816.5170359858</v>
      </c>
      <c r="U52" s="22" t="n">
        <f aca="false">U49-U50-U51</f>
        <v>23911.9891329585</v>
      </c>
      <c r="V52" s="22" t="n">
        <f aca="false">V49-V50-V51</f>
        <v>24006.8247492847</v>
      </c>
      <c r="W52" s="22" t="n">
        <f aca="false">W49-W50-W51</f>
        <v>24101.0281281688</v>
      </c>
      <c r="X52" s="22" t="n">
        <f aca="false">X49-X50-X51</f>
        <v>24194.6034845269</v>
      </c>
      <c r="Y52" s="22" t="n">
        <f aca="false">Y49-Y50-Y51</f>
        <v>24287.555005176</v>
      </c>
      <c r="Z52" s="23" t="n">
        <f aca="false">SUM(B52:M52)</f>
        <v>114475.069179814</v>
      </c>
      <c r="AA52" s="23" t="n">
        <f aca="false">SUM(N52:Y52)</f>
        <v>285148.364479194</v>
      </c>
      <c r="AB52" s="23" t="n">
        <f aca="false">SUM(B52:Y52)</f>
        <v>399623.433659008</v>
      </c>
    </row>
    <row r="53" customFormat="false" ht="15" hidden="false" customHeight="false" outlineLevel="0" collapsed="false">
      <c r="A53" s="15" t="s">
        <v>162</v>
      </c>
      <c r="B53" s="23" t="n">
        <f aca="false">Assumptions!$B$32+B52</f>
        <v>25093</v>
      </c>
      <c r="C53" s="23" t="n">
        <f aca="false">B53+C52</f>
        <v>27358</v>
      </c>
      <c r="D53" s="23" t="n">
        <f aca="false">C53+D52</f>
        <v>30703.71875</v>
      </c>
      <c r="E53" s="23" t="n">
        <f aca="false">D53+E52</f>
        <v>35132.6547916667</v>
      </c>
      <c r="F53" s="23" t="n">
        <f aca="false">E53+F52</f>
        <v>40647.2900097222</v>
      </c>
      <c r="G53" s="23" t="n">
        <f aca="false">F53+G52</f>
        <v>47250.0897429907</v>
      </c>
      <c r="H53" s="23" t="n">
        <f aca="false">G53+H52</f>
        <v>55319.3528947041</v>
      </c>
      <c r="I53" s="23" t="n">
        <f aca="false">H53+I52</f>
        <v>71771.305264295</v>
      </c>
      <c r="J53" s="23" t="n">
        <f aca="false">I53+J52</f>
        <v>91035.1244791997</v>
      </c>
      <c r="K53" s="23" t="n">
        <f aca="false">J53+K52</f>
        <v>93457.2718978967</v>
      </c>
      <c r="L53" s="23" t="n">
        <f aca="false">K53+L52</f>
        <v>116401.542627682</v>
      </c>
      <c r="M53" s="23" t="n">
        <f aca="false">L53+M52</f>
        <v>139475.069179814</v>
      </c>
      <c r="N53" s="23" t="n">
        <f aca="false">M53+N52</f>
        <v>162676.989848811</v>
      </c>
      <c r="O53" s="23" t="n">
        <f aca="false">N53+O52</f>
        <v>186006.448673895</v>
      </c>
      <c r="P53" s="23" t="n">
        <f aca="false">O53+P52</f>
        <v>209434.62665069</v>
      </c>
      <c r="Q53" s="23" t="n">
        <f aca="false">P53+Q52</f>
        <v>232960.86565152</v>
      </c>
      <c r="R53" s="23" t="n">
        <f aca="false">Q53+R52</f>
        <v>256584.511936223</v>
      </c>
      <c r="S53" s="23" t="n">
        <f aca="false">R53+S52</f>
        <v>280304.916122907</v>
      </c>
      <c r="T53" s="23" t="n">
        <f aca="false">S53+T52</f>
        <v>304121.433158893</v>
      </c>
      <c r="U53" s="23" t="n">
        <f aca="false">T53+U52</f>
        <v>328033.422291852</v>
      </c>
      <c r="V53" s="23" t="n">
        <f aca="false">U53+V52</f>
        <v>352040.247041136</v>
      </c>
      <c r="W53" s="23" t="n">
        <f aca="false">V53+W52</f>
        <v>376141.275169305</v>
      </c>
      <c r="X53" s="23" t="n">
        <f aca="false">W53+X52</f>
        <v>400335.878653832</v>
      </c>
      <c r="Y53" s="23" t="n">
        <f aca="false">X53+Y52</f>
        <v>424623.433659008</v>
      </c>
      <c r="Z53" s="2"/>
      <c r="AA53" s="2"/>
      <c r="AB53" s="2"/>
    </row>
    <row r="54" customFormat="false" ht="15" hidden="false" customHeight="false" outlineLevel="0" collapsed="false">
      <c r="A54" s="4" t="s">
        <v>163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customFormat="false" ht="15" hidden="false" customHeight="false" outlineLevel="0" collapsed="false">
      <c r="A55" s="17" t="s">
        <v>164</v>
      </c>
      <c r="B55" s="21" t="n">
        <f aca="false">IF(B8=0,0,B20/IF(B7&gt;0,2,1))</f>
        <v>27300</v>
      </c>
      <c r="C55" s="21" t="n">
        <f aca="false">IF(C8=0,0,C20/IF(C7&gt;0,2,1))</f>
        <v>29400</v>
      </c>
      <c r="D55" s="21" t="n">
        <f aca="false">IF(D8=0,0,D20/IF(D7&gt;0,2,1))</f>
        <v>31500</v>
      </c>
      <c r="E55" s="21" t="n">
        <f aca="false">IF(E8=0,0,E20/IF(E7&gt;0,2,1))</f>
        <v>33600</v>
      </c>
      <c r="F55" s="21" t="n">
        <f aca="false">IF(F8=0,0,F20/IF(F7&gt;0,2,1))</f>
        <v>35700</v>
      </c>
      <c r="G55" s="21" t="n">
        <f aca="false">IF(G8=0,0,G20/IF(G7&gt;0,2,1))</f>
        <v>37800</v>
      </c>
      <c r="H55" s="21" t="n">
        <f aca="false">IF(H8=0,0,H20/IF(H7&gt;0,2,1))</f>
        <v>29400</v>
      </c>
      <c r="I55" s="21" t="n">
        <f aca="false">IF(I8=0,0,I20/IF(I7&gt;0,2,1))</f>
        <v>32200</v>
      </c>
      <c r="J55" s="21" t="n">
        <f aca="false">IF(J8=0,0,J20/IF(J7&gt;0,2,1))</f>
        <v>35000</v>
      </c>
      <c r="K55" s="21" t="n">
        <f aca="false">IF(K8=0,0,K20/IF(K7&gt;0,2,1))</f>
        <v>37800</v>
      </c>
      <c r="L55" s="21" t="n">
        <f aca="false">IF(L8=0,0,L20/IF(L7&gt;0,2,1))</f>
        <v>37800</v>
      </c>
      <c r="M55" s="21" t="n">
        <f aca="false">IF(M8=0,0,M20/IF(M7&gt;0,2,1))</f>
        <v>37800</v>
      </c>
      <c r="N55" s="21" t="n">
        <f aca="false">IF(N8=0,0,N20/IF(N7&gt;0,2,1))</f>
        <v>37800</v>
      </c>
      <c r="O55" s="21" t="n">
        <f aca="false">IF(O8=0,0,O20/IF(O7&gt;0,2,1))</f>
        <v>37800</v>
      </c>
      <c r="P55" s="21" t="n">
        <f aca="false">IF(P8=0,0,P20/IF(P7&gt;0,2,1))</f>
        <v>37800</v>
      </c>
      <c r="Q55" s="21" t="n">
        <f aca="false">IF(Q8=0,0,Q20/IF(Q7&gt;0,2,1))</f>
        <v>37800</v>
      </c>
      <c r="R55" s="21" t="n">
        <f aca="false">IF(R8=0,0,R20/IF(R7&gt;0,2,1))</f>
        <v>37800</v>
      </c>
      <c r="S55" s="21" t="n">
        <f aca="false">IF(S8=0,0,S20/IF(S7&gt;0,2,1))</f>
        <v>37800</v>
      </c>
      <c r="T55" s="21" t="n">
        <f aca="false">IF(T8=0,0,T20/IF(T7&gt;0,2,1))</f>
        <v>37800</v>
      </c>
      <c r="U55" s="21" t="n">
        <f aca="false">IF(U8=0,0,U20/IF(U7&gt;0,2,1))</f>
        <v>37800</v>
      </c>
      <c r="V55" s="21" t="n">
        <f aca="false">IF(V8=0,0,V20/IF(V7&gt;0,2,1))</f>
        <v>37800</v>
      </c>
      <c r="W55" s="21" t="n">
        <f aca="false">IF(W8=0,0,W20/IF(W7&gt;0,2,1))</f>
        <v>37800</v>
      </c>
      <c r="X55" s="21" t="n">
        <f aca="false">IF(X8=0,0,X20/IF(X7&gt;0,2,1))</f>
        <v>37800</v>
      </c>
      <c r="Y55" s="21" t="n">
        <f aca="false">IF(Y8=0,0,Y20/IF(Y7&gt;0,2,1))</f>
        <v>37800</v>
      </c>
      <c r="Z55" s="2"/>
      <c r="AA55" s="2"/>
      <c r="AB55" s="2"/>
    </row>
    <row r="56" customFormat="false" ht="15" hidden="false" customHeight="false" outlineLevel="0" collapsed="false">
      <c r="A56" s="17" t="s">
        <v>165</v>
      </c>
      <c r="B56" s="21" t="n">
        <f aca="false">IF(B13=0,0,(B40+B41+B42)/B13)</f>
        <v>56.4593301435407</v>
      </c>
      <c r="C56" s="21" t="n">
        <f aca="false">IF(C13=0,0,(C40+C41+C42)/C13)</f>
        <v>55.344889338647</v>
      </c>
      <c r="D56" s="21" t="n">
        <f aca="false">IF(D13=0,0,(D40+D41+D42)/D13)</f>
        <v>54.7030520538172</v>
      </c>
      <c r="E56" s="21" t="n">
        <f aca="false">IF(E13=0,0,(E40+E41+E42)/E13)</f>
        <v>54.0387606024687</v>
      </c>
      <c r="F56" s="21" t="n">
        <f aca="false">IF(F13=0,0,(F40+F41+F42)/F13)</f>
        <v>53.3520026498769</v>
      </c>
      <c r="G56" s="21" t="n">
        <f aca="false">IF(G13=0,0,(G40+G41+G42)/G13)</f>
        <v>52.64284380353</v>
      </c>
      <c r="H56" s="21" t="n">
        <f aca="false">IF(H13=0,0,(H40+H41+H42)/H13)</f>
        <v>53.6007390411201</v>
      </c>
      <c r="I56" s="21" t="n">
        <f aca="false">IF(I13=0,0,(I40+I41+I42)/I13)</f>
        <v>53.0627977874208</v>
      </c>
      <c r="J56" s="21" t="n">
        <f aca="false">IF(J13=0,0,(J40+J41+J42)/J13)</f>
        <v>52.5042448312122</v>
      </c>
      <c r="K56" s="21" t="n">
        <f aca="false">IF(K13=0,0,(K40+K41+K42)/K13)</f>
        <v>51.9248754514001</v>
      </c>
      <c r="L56" s="21" t="n">
        <f aca="false">IF(L13=0,0,(L40+L41+L42)/L13)</f>
        <v>51.3245426468748</v>
      </c>
      <c r="M56" s="21" t="n">
        <f aca="false">IF(M13=0,0,(M40+M41+M42)/M13)</f>
        <v>50.7031622847844</v>
      </c>
      <c r="N56" s="21" t="n">
        <f aca="false">IF(N13=0,0,(N40+N41+N42)/N13)</f>
        <v>50.0607181383268</v>
      </c>
      <c r="O56" s="21" t="n">
        <f aca="false">IF(O13=0,0,(O40+O41+O42)/O13)</f>
        <v>49.3972667391676</v>
      </c>
      <c r="P56" s="21" t="n">
        <f aca="false">IF(P13=0,0,(P40+P41+P42)/P13)</f>
        <v>48.712941964224</v>
      </c>
      <c r="Q56" s="21" t="n">
        <f aca="false">IF(Q13=0,0,(Q40+Q41+Q42)/Q13)</f>
        <v>48.0079592722895</v>
      </c>
      <c r="R56" s="21" t="n">
        <f aca="false">IF(R13=0,0,(R40+R41+R42)/R13)</f>
        <v>47.2826195030823</v>
      </c>
      <c r="S56" s="21" t="n">
        <f aca="false">IF(S13=0,0,(S40+S41+S42)/S13)</f>
        <v>46.5373121500501</v>
      </c>
      <c r="T56" s="21" t="n">
        <f aca="false">IF(T13=0,0,(T40+T41+T42)/T13)</f>
        <v>45.7725180189062</v>
      </c>
      <c r="U56" s="21" t="n">
        <f aca="false">IF(U13=0,0,(U40+U41+U42)/U13)</f>
        <v>44.9888111866158</v>
      </c>
      <c r="V56" s="21" t="n">
        <f aca="false">IF(V13=0,0,(V40+V41+V42)/V13)</f>
        <v>44.186860180576</v>
      </c>
      <c r="W56" s="21" t="n">
        <f aca="false">IF(W13=0,0,(W40+W41+W42)/W13)</f>
        <v>43.3674283051422</v>
      </c>
      <c r="X56" s="21" t="n">
        <f aca="false">IF(X13=0,0,(X40+X41+X42)/X13)</f>
        <v>42.5313730524876</v>
      </c>
      <c r="Y56" s="21" t="n">
        <f aca="false">IF(Y13=0,0,(Y40+Y41+Y42)/Y13)</f>
        <v>41.6796445469942</v>
      </c>
      <c r="Z56" s="2"/>
      <c r="AA56" s="2"/>
      <c r="AB56" s="2"/>
    </row>
    <row r="57" customFormat="false" ht="15" hidden="false" customHeight="false" outlineLevel="0" collapsed="false">
      <c r="A57" s="17" t="s">
        <v>166</v>
      </c>
      <c r="B57" s="21" t="n">
        <f aca="false">IF(B14=0,0,(B40+B41+B42)/B14)</f>
        <v>149.272612270715</v>
      </c>
      <c r="C57" s="21" t="n">
        <f aca="false">IF(C14=0,0,(C40+C41+C42)/C14)</f>
        <v>177.084839736856</v>
      </c>
      <c r="D57" s="21" t="n">
        <f aca="false">IF(D14=0,0,(D40+D41+D42)/D14)</f>
        <v>174.14288829155</v>
      </c>
      <c r="E57" s="21" t="n">
        <f aca="false">IF(E14=0,0,(E40+E41+E42)/E14)</f>
        <v>171.129297018282</v>
      </c>
      <c r="F57" s="21" t="n">
        <f aca="false">IF(F14=0,0,(F40+F41+F42)/F14)</f>
        <v>168.046715989101</v>
      </c>
      <c r="G57" s="21" t="n">
        <f aca="false">IF(G14=0,0,(G40+G41+G42)/G14)</f>
        <v>164.898157229817</v>
      </c>
      <c r="H57" s="21" t="n">
        <f aca="false">IF(H14=0,0,(H40+H41+H42)/H14)</f>
        <v>174.034192953591</v>
      </c>
      <c r="I57" s="21" t="n">
        <f aca="false">IF(I14=0,0,(I40+I41+I42)/I14)</f>
        <v>171.493981275161</v>
      </c>
      <c r="J57" s="21" t="n">
        <f aca="false">IF(J14=0,0,(J40+J41+J42)/J14)</f>
        <v>168.881084818212</v>
      </c>
      <c r="K57" s="21" t="n">
        <f aca="false">IF(K14=0,0,(K40+K41+K42)/K14)</f>
        <v>166.196962734354</v>
      </c>
      <c r="L57" s="21" t="n">
        <f aca="false">IF(L14=0,0,(L40+L41+L42)/L14)</f>
        <v>163.44340291119</v>
      </c>
      <c r="M57" s="21" t="n">
        <f aca="false">IF(M14=0,0,(M40+M41+M42)/M14)</f>
        <v>160.622528463055</v>
      </c>
      <c r="N57" s="21" t="n">
        <f aca="false">IF(N14=0,0,(N40+N41+N42)/N14)</f>
        <v>157.736801374181</v>
      </c>
      <c r="O57" s="21" t="n">
        <f aca="false">IF(O14=0,0,(O40+O41+O42)/O14)</f>
        <v>154.789023039554</v>
      </c>
      <c r="P57" s="21" t="n">
        <f aca="false">IF(P14=0,0,(P40+P41+P42)/P14)</f>
        <v>151.782331485644</v>
      </c>
      <c r="Q57" s="21" t="n">
        <f aca="false">IF(Q14=0,0,(Q40+Q41+Q42)/Q14)</f>
        <v>148.720195098573</v>
      </c>
      <c r="R57" s="21" t="n">
        <f aca="false">IF(R14=0,0,(R40+R41+R42)/R14)</f>
        <v>145.606402740545</v>
      </c>
      <c r="S57" s="21" t="n">
        <f aca="false">IF(S14=0,0,(S40+S41+S42)/S14)</f>
        <v>142.445050195582</v>
      </c>
      <c r="T57" s="21" t="n">
        <f aca="false">IF(T14=0,0,(T40+T41+T42)/T14)</f>
        <v>139.24052295153</v>
      </c>
      <c r="U57" s="21" t="n">
        <f aca="false">IF(U14=0,0,(U40+U41+U42)/U14)</f>
        <v>135.997475395339</v>
      </c>
      <c r="V57" s="21" t="n">
        <f aca="false">IF(V14=0,0,(V40+V41+V42)/V14)</f>
        <v>132.720806570929</v>
      </c>
      <c r="W57" s="21" t="n">
        <f aca="false">IF(W14=0,0,(W40+W41+W42)/W14)</f>
        <v>129.41563272141</v>
      </c>
      <c r="X57" s="21" t="n">
        <f aca="false">IF(X14=0,0,(X40+X41+X42)/X14)</f>
        <v>126.087256907851</v>
      </c>
      <c r="Y57" s="21" t="n">
        <f aca="false">IF(Y14=0,0,(Y40+Y41+Y42)/Y14)</f>
        <v>122.741136062862</v>
      </c>
      <c r="Z57" s="2"/>
      <c r="AA57" s="2"/>
      <c r="AB57" s="2"/>
    </row>
    <row r="58" customFormat="false" ht="15" hidden="false" customHeight="false" outlineLevel="0" collapsed="false">
      <c r="A58" s="17" t="s">
        <v>167</v>
      </c>
      <c r="B58" s="20" t="n">
        <f aca="false">IF(B24=0,0,B23/B24)</f>
        <v>0</v>
      </c>
      <c r="C58" s="20" t="n">
        <f aca="false">IF(C24=0,0,C23/C24)</f>
        <v>0</v>
      </c>
      <c r="D58" s="20" t="n">
        <f aca="false">IF(D24=0,0,D23/D24)</f>
        <v>0.00320103002560231</v>
      </c>
      <c r="E58" s="20" t="n">
        <f aca="false">IF(E24=0,0,E23/E24)</f>
        <v>0.00608736362658015</v>
      </c>
      <c r="F58" s="20" t="n">
        <f aca="false">IF(F24=0,0,F23/F24)</f>
        <v>0.00871532086881573</v>
      </c>
      <c r="G58" s="20" t="n">
        <f aca="false">IF(G24=0,0,G23/G24)</f>
        <v>0.0111283694735738</v>
      </c>
      <c r="H58" s="20" t="n">
        <f aca="false">IF(H24=0,0,H23/H24)</f>
        <v>0.00972851736553608</v>
      </c>
      <c r="I58" s="20" t="n">
        <f aca="false">IF(I24=0,0,I23/I24)</f>
        <v>0.011359820093268</v>
      </c>
      <c r="J58" s="20" t="n">
        <f aca="false">IF(J24=0,0,J23/J24)</f>
        <v>0.0128649758199608</v>
      </c>
      <c r="K58" s="20" t="n">
        <f aca="false">IF(K24=0,0,K23/K24)</f>
        <v>0.014271023995044</v>
      </c>
      <c r="L58" s="20" t="n">
        <f aca="false">IF(L24=0,0,L23/L24)</f>
        <v>0.0165920012567885</v>
      </c>
      <c r="M58" s="20" t="n">
        <f aca="false">IF(M24=0,0,M23/M24)</f>
        <v>0.0188867097908589</v>
      </c>
      <c r="N58" s="20" t="n">
        <f aca="false">IF(N24=0,0,N23/N24)</f>
        <v>0.0211555425791042</v>
      </c>
      <c r="O58" s="20" t="n">
        <f aca="false">IF(O24=0,0,O23/O24)</f>
        <v>0.0233988849351682</v>
      </c>
      <c r="P58" s="20" t="n">
        <f aca="false">IF(P24=0,0,P23/P24)</f>
        <v>0.0251282657222433</v>
      </c>
      <c r="Q58" s="20" t="n">
        <f aca="false">IF(Q24=0,0,Q23/Q24)</f>
        <v>0.0268400642336722</v>
      </c>
      <c r="R58" s="20" t="n">
        <f aca="false">IF(R24=0,0,R23/R24)</f>
        <v>0.0285345095313154</v>
      </c>
      <c r="S58" s="20" t="n">
        <f aca="false">IF(S24=0,0,S23/S24)</f>
        <v>0.030211826824897</v>
      </c>
      <c r="T58" s="20" t="n">
        <f aca="false">IF(T24=0,0,T23/T24)</f>
        <v>0.0318722375527298</v>
      </c>
      <c r="U58" s="20" t="n">
        <f aca="false">IF(U24=0,0,U23/U24)</f>
        <v>0.0335159594604163</v>
      </c>
      <c r="V58" s="20" t="n">
        <f aca="false">IF(V24=0,0,V23/V24)</f>
        <v>0.0351432066775832</v>
      </c>
      <c r="W58" s="20" t="n">
        <f aca="false">IF(W24=0,0,W23/W24)</f>
        <v>0.0367541897927081</v>
      </c>
      <c r="X58" s="20" t="n">
        <f aca="false">IF(X24=0,0,X23/X24)</f>
        <v>0.038349115926091</v>
      </c>
      <c r="Y58" s="20" t="n">
        <f aca="false">IF(Y24=0,0,Y23/Y24)</f>
        <v>0.0399281888010278</v>
      </c>
      <c r="Z58" s="2"/>
      <c r="AA58" s="2"/>
      <c r="AB58" s="2"/>
    </row>
    <row r="59" customFormat="false" ht="15" hidden="false" customHeight="false" outlineLevel="0" collapsed="false">
      <c r="A59" s="17" t="s">
        <v>168</v>
      </c>
      <c r="B59" s="18" t="n">
        <f aca="false">B45/(Assumptions!$B$5*(1-Assumptions!$B$14-Assumptions!$B$15))</f>
        <v>550.595238095238</v>
      </c>
      <c r="C59" s="18" t="n">
        <f aca="false">C45/(Assumptions!$B$5*(1-Assumptions!$B$14-Assumptions!$B$15))</f>
        <v>580.357142857143</v>
      </c>
      <c r="D59" s="18" t="n">
        <f aca="false">D45/(Assumptions!$B$5*(1-Assumptions!$B$14-Assumptions!$B$15))</f>
        <v>580.357142857143</v>
      </c>
      <c r="E59" s="18" t="n">
        <f aca="false">E45/(Assumptions!$B$5*(1-Assumptions!$B$14-Assumptions!$B$15))</f>
        <v>580.357142857143</v>
      </c>
      <c r="F59" s="18" t="n">
        <f aca="false">F45/(Assumptions!$B$5*(1-Assumptions!$B$14-Assumptions!$B$15))</f>
        <v>580.357142857143</v>
      </c>
      <c r="G59" s="18" t="n">
        <f aca="false">G45/(Assumptions!$B$5*(1-Assumptions!$B$14-Assumptions!$B$15))</f>
        <v>580.357142857143</v>
      </c>
      <c r="H59" s="18" t="n">
        <f aca="false">H45/(Assumptions!$B$5*(1-Assumptions!$B$14-Assumptions!$B$15))</f>
        <v>947.420634920635</v>
      </c>
      <c r="I59" s="18" t="n">
        <f aca="false">I45/(Assumptions!$B$5*(1-Assumptions!$B$14-Assumptions!$B$15))</f>
        <v>724.206349206349</v>
      </c>
      <c r="J59" s="18" t="n">
        <f aca="false">J45/(Assumptions!$B$5*(1-Assumptions!$B$14-Assumptions!$B$15))</f>
        <v>724.206349206349</v>
      </c>
      <c r="K59" s="18" t="n">
        <f aca="false">K45/(Assumptions!$B$5*(1-Assumptions!$B$14-Assumptions!$B$15))</f>
        <v>707.374425501405</v>
      </c>
      <c r="L59" s="18" t="n">
        <f aca="false">L45/(Assumptions!$B$5*(1-Assumptions!$B$14-Assumptions!$B$15))</f>
        <v>707.374425501405</v>
      </c>
      <c r="M59" s="18" t="n">
        <f aca="false">M45/(Assumptions!$B$5*(1-Assumptions!$B$14-Assumptions!$B$15))</f>
        <v>707.374425501405</v>
      </c>
      <c r="N59" s="18" t="n">
        <f aca="false">N45/(Assumptions!$B$5*(1-Assumptions!$B$14-Assumptions!$B$15))</f>
        <v>707.374425501405</v>
      </c>
      <c r="O59" s="18" t="n">
        <f aca="false">O45/(Assumptions!$B$5*(1-Assumptions!$B$14-Assumptions!$B$15))</f>
        <v>707.374425501405</v>
      </c>
      <c r="P59" s="18" t="n">
        <f aca="false">P45/(Assumptions!$B$5*(1-Assumptions!$B$14-Assumptions!$B$15))</f>
        <v>707.374425501405</v>
      </c>
      <c r="Q59" s="18" t="n">
        <f aca="false">Q45/(Assumptions!$B$5*(1-Assumptions!$B$14-Assumptions!$B$15))</f>
        <v>707.374425501405</v>
      </c>
      <c r="R59" s="18" t="n">
        <f aca="false">R45/(Assumptions!$B$5*(1-Assumptions!$B$14-Assumptions!$B$15))</f>
        <v>707.374425501405</v>
      </c>
      <c r="S59" s="18" t="n">
        <f aca="false">S45/(Assumptions!$B$5*(1-Assumptions!$B$14-Assumptions!$B$15))</f>
        <v>707.374425501405</v>
      </c>
      <c r="T59" s="18" t="n">
        <f aca="false">T45/(Assumptions!$B$5*(1-Assumptions!$B$14-Assumptions!$B$15))</f>
        <v>707.374425501405</v>
      </c>
      <c r="U59" s="18" t="n">
        <f aca="false">U45/(Assumptions!$B$5*(1-Assumptions!$B$14-Assumptions!$B$15))</f>
        <v>707.374425501405</v>
      </c>
      <c r="V59" s="18" t="n">
        <f aca="false">V45/(Assumptions!$B$5*(1-Assumptions!$B$14-Assumptions!$B$15))</f>
        <v>707.374425501405</v>
      </c>
      <c r="W59" s="18" t="n">
        <f aca="false">W45/(Assumptions!$B$5*(1-Assumptions!$B$14-Assumptions!$B$15))</f>
        <v>707.374425501405</v>
      </c>
      <c r="X59" s="18" t="n">
        <f aca="false">X45/(Assumptions!$B$5*(1-Assumptions!$B$14-Assumptions!$B$15))</f>
        <v>707.374425501405</v>
      </c>
      <c r="Y59" s="18" t="n">
        <f aca="false">Y45/(Assumptions!$B$5*(1-Assumptions!$B$14-Assumptions!$B$15))</f>
        <v>707.374425501405</v>
      </c>
      <c r="Z59" s="2"/>
      <c r="AA59" s="2"/>
      <c r="AB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169</v>
      </c>
      <c r="B1" s="2"/>
      <c r="C1" s="2"/>
    </row>
    <row r="2" customFormat="false" ht="15" hidden="false" customHeight="false" outlineLevel="0" collapsed="false">
      <c r="A2" s="4" t="s">
        <v>170</v>
      </c>
      <c r="B2" s="5"/>
      <c r="C2" s="2"/>
    </row>
    <row r="3" customFormat="false" ht="15" hidden="false" customHeight="false" outlineLevel="0" collapsed="false">
      <c r="A3" s="2" t="s">
        <v>171</v>
      </c>
      <c r="B3" s="24" t="n">
        <f aca="false">Assumptions!$B$11</f>
        <v>100</v>
      </c>
      <c r="C3" s="2"/>
    </row>
    <row r="4" customFormat="false" ht="15" hidden="false" customHeight="false" outlineLevel="0" collapsed="false">
      <c r="A4" s="2" t="s">
        <v>172</v>
      </c>
      <c r="B4" s="25" t="n">
        <f aca="false">B3*Assumptions!$B$5</f>
        <v>4200</v>
      </c>
      <c r="C4" s="2"/>
    </row>
    <row r="5" customFormat="false" ht="15" hidden="false" customHeight="false" outlineLevel="0" collapsed="false">
      <c r="A5" s="2" t="s">
        <v>173</v>
      </c>
      <c r="B5" s="25" t="n">
        <f aca="false">B4*Assumptions!$B$14</f>
        <v>1344</v>
      </c>
      <c r="C5" s="2"/>
    </row>
    <row r="6" customFormat="false" ht="15" hidden="false" customHeight="false" outlineLevel="0" collapsed="false">
      <c r="A6" s="2" t="s">
        <v>174</v>
      </c>
      <c r="B6" s="25" t="n">
        <f aca="false">B4*Assumptions!$B$15</f>
        <v>840</v>
      </c>
      <c r="C6" s="2"/>
    </row>
    <row r="7" customFormat="false" ht="15" hidden="false" customHeight="false" outlineLevel="0" collapsed="false">
      <c r="A7" s="2" t="s">
        <v>175</v>
      </c>
      <c r="B7" s="21" t="n">
        <f aca="false">B4-B5-B6</f>
        <v>2016</v>
      </c>
      <c r="C7" s="2"/>
    </row>
    <row r="8" customFormat="false" ht="15" hidden="false" customHeight="false" outlineLevel="0" collapsed="false">
      <c r="A8" s="2" t="s">
        <v>176</v>
      </c>
      <c r="B8" s="20" t="n">
        <f aca="false">B7/B4</f>
        <v>0.48</v>
      </c>
      <c r="C8" s="2"/>
    </row>
    <row r="9" customFormat="false" ht="15" hidden="false" customHeight="false" outlineLevel="0" collapsed="false">
      <c r="A9" s="2" t="s">
        <v>177</v>
      </c>
      <c r="B9" s="26" t="n">
        <f aca="false">B3/(Assumptions!$B$7/21)</f>
        <v>2.33333333333333</v>
      </c>
      <c r="C9" s="2"/>
    </row>
    <row r="10" customFormat="false" ht="15" hidden="false" customHeight="false" outlineLevel="0" collapsed="false">
      <c r="A10" s="4" t="s">
        <v>178</v>
      </c>
      <c r="B10" s="5"/>
      <c r="C10" s="2"/>
    </row>
    <row r="11" customFormat="false" ht="15" hidden="false" customHeight="false" outlineLevel="0" collapsed="false">
      <c r="A11" s="2" t="s">
        <v>179</v>
      </c>
      <c r="B11" s="24" t="n">
        <f aca="false">Assumptions!$B$7</f>
        <v>900</v>
      </c>
      <c r="C11" s="2"/>
    </row>
    <row r="12" customFormat="false" ht="15" hidden="false" customHeight="false" outlineLevel="0" collapsed="false">
      <c r="A12" s="2" t="s">
        <v>164</v>
      </c>
      <c r="B12" s="25" t="n">
        <f aca="false">B11*Assumptions!$B$5</f>
        <v>37800</v>
      </c>
      <c r="C12" s="2"/>
    </row>
    <row r="13" customFormat="false" ht="15" hidden="false" customHeight="false" outlineLevel="0" collapsed="false">
      <c r="A13" s="2" t="s">
        <v>180</v>
      </c>
      <c r="B13" s="25" t="n">
        <f aca="false">Assumptions!$B$18*Assumptions!$B$19*Assumptions!$B$16</f>
        <v>11677.5</v>
      </c>
      <c r="C13" s="2"/>
    </row>
    <row r="14" customFormat="false" ht="15" hidden="false" customHeight="false" outlineLevel="0" collapsed="false">
      <c r="A14" s="2" t="s">
        <v>181</v>
      </c>
      <c r="B14" s="25" t="n">
        <f aca="false">B13*(1+Assumptions!$B$17)</f>
        <v>13312.35</v>
      </c>
      <c r="C14" s="2"/>
    </row>
    <row r="15" customFormat="false" ht="15" hidden="false" customHeight="false" outlineLevel="0" collapsed="false">
      <c r="A15" s="2" t="s">
        <v>182</v>
      </c>
      <c r="B15" s="20" t="n">
        <f aca="false">B14/B12</f>
        <v>0.352178571428572</v>
      </c>
      <c r="C15" s="7" t="s">
        <v>183</v>
      </c>
    </row>
    <row r="16" customFormat="false" ht="15" hidden="false" customHeight="false" outlineLevel="0" collapsed="false">
      <c r="A16" s="2" t="s">
        <v>184</v>
      </c>
      <c r="B16" s="25" t="n">
        <f aca="false">B12*(1-Assumptions!$B$14-Assumptions!$B$15)</f>
        <v>18144</v>
      </c>
      <c r="C16" s="2"/>
    </row>
    <row r="17" customFormat="false" ht="15" hidden="false" customHeight="false" outlineLevel="0" collapsed="false">
      <c r="A17" s="4" t="s">
        <v>185</v>
      </c>
      <c r="B17" s="5"/>
      <c r="C17" s="2"/>
    </row>
    <row r="18" customFormat="false" ht="15" hidden="false" customHeight="false" outlineLevel="0" collapsed="false">
      <c r="A18" s="2" t="s">
        <v>186</v>
      </c>
      <c r="B18" s="25" t="n">
        <f aca="false">Assumptions!$B$21</f>
        <v>249</v>
      </c>
      <c r="C18" s="2"/>
    </row>
    <row r="19" customFormat="false" ht="15" hidden="false" customHeight="false" outlineLevel="0" collapsed="false">
      <c r="A19" s="2" t="s">
        <v>187</v>
      </c>
      <c r="B19" s="25" t="n">
        <f aca="false">Assumptions!$B$27</f>
        <v>70</v>
      </c>
      <c r="C19" s="2"/>
    </row>
    <row r="20" customFormat="false" ht="15" hidden="false" customHeight="false" outlineLevel="0" collapsed="false">
      <c r="A20" s="2" t="s">
        <v>188</v>
      </c>
      <c r="B20" s="21" t="n">
        <f aca="false">B18-B19</f>
        <v>179</v>
      </c>
      <c r="C20" s="2"/>
    </row>
    <row r="21" customFormat="false" ht="15" hidden="false" customHeight="false" outlineLevel="0" collapsed="false">
      <c r="A21" s="2" t="s">
        <v>189</v>
      </c>
      <c r="B21" s="20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190</v>
      </c>
      <c r="B22" s="24" t="n">
        <f aca="false">5/Assumptions!$B$22</f>
        <v>5</v>
      </c>
      <c r="C22" s="2"/>
    </row>
    <row r="23" customFormat="false" ht="15" hidden="false" customHeight="false" outlineLevel="0" collapsed="false">
      <c r="A23" s="2" t="s">
        <v>191</v>
      </c>
      <c r="B23" s="21" t="n">
        <f aca="false">B20*B22</f>
        <v>895</v>
      </c>
      <c r="C23" s="2"/>
    </row>
    <row r="24" customFormat="false" ht="15" hidden="false" customHeight="false" outlineLevel="0" collapsed="false">
      <c r="A24" s="2" t="s">
        <v>192</v>
      </c>
      <c r="B24" s="21" t="n">
        <f aca="false">0.25*B4*(1-0.52)</f>
        <v>504</v>
      </c>
      <c r="C24" s="7" t="s">
        <v>193</v>
      </c>
    </row>
    <row r="25" customFormat="false" ht="15" hidden="false" customHeight="false" outlineLevel="0" collapsed="false">
      <c r="A25" s="4" t="s">
        <v>194</v>
      </c>
      <c r="B25" s="5"/>
      <c r="C25" s="2"/>
    </row>
    <row r="26" customFormat="false" ht="15" hidden="false" customHeight="false" outlineLevel="0" collapsed="false">
      <c r="A26" s="2" t="s">
        <v>195</v>
      </c>
      <c r="B26" s="25" t="n">
        <f aca="false">'Proforma 24 mo'!D45</f>
        <v>11700</v>
      </c>
      <c r="C26" s="2"/>
    </row>
    <row r="27" customFormat="false" ht="15" hidden="false" customHeight="false" outlineLevel="0" collapsed="false">
      <c r="A27" s="2" t="s">
        <v>196</v>
      </c>
      <c r="B27" s="24" t="n">
        <f aca="false">B26/(Assumptions!$B$5*(1-Assumptions!$B$14-Assumptions!$B$15))</f>
        <v>580.357142857143</v>
      </c>
      <c r="C27" s="2"/>
    </row>
    <row r="28" customFormat="false" ht="15" hidden="false" customHeight="false" outlineLevel="0" collapsed="false">
      <c r="A28" s="2" t="s">
        <v>197</v>
      </c>
      <c r="B28" s="27" t="n">
        <f aca="false">B27/Assumptions!$B$7</f>
        <v>0.64484126984127</v>
      </c>
      <c r="C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198</v>
      </c>
      <c r="B1" s="2"/>
      <c r="C1" s="2"/>
      <c r="D1" s="2"/>
    </row>
    <row r="2" customFormat="false" ht="15" hidden="false" customHeight="false" outlineLevel="0" collapsed="false">
      <c r="A2" s="3" t="s">
        <v>199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8"/>
      <c r="B4" s="28" t="s">
        <v>200</v>
      </c>
      <c r="C4" s="28" t="s">
        <v>201</v>
      </c>
      <c r="D4" s="28" t="s">
        <v>202</v>
      </c>
    </row>
    <row r="5" customFormat="false" ht="15" hidden="false" customHeight="false" outlineLevel="0" collapsed="false">
      <c r="A5" s="2" t="s">
        <v>203</v>
      </c>
      <c r="B5" s="8" t="n">
        <v>700</v>
      </c>
      <c r="C5" s="8" t="n">
        <v>900</v>
      </c>
      <c r="D5" s="8" t="n">
        <v>1000</v>
      </c>
    </row>
    <row r="6" customFormat="false" ht="15" hidden="false" customHeight="false" outlineLevel="0" collapsed="false">
      <c r="A6" s="2" t="s">
        <v>204</v>
      </c>
      <c r="B6" s="8" t="n">
        <v>1</v>
      </c>
      <c r="C6" s="8" t="n">
        <v>2</v>
      </c>
      <c r="D6" s="8" t="n">
        <v>2</v>
      </c>
    </row>
    <row r="7" customFormat="false" ht="15" hidden="false" customHeight="false" outlineLevel="0" collapsed="false">
      <c r="A7" s="2" t="s">
        <v>205</v>
      </c>
      <c r="B7" s="14" t="n">
        <v>38</v>
      </c>
      <c r="C7" s="14" t="n">
        <v>42</v>
      </c>
      <c r="D7" s="14" t="n">
        <v>46</v>
      </c>
    </row>
    <row r="8" customFormat="false" ht="15" hidden="false" customHeight="false" outlineLevel="0" collapsed="false">
      <c r="A8" s="2" t="s">
        <v>206</v>
      </c>
      <c r="B8" s="8" t="n">
        <v>40</v>
      </c>
      <c r="C8" s="8" t="n">
        <v>90</v>
      </c>
      <c r="D8" s="8" t="n">
        <v>140</v>
      </c>
    </row>
    <row r="9" customFormat="false" ht="15" hidden="false" customHeight="false" outlineLevel="0" collapsed="false">
      <c r="A9" s="2" t="s">
        <v>207</v>
      </c>
      <c r="B9" s="21" t="n">
        <f aca="false">B5*B6*B7</f>
        <v>26600</v>
      </c>
      <c r="C9" s="21" t="n">
        <f aca="false">C5*C6*C7</f>
        <v>75600</v>
      </c>
      <c r="D9" s="21" t="n">
        <f aca="false">D5*D6*D7</f>
        <v>92000</v>
      </c>
    </row>
    <row r="10" customFormat="false" ht="15" hidden="false" customHeight="false" outlineLevel="0" collapsed="false">
      <c r="A10" s="2" t="s">
        <v>208</v>
      </c>
      <c r="B10" s="21" t="n">
        <f aca="false">B8/12/Assumptions!$B$22*Assumptions!$B$21</f>
        <v>830</v>
      </c>
      <c r="C10" s="21" t="n">
        <f aca="false">C8/12/Assumptions!$B$22*Assumptions!$B$21</f>
        <v>1867.5</v>
      </c>
      <c r="D10" s="21" t="n">
        <f aca="false">D8/12/Assumptions!$B$22*Assumptions!$B$21</f>
        <v>2905</v>
      </c>
    </row>
    <row r="11" customFormat="false" ht="15" hidden="false" customHeight="false" outlineLevel="0" collapsed="false">
      <c r="A11" s="2" t="s">
        <v>209</v>
      </c>
      <c r="B11" s="21" t="n">
        <f aca="false">B9+B10</f>
        <v>27430</v>
      </c>
      <c r="C11" s="21" t="n">
        <f aca="false">C9+C10</f>
        <v>77467.5</v>
      </c>
      <c r="D11" s="21" t="n">
        <f aca="false">D9+D10</f>
        <v>94905</v>
      </c>
    </row>
    <row r="12" customFormat="false" ht="15" hidden="false" customHeight="false" outlineLevel="0" collapsed="false">
      <c r="A12" s="2" t="s">
        <v>210</v>
      </c>
      <c r="B12" s="23" t="n">
        <f aca="false">B9*(1-Assumptions!$B$14-Assumptions!$B$15)+B10*(1-Assumptions!$B$27/Assumptions!$B$21)</f>
        <v>13364.6666666667</v>
      </c>
      <c r="C12" s="23" t="n">
        <f aca="false">C9*(1-Assumptions!$B$14-Assumptions!$B$15)+C10*(1-Assumptions!$B$27/Assumptions!$B$21)</f>
        <v>37630.5</v>
      </c>
      <c r="D12" s="23" t="n">
        <f aca="false">D9*(1-Assumptions!$B$14-Assumptions!$B$15)+D10*(1-Assumptions!$B$27/Assumptions!$B$21)</f>
        <v>46248.3333333333</v>
      </c>
    </row>
    <row r="13" customFormat="false" ht="15" hidden="false" customHeight="false" outlineLevel="0" collapsed="false">
      <c r="A13" s="2" t="s">
        <v>211</v>
      </c>
      <c r="B13" s="21" t="n">
        <f aca="false">IF(B6=1,'Proforma 24 mo'!D45,'Proforma 24 mo'!Y45)</f>
        <v>11700</v>
      </c>
      <c r="C13" s="21" t="n">
        <f aca="false">IF(C6=1,'Proforma 24 mo'!D45,'Proforma 24 mo'!Y45)</f>
        <v>14260.6684181083</v>
      </c>
      <c r="D13" s="21" t="n">
        <f aca="false">IF(D6=1,'Proforma 24 mo'!D45,'Proforma 24 mo'!Y45)</f>
        <v>14260.6684181083</v>
      </c>
    </row>
    <row r="14" customFormat="false" ht="15" hidden="false" customHeight="false" outlineLevel="0" collapsed="false">
      <c r="A14" s="2" t="s">
        <v>212</v>
      </c>
      <c r="B14" s="23" t="n">
        <f aca="false">B12-B13</f>
        <v>1664.66666666666</v>
      </c>
      <c r="C14" s="23" t="n">
        <f aca="false">C12-C13</f>
        <v>23369.8315818917</v>
      </c>
      <c r="D14" s="23" t="n">
        <f aca="false">D12-D13</f>
        <v>31987.664915225</v>
      </c>
    </row>
    <row r="15" customFormat="false" ht="15" hidden="false" customHeight="false" outlineLevel="0" collapsed="false">
      <c r="A15" s="2" t="s">
        <v>213</v>
      </c>
      <c r="B15" s="23" t="n">
        <f aca="false">B14*12</f>
        <v>19976</v>
      </c>
      <c r="C15" s="23" t="n">
        <f aca="false">C14*12</f>
        <v>280437.9789827</v>
      </c>
      <c r="D15" s="23" t="n">
        <f aca="false">D14*12</f>
        <v>383851.9789827</v>
      </c>
    </row>
    <row r="16" customFormat="false" ht="15" hidden="false" customHeight="false" outlineLevel="0" collapsed="false">
      <c r="A16" s="2" t="s">
        <v>214</v>
      </c>
      <c r="B16" s="20" t="n">
        <f aca="false">IF(B11=0,0,B14/B11)</f>
        <v>0.0606878113987118</v>
      </c>
      <c r="C16" s="20" t="n">
        <f aca="false">IF(C11=0,0,C14/C11)</f>
        <v>0.301672721875518</v>
      </c>
      <c r="D16" s="20" t="n">
        <f aca="false">IF(D11=0,0,D14/D11)</f>
        <v>0.337049311577104</v>
      </c>
    </row>
    <row r="17" customFormat="false" ht="15" hidden="false" customHeight="false" outlineLevel="0" collapsed="false">
      <c r="A17" s="2" t="s">
        <v>215</v>
      </c>
      <c r="B17" s="18" t="n">
        <f aca="false">B5*B6/Assumptions!$B$11/0.3</f>
        <v>23.3333333333333</v>
      </c>
      <c r="C17" s="18" t="n">
        <f aca="false">C5*C6/Assumptions!$B$11/0.3</f>
        <v>60</v>
      </c>
      <c r="D17" s="18" t="n">
        <f aca="false">D5*D6/Assumptions!$B$11/0.3</f>
        <v>66.6666666666667</v>
      </c>
    </row>
    <row r="18" customFormat="false" ht="15" hidden="false" customHeight="false" outlineLevel="0" collapsed="false">
      <c r="A18" s="2"/>
      <c r="B18" s="2"/>
      <c r="C18" s="2"/>
      <c r="D18" s="2"/>
    </row>
    <row r="19" customFormat="false" ht="15" hidden="false" customHeight="false" outlineLevel="0" collapsed="false">
      <c r="A19" s="29" t="s">
        <v>216</v>
      </c>
      <c r="B19" s="2"/>
      <c r="C19" s="2"/>
      <c r="D19" s="2"/>
    </row>
    <row r="20" customFormat="false" ht="15" hidden="false" customHeight="false" outlineLevel="0" collapsed="false">
      <c r="A20" s="7" t="s">
        <v>217</v>
      </c>
      <c r="B20" s="2"/>
      <c r="C20" s="2"/>
      <c r="D20" s="2"/>
    </row>
    <row r="21" customFormat="false" ht="15" hidden="false" customHeight="false" outlineLevel="0" collapsed="false">
      <c r="A21" s="7" t="s">
        <v>218</v>
      </c>
      <c r="B21" s="2"/>
      <c r="C21" s="2"/>
      <c r="D21" s="2"/>
    </row>
    <row r="22" customFormat="false" ht="15" hidden="false" customHeight="false" outlineLevel="0" collapsed="false">
      <c r="A22" s="7" t="s">
        <v>219</v>
      </c>
      <c r="B22" s="2"/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220</v>
      </c>
      <c r="B1" s="2"/>
    </row>
    <row r="2" customFormat="false" ht="15" hidden="false" customHeight="false" outlineLevel="0" collapsed="false">
      <c r="A2" s="2"/>
      <c r="B2" s="2"/>
    </row>
    <row r="3" customFormat="false" ht="52.2" hidden="false" customHeight="false" outlineLevel="0" collapsed="false">
      <c r="A3" s="30" t="s">
        <v>221</v>
      </c>
      <c r="B3" s="31" t="s">
        <v>222</v>
      </c>
    </row>
    <row r="4" customFormat="false" ht="26.85" hidden="false" customHeight="false" outlineLevel="0" collapsed="false">
      <c r="A4" s="30" t="s">
        <v>223</v>
      </c>
      <c r="B4" s="31" t="s">
        <v>224</v>
      </c>
    </row>
    <row r="5" customFormat="false" ht="15" hidden="false" customHeight="false" outlineLevel="0" collapsed="false">
      <c r="A5" s="30" t="s">
        <v>225</v>
      </c>
      <c r="B5" s="31" t="s">
        <v>226</v>
      </c>
    </row>
    <row r="6" customFormat="false" ht="26.85" hidden="false" customHeight="false" outlineLevel="0" collapsed="false">
      <c r="A6" s="30" t="s">
        <v>227</v>
      </c>
      <c r="B6" s="31" t="s">
        <v>228</v>
      </c>
    </row>
    <row r="7" customFormat="false" ht="39.55" hidden="false" customHeight="false" outlineLevel="0" collapsed="false">
      <c r="A7" s="30" t="s">
        <v>229</v>
      </c>
      <c r="B7" s="31" t="s">
        <v>230</v>
      </c>
    </row>
    <row r="8" customFormat="false" ht="39.55" hidden="false" customHeight="false" outlineLevel="0" collapsed="false">
      <c r="A8" s="30" t="s">
        <v>231</v>
      </c>
      <c r="B8" s="31" t="s">
        <v>232</v>
      </c>
    </row>
    <row r="9" customFormat="false" ht="39.55" hidden="false" customHeight="false" outlineLevel="0" collapsed="false">
      <c r="A9" s="30" t="s">
        <v>233</v>
      </c>
      <c r="B9" s="31" t="s">
        <v>234</v>
      </c>
    </row>
    <row r="10" customFormat="false" ht="26.85" hidden="false" customHeight="false" outlineLevel="0" collapsed="false">
      <c r="A10" s="30" t="s">
        <v>235</v>
      </c>
      <c r="B10" s="31" t="s">
        <v>236</v>
      </c>
    </row>
    <row r="11" customFormat="false" ht="26.85" hidden="false" customHeight="false" outlineLevel="0" collapsed="false">
      <c r="A11" s="30" t="s">
        <v>237</v>
      </c>
      <c r="B11" s="31" t="s">
        <v>238</v>
      </c>
    </row>
    <row r="12" customFormat="false" ht="26.85" hidden="false" customHeight="false" outlineLevel="0" collapsed="false">
      <c r="A12" s="30" t="s">
        <v>239</v>
      </c>
      <c r="B12" s="31" t="s">
        <v>240</v>
      </c>
    </row>
    <row r="13" customFormat="false" ht="26.85" hidden="false" customHeight="false" outlineLevel="0" collapsed="false">
      <c r="A13" s="30" t="s">
        <v>241</v>
      </c>
      <c r="B13" s="31" t="s">
        <v>242</v>
      </c>
    </row>
    <row r="14" customFormat="false" ht="52.2" hidden="false" customHeight="false" outlineLevel="0" collapsed="false">
      <c r="A14" s="30" t="s">
        <v>243</v>
      </c>
      <c r="B14" s="31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2026-09-16T22:57:54Z</dcterms:created>
  <dc:creator>openpyxl</dc:creator>
  <dc:description/>
  <dc:language>en-US</dc:language>
  <cp:lastModifiedBy/>
  <dcterms:modified xsi:type="dcterms:W3CDTF">2026-09-16T22:57:54Z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